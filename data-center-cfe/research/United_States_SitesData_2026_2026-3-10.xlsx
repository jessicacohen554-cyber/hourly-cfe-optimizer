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088029\source\repos\E088029_CEG\Data-Center-CFE-Demand\data-inputs\"/>
    </mc:Choice>
  </mc:AlternateContent>
  <xr:revisionPtr revIDLastSave="0" documentId="8_{1380A1B0-20CB-426B-BC16-E9EE2B88DD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nited States_SitesData_2026" sheetId="1" r:id="rId1"/>
  </sheets>
  <definedNames>
    <definedName name="_xlnm._FilterDatabase" localSheetId="0" hidden="1">'United States_SitesData_2026'!$A$3:$AE$2079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41" i="1" l="1"/>
  <c r="V234" i="1"/>
  <c r="V407" i="1"/>
  <c r="V2079" i="1"/>
  <c r="V305" i="1"/>
  <c r="V2078" i="1"/>
  <c r="V2077" i="1"/>
  <c r="V725" i="1"/>
  <c r="V2076" i="1"/>
  <c r="V97" i="1"/>
  <c r="V33" i="1"/>
  <c r="V2075" i="1"/>
  <c r="V2074" i="1"/>
  <c r="V512" i="1"/>
  <c r="V2073" i="1"/>
  <c r="V96" i="1"/>
  <c r="V113" i="1"/>
  <c r="V60" i="1"/>
  <c r="V2072" i="1"/>
  <c r="V20" i="1"/>
  <c r="V591" i="1"/>
  <c r="V1306" i="1"/>
  <c r="V2071" i="1"/>
  <c r="V117" i="1"/>
  <c r="V2070" i="1"/>
  <c r="V2069" i="1"/>
  <c r="V2068" i="1"/>
  <c r="V161" i="1"/>
  <c r="V833" i="1"/>
  <c r="V2067" i="1"/>
  <c r="V663" i="1"/>
  <c r="V662" i="1"/>
  <c r="V675" i="1"/>
  <c r="V618" i="1"/>
  <c r="V329" i="1"/>
  <c r="V2066" i="1"/>
  <c r="V755" i="1"/>
  <c r="V556" i="1"/>
  <c r="V2065" i="1"/>
  <c r="V2064" i="1"/>
  <c r="V370" i="1"/>
  <c r="V2063" i="1"/>
  <c r="V233" i="1"/>
  <c r="V245" i="1"/>
  <c r="V544" i="1"/>
  <c r="V93" i="1"/>
  <c r="V92" i="1"/>
  <c r="V384" i="1"/>
  <c r="V193" i="1"/>
  <c r="V304" i="1"/>
  <c r="V2062" i="1"/>
  <c r="V2061" i="1"/>
  <c r="V190" i="1"/>
  <c r="V492" i="1"/>
  <c r="V2060" i="1"/>
  <c r="V1091" i="1"/>
  <c r="V105" i="1"/>
  <c r="V64" i="1"/>
  <c r="V2059" i="1"/>
  <c r="V2058" i="1"/>
  <c r="V2057" i="1"/>
  <c r="V910" i="1"/>
  <c r="V2056" i="1"/>
  <c r="V2055" i="1"/>
  <c r="V298" i="1"/>
  <c r="V104" i="1"/>
  <c r="V471" i="1"/>
  <c r="V560" i="1"/>
  <c r="V348" i="1"/>
  <c r="V83" i="1"/>
  <c r="V94" i="1"/>
  <c r="V864" i="1"/>
  <c r="V2054" i="1"/>
  <c r="V306" i="1"/>
  <c r="V357" i="1"/>
  <c r="V135" i="1"/>
  <c r="V375" i="1"/>
  <c r="V374" i="1"/>
  <c r="V674" i="1"/>
  <c r="V628" i="1"/>
  <c r="V470" i="1"/>
  <c r="V288" i="1"/>
  <c r="V347" i="1"/>
  <c r="V499" i="1"/>
  <c r="V2053" i="1"/>
  <c r="V1139" i="1"/>
  <c r="V1138" i="1"/>
  <c r="V2052" i="1"/>
  <c r="V199" i="1"/>
  <c r="V763" i="1"/>
  <c r="V1143" i="1"/>
  <c r="V516" i="1"/>
  <c r="V232" i="1"/>
  <c r="V894" i="1"/>
  <c r="V338" i="1"/>
  <c r="V103" i="1"/>
  <c r="V143" i="1"/>
  <c r="V2051" i="1"/>
  <c r="V2050" i="1"/>
  <c r="V26" i="1"/>
  <c r="V145" i="1"/>
  <c r="V589" i="1"/>
  <c r="V406" i="1"/>
  <c r="V819" i="1"/>
  <c r="V7" i="1"/>
  <c r="V2049" i="1"/>
  <c r="V91" i="1"/>
  <c r="V1017" i="1"/>
  <c r="V599" i="1"/>
  <c r="V2048" i="1"/>
  <c r="V671" i="1"/>
  <c r="V535" i="1"/>
  <c r="V1813" i="1"/>
  <c r="V498" i="1"/>
  <c r="V124" i="1"/>
  <c r="V2047" i="1"/>
  <c r="V35" i="1"/>
  <c r="V495" i="1"/>
  <c r="V2046" i="1"/>
  <c r="V2045" i="1"/>
  <c r="V2044" i="1"/>
  <c r="V2043" i="1"/>
  <c r="V2042" i="1"/>
  <c r="V127" i="1"/>
  <c r="V616" i="1"/>
  <c r="V386" i="1"/>
  <c r="V640" i="1"/>
  <c r="V140" i="1"/>
  <c r="V2041" i="1"/>
  <c r="V2040" i="1"/>
  <c r="V2039" i="1"/>
  <c r="V689" i="1"/>
  <c r="V530" i="1"/>
  <c r="V2038" i="1"/>
  <c r="V405" i="1"/>
  <c r="V514" i="1"/>
  <c r="V265" i="1"/>
  <c r="V688" i="1"/>
  <c r="V818" i="1"/>
  <c r="V2037" i="1"/>
  <c r="V2036" i="1"/>
  <c r="V521" i="1"/>
  <c r="V152" i="1"/>
  <c r="V141" i="1"/>
  <c r="V757" i="1"/>
  <c r="V231" i="1"/>
  <c r="V730" i="1"/>
  <c r="V2035" i="1"/>
  <c r="V408" i="1"/>
  <c r="V2034" i="1"/>
  <c r="V639" i="1"/>
  <c r="V2033" i="1"/>
  <c r="V543" i="1"/>
  <c r="V2032" i="1"/>
  <c r="V268" i="1"/>
  <c r="V2031" i="1"/>
  <c r="V2030" i="1"/>
  <c r="V382" i="1"/>
  <c r="V2029" i="1"/>
  <c r="V2028" i="1"/>
  <c r="V2027" i="1"/>
  <c r="V2026" i="1"/>
  <c r="V2025" i="1"/>
  <c r="V506" i="1"/>
  <c r="V224" i="1"/>
  <c r="V260" i="1"/>
  <c r="V2024" i="1"/>
  <c r="V552" i="1"/>
  <c r="V404" i="1"/>
  <c r="V2023" i="1"/>
  <c r="V790" i="1"/>
  <c r="V2022" i="1"/>
  <c r="V98" i="1"/>
  <c r="V417" i="1"/>
  <c r="V336" i="1"/>
  <c r="V494" i="1"/>
  <c r="V2021" i="1"/>
  <c r="V54" i="1"/>
  <c r="V308" i="1"/>
  <c r="V2020" i="1"/>
  <c r="V206" i="1"/>
  <c r="V2019" i="1"/>
  <c r="V661" i="1"/>
  <c r="V660" i="1"/>
  <c r="V2018" i="1"/>
  <c r="V2017" i="1"/>
  <c r="V571" i="1"/>
  <c r="V2016" i="1"/>
  <c r="V450" i="1"/>
  <c r="V389" i="1"/>
  <c r="V273" i="1"/>
  <c r="V817" i="1"/>
  <c r="V209" i="1"/>
  <c r="V202" i="1"/>
  <c r="V354" i="1"/>
  <c r="V66" i="1"/>
  <c r="V160" i="1"/>
  <c r="V120" i="1"/>
  <c r="V717" i="1"/>
  <c r="V287" i="1"/>
  <c r="V40" i="1"/>
  <c r="V416" i="1"/>
  <c r="V312" i="1"/>
  <c r="V2015" i="1"/>
  <c r="V24" i="1"/>
  <c r="V670" i="1"/>
  <c r="V467" i="1"/>
  <c r="V196" i="1"/>
  <c r="V816" i="1"/>
  <c r="V53" i="1"/>
  <c r="V2014" i="1"/>
  <c r="V159" i="1"/>
  <c r="V150" i="1"/>
  <c r="V2013" i="1"/>
  <c r="V337" i="1"/>
  <c r="V259" i="1"/>
  <c r="V2012" i="1"/>
  <c r="V2011" i="1"/>
  <c r="V2010" i="1"/>
  <c r="V385" i="1"/>
  <c r="V34" i="1"/>
  <c r="V75" i="1"/>
  <c r="V381" i="1"/>
  <c r="V724" i="1"/>
  <c r="V511" i="1"/>
  <c r="V246" i="1"/>
  <c r="V286" i="1"/>
  <c r="V2009" i="1"/>
  <c r="V328" i="1"/>
  <c r="V836" i="1"/>
  <c r="V114" i="1"/>
  <c r="V358" i="1"/>
  <c r="V517" i="1"/>
  <c r="V262" i="1"/>
  <c r="V423" i="1"/>
  <c r="V25" i="1"/>
  <c r="V2008" i="1"/>
  <c r="V595" i="1"/>
  <c r="V2007" i="1"/>
  <c r="V256" i="1"/>
  <c r="V451" i="1"/>
  <c r="V2006" i="1"/>
  <c r="V335" i="1"/>
  <c r="V346" i="1"/>
  <c r="V2005" i="1"/>
  <c r="V2004" i="1"/>
  <c r="V718" i="1"/>
  <c r="V2003" i="1"/>
  <c r="V2002" i="1"/>
  <c r="V2001" i="1"/>
  <c r="V84" i="1"/>
  <c r="V90" i="1"/>
  <c r="V62" i="1"/>
  <c r="V2000" i="1"/>
  <c r="V1999" i="1"/>
  <c r="V356" i="1"/>
  <c r="V1998" i="1"/>
  <c r="V39" i="1"/>
  <c r="V503" i="1"/>
  <c r="V1997" i="1"/>
  <c r="V1996" i="1"/>
  <c r="V1995" i="1"/>
  <c r="V1994" i="1"/>
  <c r="V890" i="1"/>
  <c r="V1993" i="1"/>
  <c r="V466" i="1"/>
  <c r="V1992" i="1"/>
  <c r="V510" i="1"/>
  <c r="V195" i="1"/>
  <c r="V621" i="1"/>
  <c r="V383" i="1"/>
  <c r="V1991" i="1"/>
  <c r="V1990" i="1"/>
  <c r="V491" i="1"/>
  <c r="V448" i="1"/>
  <c r="V672" i="1"/>
  <c r="V601" i="1"/>
  <c r="V815" i="1"/>
  <c r="V1301" i="1"/>
  <c r="V665" i="1"/>
  <c r="V900" i="1"/>
  <c r="V1518" i="1"/>
  <c r="V1114" i="1"/>
  <c r="V1812" i="1"/>
  <c r="V1558" i="1"/>
  <c r="V1428" i="1"/>
  <c r="V1208" i="1"/>
  <c r="V1811" i="1"/>
  <c r="V1427" i="1"/>
  <c r="V1517" i="1"/>
  <c r="V1719" i="1"/>
  <c r="V1843" i="1"/>
  <c r="V1426" i="1"/>
  <c r="V1443" i="1"/>
  <c r="V1137" i="1"/>
  <c r="V759" i="1"/>
  <c r="V1793" i="1"/>
  <c r="V1637" i="1"/>
  <c r="V1636" i="1"/>
  <c r="V1894" i="1"/>
  <c r="V1090" i="1"/>
  <c r="V1425" i="1"/>
  <c r="V1810" i="1"/>
  <c r="V1148" i="1"/>
  <c r="V1325" i="1"/>
  <c r="V1789" i="1"/>
  <c r="V1904" i="1"/>
  <c r="V1670" i="1"/>
  <c r="V1788" i="1"/>
  <c r="V1893" i="1"/>
  <c r="V1787" i="1"/>
  <c r="V1516" i="1"/>
  <c r="V1635" i="1"/>
  <c r="V1892" i="1"/>
  <c r="V896" i="1"/>
  <c r="V964" i="1"/>
  <c r="V1345" i="1"/>
  <c r="V1786" i="1"/>
  <c r="V1365" i="1"/>
  <c r="V1161" i="1"/>
  <c r="V1089" i="1"/>
  <c r="V1207" i="1"/>
  <c r="V1554" i="1"/>
  <c r="V1891" i="1"/>
  <c r="V950" i="1"/>
  <c r="V1344" i="1"/>
  <c r="V1634" i="1"/>
  <c r="V1890" i="1"/>
  <c r="V1136" i="1"/>
  <c r="V1651" i="1"/>
  <c r="V1906" i="1"/>
  <c r="V1889" i="1"/>
  <c r="V1941" i="1"/>
  <c r="V1853" i="1"/>
  <c r="V1785" i="1"/>
  <c r="V1852" i="1"/>
  <c r="V1112" i="1"/>
  <c r="V1842" i="1"/>
  <c r="V1321" i="1"/>
  <c r="V1784" i="1"/>
  <c r="V1424" i="1"/>
  <c r="V1633" i="1"/>
  <c r="V1822" i="1"/>
  <c r="V1945" i="1"/>
  <c r="V1655" i="1"/>
  <c r="V1356" i="1"/>
  <c r="V1940" i="1"/>
  <c r="V1320" i="1"/>
  <c r="V1809" i="1"/>
  <c r="V1261" i="1"/>
  <c r="V1939" i="1"/>
  <c r="V1851" i="1"/>
  <c r="V1553" i="1"/>
  <c r="V737" i="1"/>
  <c r="V1716" i="1"/>
  <c r="V1783" i="1"/>
  <c r="V1543" i="1"/>
  <c r="V1814" i="1"/>
  <c r="V1632" i="1"/>
  <c r="V1821" i="1"/>
  <c r="V1888" i="1"/>
  <c r="V1631" i="1"/>
  <c r="V1300" i="1"/>
  <c r="V991" i="1"/>
  <c r="V1650" i="1"/>
  <c r="V1887" i="1"/>
  <c r="V1630" i="1"/>
  <c r="V1782" i="1"/>
  <c r="V1060" i="1"/>
  <c r="V1008" i="1"/>
  <c r="V1299" i="1"/>
  <c r="V1841" i="1"/>
  <c r="V1680" i="1"/>
  <c r="V1938" i="1"/>
  <c r="V1472" i="1"/>
  <c r="V1943" i="1"/>
  <c r="V1937" i="1"/>
  <c r="V1629" i="1"/>
  <c r="V1715" i="1"/>
  <c r="V1781" i="1"/>
  <c r="V990" i="1"/>
  <c r="V814" i="1"/>
  <c r="V1628" i="1"/>
  <c r="V1780" i="1"/>
  <c r="V1936" i="1"/>
  <c r="V1246" i="1"/>
  <c r="V1552" i="1"/>
  <c r="V1343" i="1"/>
  <c r="V1627" i="1"/>
  <c r="V1886" i="1"/>
  <c r="V1298" i="1"/>
  <c r="V1515" i="1"/>
  <c r="V1049" i="1"/>
  <c r="V1172" i="1"/>
  <c r="V1679" i="1"/>
  <c r="V1935" i="1"/>
  <c r="V1779" i="1"/>
  <c r="V1795" i="1"/>
  <c r="V948" i="1"/>
  <c r="V1934" i="1"/>
  <c r="V1808" i="1"/>
  <c r="V1423" i="1"/>
  <c r="V1714" i="1"/>
  <c r="V1135" i="1"/>
  <c r="V1649" i="1"/>
  <c r="V1038" i="1"/>
  <c r="V1016" i="1"/>
  <c r="V1113" i="1"/>
  <c r="V1217" i="1"/>
  <c r="V1452" i="1"/>
  <c r="V1718" i="1"/>
  <c r="V1520" i="1"/>
  <c r="V1690" i="1"/>
  <c r="V1626" i="1"/>
  <c r="V1885" i="1"/>
  <c r="V1092" i="1"/>
  <c r="V1046" i="1"/>
  <c r="V1052" i="1"/>
  <c r="V1514" i="1"/>
  <c r="V1625" i="1"/>
  <c r="V1088" i="1"/>
  <c r="V1933" i="1"/>
  <c r="V1624" i="1"/>
  <c r="V1623" i="1"/>
  <c r="V1622" i="1"/>
  <c r="V1245" i="1"/>
  <c r="V1778" i="1"/>
  <c r="V1513" i="1"/>
  <c r="V1884" i="1"/>
  <c r="V1451" i="1"/>
  <c r="V1621" i="1"/>
  <c r="V1620" i="1"/>
  <c r="V1777" i="1"/>
  <c r="V1820" i="1"/>
  <c r="V1776" i="1"/>
  <c r="V939" i="1"/>
  <c r="V1775" i="1"/>
  <c r="V1141" i="1"/>
  <c r="V1954" i="1"/>
  <c r="V1619" i="1"/>
  <c r="V1422" i="1"/>
  <c r="V1362" i="1"/>
  <c r="V1134" i="1"/>
  <c r="V1840" i="1"/>
  <c r="V1297" i="1"/>
  <c r="V1206" i="1"/>
  <c r="V1445" i="1"/>
  <c r="V1342" i="1"/>
  <c r="V564" i="1"/>
  <c r="V1689" i="1"/>
  <c r="V1312" i="1"/>
  <c r="V1618" i="1"/>
  <c r="V1296" i="1"/>
  <c r="V1205" i="1"/>
  <c r="V1688" i="1"/>
  <c r="V1774" i="1"/>
  <c r="V1773" i="1"/>
  <c r="V1104" i="1"/>
  <c r="V1210" i="1"/>
  <c r="V754" i="1"/>
  <c r="V933" i="1"/>
  <c r="V1302" i="1"/>
  <c r="V588" i="1"/>
  <c r="V1133" i="1"/>
  <c r="V1253" i="1"/>
  <c r="V1617" i="1"/>
  <c r="V1953" i="1"/>
  <c r="V1648" i="1"/>
  <c r="V1713" i="1"/>
  <c r="V1295" i="1"/>
  <c r="V1807" i="1"/>
  <c r="V1903" i="1"/>
  <c r="V1850" i="1"/>
  <c r="V1898" i="1"/>
  <c r="V1772" i="1"/>
  <c r="V945" i="1"/>
  <c r="V1204" i="1"/>
  <c r="V973" i="1"/>
  <c r="V1839" i="1"/>
  <c r="V1009" i="1"/>
  <c r="V1838" i="1"/>
  <c r="V1233" i="1"/>
  <c r="V1909" i="1"/>
  <c r="V861" i="1"/>
  <c r="V1165" i="1"/>
  <c r="V1324" i="1"/>
  <c r="V942" i="1"/>
  <c r="V996" i="1"/>
  <c r="V889" i="1"/>
  <c r="V1341" i="1"/>
  <c r="V1340" i="1"/>
  <c r="V1539" i="1"/>
  <c r="V968" i="1"/>
  <c r="V938" i="1"/>
  <c r="V1542" i="1"/>
  <c r="V932" i="1"/>
  <c r="V1806" i="1"/>
  <c r="V1031" i="1"/>
  <c r="V1030" i="1"/>
  <c r="V1056" i="1"/>
  <c r="V1250" i="1"/>
  <c r="V1265" i="1"/>
  <c r="V1294" i="1"/>
  <c r="V1258" i="1"/>
  <c r="V1087" i="1"/>
  <c r="V1616" i="1"/>
  <c r="V1531" i="1"/>
  <c r="V1421" i="1"/>
  <c r="V1932" i="1"/>
  <c r="V1952" i="1"/>
  <c r="V1132" i="1"/>
  <c r="V1431" i="1"/>
  <c r="V1615" i="1"/>
  <c r="V941" i="1"/>
  <c r="V1420" i="1"/>
  <c r="V1694" i="1"/>
  <c r="V1771" i="1"/>
  <c r="V1931" i="1"/>
  <c r="V1712" i="1"/>
  <c r="V1770" i="1"/>
  <c r="V1769" i="1"/>
  <c r="V1768" i="1"/>
  <c r="V1930" i="1"/>
  <c r="V1711" i="1"/>
  <c r="V1669" i="1"/>
  <c r="V1849" i="1"/>
  <c r="V1837" i="1"/>
  <c r="V1203" i="1"/>
  <c r="V1929" i="1"/>
  <c r="V1614" i="1"/>
  <c r="V1856" i="1"/>
  <c r="V1613" i="1"/>
  <c r="V1883" i="1"/>
  <c r="V1944" i="1"/>
  <c r="V1668" i="1"/>
  <c r="V1086" i="1"/>
  <c r="V1928" i="1"/>
  <c r="V1109" i="1"/>
  <c r="V873" i="1"/>
  <c r="V901" i="1"/>
  <c r="V1819" i="1"/>
  <c r="V1805" i="1"/>
  <c r="V1251" i="1"/>
  <c r="V1085" i="1"/>
  <c r="V1366" i="1"/>
  <c r="V1767" i="1"/>
  <c r="V1373" i="1"/>
  <c r="V1848" i="1"/>
  <c r="V1927" i="1"/>
  <c r="V1902" i="1"/>
  <c r="V1926" i="1"/>
  <c r="V1419" i="1"/>
  <c r="V1612" i="1"/>
  <c r="V1611" i="1"/>
  <c r="V1610" i="1"/>
  <c r="V1882" i="1"/>
  <c r="V1881" i="1"/>
  <c r="V1153" i="1"/>
  <c r="V1512" i="1"/>
  <c r="V887" i="1"/>
  <c r="V590" i="1"/>
  <c r="V1355" i="1"/>
  <c r="V851" i="1"/>
  <c r="V799" i="1"/>
  <c r="V1231" i="1"/>
  <c r="V1667" i="1"/>
  <c r="V1817" i="1"/>
  <c r="V1418" i="1"/>
  <c r="V1666" i="1"/>
  <c r="V1766" i="1"/>
  <c r="V998" i="1"/>
  <c r="V1202" i="1"/>
  <c r="V940" i="1"/>
  <c r="V860" i="1"/>
  <c r="V768" i="1"/>
  <c r="V848" i="1"/>
  <c r="V1647" i="1"/>
  <c r="V1059" i="1"/>
  <c r="V1201" i="1"/>
  <c r="V1084" i="1"/>
  <c r="V886" i="1"/>
  <c r="V734" i="1"/>
  <c r="V1442" i="1"/>
  <c r="V1164" i="1"/>
  <c r="V1311" i="1"/>
  <c r="V1925" i="1"/>
  <c r="V834" i="1"/>
  <c r="V1511" i="1"/>
  <c r="V1339" i="1"/>
  <c r="V1646" i="1"/>
  <c r="V1765" i="1"/>
  <c r="V1880" i="1"/>
  <c r="V1951" i="1"/>
  <c r="V1764" i="1"/>
  <c r="V1957" i="1"/>
  <c r="V1847" i="1"/>
  <c r="V1510" i="1"/>
  <c r="V1293" i="1"/>
  <c r="V1319" i="1"/>
  <c r="V1924" i="1"/>
  <c r="V1836" i="1"/>
  <c r="V1108" i="1"/>
  <c r="V1244" i="1"/>
  <c r="V1166" i="1"/>
  <c r="V1923" i="1"/>
  <c r="V1763" i="1"/>
  <c r="V989" i="1"/>
  <c r="V1094" i="1"/>
  <c r="V1200" i="1"/>
  <c r="V1292" i="1"/>
  <c r="V832" i="1"/>
  <c r="V1145" i="1"/>
  <c r="V692" i="1"/>
  <c r="V1199" i="1"/>
  <c r="V831" i="1"/>
  <c r="V1557" i="1"/>
  <c r="V1639" i="1"/>
  <c r="V1609" i="1"/>
  <c r="V1417" i="1"/>
  <c r="V1441" i="1"/>
  <c r="V1450" i="1"/>
  <c r="V909" i="1"/>
  <c r="V1533" i="1"/>
  <c r="V1910" i="1"/>
  <c r="V1371" i="1"/>
  <c r="V1318" i="1"/>
  <c r="V1762" i="1"/>
  <c r="V1152" i="1"/>
  <c r="V1151" i="1"/>
  <c r="V1416" i="1"/>
  <c r="V1509" i="1"/>
  <c r="V1048" i="1"/>
  <c r="V936" i="1"/>
  <c r="V1055" i="1"/>
  <c r="V1323" i="1"/>
  <c r="V1095" i="1"/>
  <c r="V1678" i="1"/>
  <c r="V1508" i="1"/>
  <c r="V1608" i="1"/>
  <c r="V1607" i="1"/>
  <c r="V1606" i="1"/>
  <c r="V1266" i="1"/>
  <c r="V931" i="1"/>
  <c r="V1605" i="1"/>
  <c r="V823" i="1"/>
  <c r="V1761" i="1"/>
  <c r="V1604" i="1"/>
  <c r="V1360" i="1"/>
  <c r="V1291" i="1"/>
  <c r="V1760" i="1"/>
  <c r="V1879" i="1"/>
  <c r="V1759" i="1"/>
  <c r="V1198" i="1"/>
  <c r="V1290" i="1"/>
  <c r="V1197" i="1"/>
  <c r="V1243" i="1"/>
  <c r="V1541" i="1"/>
  <c r="V1603" i="1"/>
  <c r="V531" i="1"/>
  <c r="V1860" i="1"/>
  <c r="V532" i="1"/>
  <c r="V1432" i="1"/>
  <c r="V1602" i="1"/>
  <c r="V1083" i="1"/>
  <c r="V1710" i="1"/>
  <c r="V1162" i="1"/>
  <c r="V1758" i="1"/>
  <c r="V1015" i="1"/>
  <c r="V1131" i="1"/>
  <c r="V1230" i="1"/>
  <c r="V1045" i="1"/>
  <c r="V1942" i="1"/>
  <c r="V1034" i="1"/>
  <c r="V1370" i="1"/>
  <c r="V1415" i="1"/>
  <c r="V1176" i="1"/>
  <c r="V1459" i="1"/>
  <c r="V952" i="1"/>
  <c r="V1922" i="1"/>
  <c r="V1213" i="1"/>
  <c r="V1471" i="1"/>
  <c r="V1507" i="1"/>
  <c r="V1414" i="1"/>
  <c r="V1671" i="1"/>
  <c r="V1835" i="1"/>
  <c r="V1717" i="1"/>
  <c r="V1440" i="1"/>
  <c r="V1878" i="1"/>
  <c r="V620" i="1"/>
  <c r="V1289" i="1"/>
  <c r="V1538" i="1"/>
  <c r="V1506" i="1"/>
  <c r="V1804" i="1"/>
  <c r="V1858" i="1"/>
  <c r="V1792" i="1"/>
  <c r="V1652" i="1"/>
  <c r="V1601" i="1"/>
  <c r="V1757" i="1"/>
  <c r="V1196" i="1"/>
  <c r="V1687" i="1"/>
  <c r="V1160" i="1"/>
  <c r="V951" i="1"/>
  <c r="V859" i="1"/>
  <c r="V1439" i="1"/>
  <c r="V1317" i="1"/>
  <c r="V1130" i="1"/>
  <c r="V1159" i="1"/>
  <c r="V1756" i="1"/>
  <c r="V1921" i="1"/>
  <c r="V1755" i="1"/>
  <c r="V1665" i="1"/>
  <c r="V1794" i="1"/>
  <c r="V1877" i="1"/>
  <c r="V1754" i="1"/>
  <c r="V1505" i="1"/>
  <c r="V1338" i="1"/>
  <c r="V1470" i="1"/>
  <c r="V1235" i="1"/>
  <c r="V1430" i="1"/>
  <c r="V1530" i="1"/>
  <c r="V907" i="1"/>
  <c r="V1082" i="1"/>
  <c r="V1007" i="1"/>
  <c r="V1195" i="1"/>
  <c r="V1081" i="1"/>
  <c r="V1519" i="1"/>
  <c r="V1834" i="1"/>
  <c r="V1753" i="1"/>
  <c r="V858" i="1"/>
  <c r="V1413" i="1"/>
  <c r="V593" i="1"/>
  <c r="V1600" i="1"/>
  <c r="V1681" i="1"/>
  <c r="V1018" i="1"/>
  <c r="V1449" i="1"/>
  <c r="V1504" i="1"/>
  <c r="V1599" i="1"/>
  <c r="V1316" i="1"/>
  <c r="V1359" i="1"/>
  <c r="V565" i="1"/>
  <c r="V930" i="1"/>
  <c r="V1337" i="1"/>
  <c r="V1216" i="1"/>
  <c r="V753" i="1"/>
  <c r="V1640" i="1"/>
  <c r="V1412" i="1"/>
  <c r="V1752" i="1"/>
  <c r="V509" i="1"/>
  <c r="V929" i="1"/>
  <c r="V849" i="1"/>
  <c r="V1080" i="1"/>
  <c r="V995" i="1"/>
  <c r="V803" i="1"/>
  <c r="V1107" i="1"/>
  <c r="V1315" i="1"/>
  <c r="V1503" i="1"/>
  <c r="V1751" i="1"/>
  <c r="V1750" i="1"/>
  <c r="V1598" i="1"/>
  <c r="V1171" i="1"/>
  <c r="V1876" i="1"/>
  <c r="V508" i="1"/>
  <c r="V1749" i="1"/>
  <c r="V1556" i="1"/>
  <c r="V1875" i="1"/>
  <c r="V1597" i="1"/>
  <c r="V1288" i="1"/>
  <c r="V1920" i="1"/>
  <c r="V650" i="1"/>
  <c r="V1287" i="1"/>
  <c r="V1469" i="1"/>
  <c r="V1956" i="1"/>
  <c r="V1254" i="1"/>
  <c r="V1209" i="1"/>
  <c r="V963" i="1"/>
  <c r="V1955" i="1"/>
  <c r="V1502" i="1"/>
  <c r="V1411" i="1"/>
  <c r="V1596" i="1"/>
  <c r="V1170" i="1"/>
  <c r="V1709" i="1"/>
  <c r="V1656" i="1"/>
  <c r="V1129" i="1"/>
  <c r="V781" i="1"/>
  <c r="V1410" i="1"/>
  <c r="V1595" i="1"/>
  <c r="V1874" i="1"/>
  <c r="V1594" i="1"/>
  <c r="V1748" i="1"/>
  <c r="V1501" i="1"/>
  <c r="V813" i="1"/>
  <c r="V394" i="1"/>
  <c r="V1354" i="1"/>
  <c r="V988" i="1"/>
  <c r="V906" i="1"/>
  <c r="V1833" i="1"/>
  <c r="V1708" i="1"/>
  <c r="V1194" i="1"/>
  <c r="V1524" i="1"/>
  <c r="V1286" i="1"/>
  <c r="V1691" i="1"/>
  <c r="V1796" i="1"/>
  <c r="V1193" i="1"/>
  <c r="V1747" i="1"/>
  <c r="V1446" i="1"/>
  <c r="V715" i="1"/>
  <c r="V1500" i="1"/>
  <c r="V604" i="1"/>
  <c r="V1746" i="1"/>
  <c r="V1499" i="1"/>
  <c r="V847" i="1"/>
  <c r="V1029" i="1"/>
  <c r="V1028" i="1"/>
  <c r="V708" i="1"/>
  <c r="V1285" i="1"/>
  <c r="V1192" i="1"/>
  <c r="V1745" i="1"/>
  <c r="V1260" i="1"/>
  <c r="V292" i="1"/>
  <c r="V1664" i="1"/>
  <c r="V1498" i="1"/>
  <c r="V1707" i="1"/>
  <c r="V1063" i="1"/>
  <c r="V1249" i="1"/>
  <c r="V1177" i="1"/>
  <c r="V1919" i="1"/>
  <c r="V1950" i="1"/>
  <c r="V505" i="1"/>
  <c r="V1336" i="1"/>
  <c r="V1949" i="1"/>
  <c r="V1027" i="1"/>
  <c r="V1128" i="1"/>
  <c r="V447" i="1"/>
  <c r="V1115" i="1"/>
  <c r="V1897" i="1"/>
  <c r="V1593" i="1"/>
  <c r="V1592" i="1"/>
  <c r="V1409" i="1"/>
  <c r="V1591" i="1"/>
  <c r="V1079" i="1"/>
  <c r="V1744" i="1"/>
  <c r="V891" i="1"/>
  <c r="V812" i="1"/>
  <c r="V1873" i="1"/>
  <c r="V928" i="1"/>
  <c r="V927" i="1"/>
  <c r="V1743" i="1"/>
  <c r="V1686" i="1"/>
  <c r="V1006" i="1"/>
  <c r="V1335" i="1"/>
  <c r="V1706" i="1"/>
  <c r="V1111" i="1"/>
  <c r="V1641" i="1"/>
  <c r="V603" i="1"/>
  <c r="V1000" i="1"/>
  <c r="V1078" i="1"/>
  <c r="V1257" i="1"/>
  <c r="V1140" i="1"/>
  <c r="V874" i="1"/>
  <c r="V946" i="1"/>
  <c r="V1158" i="1"/>
  <c r="V1555" i="1"/>
  <c r="V1175" i="1"/>
  <c r="V1174" i="1"/>
  <c r="V1408" i="1"/>
  <c r="V1215" i="1"/>
  <c r="V403" i="1"/>
  <c r="V456" i="1"/>
  <c r="V1026" i="1"/>
  <c r="V1872" i="1"/>
  <c r="V1685" i="1"/>
  <c r="V446" i="1"/>
  <c r="V868" i="1"/>
  <c r="V1264" i="1"/>
  <c r="V1742" i="1"/>
  <c r="V1857" i="1"/>
  <c r="V478" i="1"/>
  <c r="V1314" i="1"/>
  <c r="V573" i="1"/>
  <c r="V1334" i="1"/>
  <c r="V1911" i="1"/>
  <c r="V723" i="1"/>
  <c r="V1871" i="1"/>
  <c r="V1529" i="1"/>
  <c r="V1989" i="1"/>
  <c r="V1407" i="1"/>
  <c r="V1590" i="1"/>
  <c r="V664" i="1"/>
  <c r="V905" i="1"/>
  <c r="V944" i="1"/>
  <c r="V1406" i="1"/>
  <c r="V1405" i="1"/>
  <c r="V1310" i="1"/>
  <c r="V1697" i="1"/>
  <c r="V1589" i="1"/>
  <c r="V935" i="1"/>
  <c r="V736" i="1"/>
  <c r="V838" i="1"/>
  <c r="V575" i="1"/>
  <c r="V943" i="1"/>
  <c r="V1684" i="1"/>
  <c r="V1705" i="1"/>
  <c r="V1025" i="1"/>
  <c r="V934" i="1"/>
  <c r="V1663" i="1"/>
  <c r="V1588" i="1"/>
  <c r="V1358" i="1"/>
  <c r="V800" i="1"/>
  <c r="V1044" i="1"/>
  <c r="V602" i="1"/>
  <c r="V1157" i="1"/>
  <c r="V1077" i="1"/>
  <c r="V1404" i="1"/>
  <c r="V1434" i="1"/>
  <c r="V1014" i="1"/>
  <c r="V1532" i="1"/>
  <c r="V1353" i="1"/>
  <c r="V1677" i="1"/>
  <c r="V1309" i="1"/>
  <c r="V997" i="1"/>
  <c r="V830" i="1"/>
  <c r="V587" i="1"/>
  <c r="V1010" i="1"/>
  <c r="V574" i="1"/>
  <c r="V1855" i="1"/>
  <c r="V1191" i="1"/>
  <c r="V1474" i="1"/>
  <c r="V1587" i="1"/>
  <c r="V975" i="1"/>
  <c r="V1322" i="1"/>
  <c r="V870" i="1"/>
  <c r="V1683" i="1"/>
  <c r="V1854" i="1"/>
  <c r="V1403" i="1"/>
  <c r="V1791" i="1"/>
  <c r="V1497" i="1"/>
  <c r="V1586" i="1"/>
  <c r="V461" i="1"/>
  <c r="V1402" i="1"/>
  <c r="V733" i="1"/>
  <c r="V869" i="1"/>
  <c r="V1654" i="1"/>
  <c r="V1496" i="1"/>
  <c r="V1741" i="1"/>
  <c r="V1740" i="1"/>
  <c r="V149" i="1"/>
  <c r="V1401" i="1"/>
  <c r="V999" i="1"/>
  <c r="V1024" i="1"/>
  <c r="V1585" i="1"/>
  <c r="V1190" i="1"/>
  <c r="V1189" i="1"/>
  <c r="V987" i="1"/>
  <c r="V829" i="1"/>
  <c r="V301" i="1"/>
  <c r="V1815" i="1"/>
  <c r="V787" i="1"/>
  <c r="V1242" i="1"/>
  <c r="V1846" i="1"/>
  <c r="V1023" i="1"/>
  <c r="V1584" i="1"/>
  <c r="V1739" i="1"/>
  <c r="V1704" i="1"/>
  <c r="V1738" i="1"/>
  <c r="V1832" i="1"/>
  <c r="V811" i="1"/>
  <c r="V1583" i="1"/>
  <c r="V820" i="1"/>
  <c r="V534" i="1"/>
  <c r="V1676" i="1"/>
  <c r="V1645" i="1"/>
  <c r="V969" i="1"/>
  <c r="V1495" i="1"/>
  <c r="V967" i="1"/>
  <c r="V1494" i="1"/>
  <c r="V962" i="1"/>
  <c r="V1248" i="1"/>
  <c r="V1188" i="1"/>
  <c r="V721" i="1"/>
  <c r="V1551" i="1"/>
  <c r="V1187" i="1"/>
  <c r="V1005" i="1"/>
  <c r="V1582" i="1"/>
  <c r="V1098" i="1"/>
  <c r="V856" i="1"/>
  <c r="V1468" i="1"/>
  <c r="V1550" i="1"/>
  <c r="V1870" i="1"/>
  <c r="V1127" i="1"/>
  <c r="V961" i="1"/>
  <c r="V780" i="1"/>
  <c r="V1845" i="1"/>
  <c r="V1581" i="1"/>
  <c r="V1126" i="1"/>
  <c r="V926" i="1"/>
  <c r="V1218" i="1"/>
  <c r="V1675" i="1"/>
  <c r="V720" i="1"/>
  <c r="V44" i="1"/>
  <c r="V1333" i="1"/>
  <c r="V1869" i="1"/>
  <c r="V88" i="1"/>
  <c r="V1737" i="1"/>
  <c r="V1736" i="1"/>
  <c r="V1467" i="1"/>
  <c r="V707" i="1"/>
  <c r="V1735" i="1"/>
  <c r="V1988" i="1"/>
  <c r="V1987" i="1"/>
  <c r="V1549" i="1"/>
  <c r="V1062" i="1"/>
  <c r="V419" i="1"/>
  <c r="V828" i="1"/>
  <c r="V1493" i="1"/>
  <c r="V428" i="1"/>
  <c r="V1076" i="1"/>
  <c r="V1400" i="1"/>
  <c r="V911" i="1"/>
  <c r="V1831" i="1"/>
  <c r="V1308" i="1"/>
  <c r="V925" i="1"/>
  <c r="V1284" i="1"/>
  <c r="V1528" i="1"/>
  <c r="V1830" i="1"/>
  <c r="V649" i="1"/>
  <c r="V1466" i="1"/>
  <c r="V1803" i="1"/>
  <c r="V551" i="1"/>
  <c r="V563" i="1"/>
  <c r="V653" i="1"/>
  <c r="V1283" i="1"/>
  <c r="V1734" i="1"/>
  <c r="V1220" i="1"/>
  <c r="V1282" i="1"/>
  <c r="V1147" i="1"/>
  <c r="V1492" i="1"/>
  <c r="V712" i="1"/>
  <c r="V885" i="1"/>
  <c r="V1043" i="1"/>
  <c r="V1033" i="1"/>
  <c r="V1042" i="1"/>
  <c r="V685" i="1"/>
  <c r="V1156" i="1"/>
  <c r="V908" i="1"/>
  <c r="V1346" i="1"/>
  <c r="V1222" i="1"/>
  <c r="V884" i="1"/>
  <c r="V1908" i="1"/>
  <c r="V1219" i="1"/>
  <c r="V1948" i="1"/>
  <c r="V1186" i="1"/>
  <c r="V1448" i="1"/>
  <c r="V500" i="1"/>
  <c r="V1491" i="1"/>
  <c r="V1703" i="1"/>
  <c r="V1829" i="1"/>
  <c r="V883" i="1"/>
  <c r="V732" i="1"/>
  <c r="V1169" i="1"/>
  <c r="V1523" i="1"/>
  <c r="V1460" i="1"/>
  <c r="V1802" i="1"/>
  <c r="V108" i="1"/>
  <c r="V497" i="1"/>
  <c r="V1733" i="1"/>
  <c r="V1303" i="1"/>
  <c r="V846" i="1"/>
  <c r="V783" i="1"/>
  <c r="V1332" i="1"/>
  <c r="V1818" i="1"/>
  <c r="V798" i="1"/>
  <c r="V1461" i="1"/>
  <c r="V1399" i="1"/>
  <c r="V1642" i="1"/>
  <c r="V1580" i="1"/>
  <c r="V1828" i="1"/>
  <c r="V794" i="1"/>
  <c r="V1490" i="1"/>
  <c r="V1801" i="1"/>
  <c r="V1868" i="1"/>
  <c r="V1185" i="1"/>
  <c r="V1489" i="1"/>
  <c r="V960" i="1"/>
  <c r="V752" i="1"/>
  <c r="V1004" i="1"/>
  <c r="V359" i="1"/>
  <c r="V393" i="1"/>
  <c r="V1732" i="1"/>
  <c r="V1579" i="1"/>
  <c r="V845" i="1"/>
  <c r="V1458" i="1"/>
  <c r="V1214" i="1"/>
  <c r="V760" i="1"/>
  <c r="V1462" i="1"/>
  <c r="V959" i="1"/>
  <c r="V220" i="1"/>
  <c r="V490" i="1"/>
  <c r="V1051" i="1"/>
  <c r="V1369" i="1"/>
  <c r="V1398" i="1"/>
  <c r="V986" i="1"/>
  <c r="V1397" i="1"/>
  <c r="V751" i="1"/>
  <c r="V1050" i="1"/>
  <c r="V1229" i="1"/>
  <c r="V827" i="1"/>
  <c r="V1364" i="1"/>
  <c r="V924" i="1"/>
  <c r="V1396" i="1"/>
  <c r="V882" i="1"/>
  <c r="V1259" i="1"/>
  <c r="V1653" i="1"/>
  <c r="V923" i="1"/>
  <c r="V771" i="1"/>
  <c r="V1662" i="1"/>
  <c r="V782" i="1"/>
  <c r="V1256" i="1"/>
  <c r="V1578" i="1"/>
  <c r="V711" i="1"/>
  <c r="V445" i="1"/>
  <c r="V1548" i="1"/>
  <c r="V1184" i="1"/>
  <c r="V1577" i="1"/>
  <c r="V867" i="1"/>
  <c r="V1905" i="1"/>
  <c r="V388" i="1"/>
  <c r="V1331" i="1"/>
  <c r="V881" i="1"/>
  <c r="V880" i="1"/>
  <c r="V1075" i="1"/>
  <c r="V586" i="1"/>
  <c r="V562" i="1"/>
  <c r="V1013" i="1"/>
  <c r="V1827" i="1"/>
  <c r="V786" i="1"/>
  <c r="V1901" i="1"/>
  <c r="V1693" i="1"/>
  <c r="V1661" i="1"/>
  <c r="V1488" i="1"/>
  <c r="V1867" i="1"/>
  <c r="V1826" i="1"/>
  <c r="V1003" i="1"/>
  <c r="V966" i="1"/>
  <c r="V1125" i="1"/>
  <c r="V422" i="1"/>
  <c r="V380" i="1"/>
  <c r="V835" i="1"/>
  <c r="V985" i="1"/>
  <c r="V1281" i="1"/>
  <c r="V1395" i="1"/>
  <c r="V1487" i="1"/>
  <c r="V1124" i="1"/>
  <c r="V1123" i="1"/>
  <c r="V1866" i="1"/>
  <c r="V1394" i="1"/>
  <c r="V59" i="1"/>
  <c r="V1065" i="1"/>
  <c r="V1486" i="1"/>
  <c r="V1167" i="1"/>
  <c r="V1485" i="1"/>
  <c r="V844" i="1"/>
  <c r="V550" i="1"/>
  <c r="V504" i="1"/>
  <c r="V1100" i="1"/>
  <c r="V735" i="1"/>
  <c r="V1037" i="1"/>
  <c r="V1032" i="1"/>
  <c r="V1438" i="1"/>
  <c r="V947" i="1"/>
  <c r="V892" i="1"/>
  <c r="V1357" i="1"/>
  <c r="V1232" i="1"/>
  <c r="V826" i="1"/>
  <c r="V1660" i="1"/>
  <c r="V1865" i="1"/>
  <c r="V1521" i="1"/>
  <c r="V893" i="1"/>
  <c r="V82" i="1"/>
  <c r="V1054" i="1"/>
  <c r="V922" i="1"/>
  <c r="V779" i="1"/>
  <c r="V1061" i="1"/>
  <c r="V1674" i="1"/>
  <c r="V921" i="1"/>
  <c r="V1527" i="1"/>
  <c r="V1644" i="1"/>
  <c r="V1103" i="1"/>
  <c r="V1800" i="1"/>
  <c r="V1263" i="1"/>
  <c r="V43" i="1"/>
  <c r="V1702" i="1"/>
  <c r="V825" i="1"/>
  <c r="V1074" i="1"/>
  <c r="V1465" i="1"/>
  <c r="V1255" i="1"/>
  <c r="V971" i="1"/>
  <c r="V824" i="1"/>
  <c r="V1252" i="1"/>
  <c r="V529" i="1"/>
  <c r="V355" i="1"/>
  <c r="V1731" i="1"/>
  <c r="V1241" i="1"/>
  <c r="V1330" i="1"/>
  <c r="V1221" i="1"/>
  <c r="V568" i="1"/>
  <c r="V1918" i="1"/>
  <c r="V1576" i="1"/>
  <c r="V1575" i="1"/>
  <c r="V1457" i="1"/>
  <c r="V1240" i="1"/>
  <c r="V1122" i="1"/>
  <c r="V1073" i="1"/>
  <c r="V1696" i="1"/>
  <c r="V1352" i="1"/>
  <c r="V1155" i="1"/>
  <c r="V1173" i="1"/>
  <c r="V1456" i="1"/>
  <c r="V1574" i="1"/>
  <c r="V837" i="1"/>
  <c r="V592" i="1"/>
  <c r="V1361" i="1"/>
  <c r="V1224" i="1"/>
  <c r="V958" i="1"/>
  <c r="V1896" i="1"/>
  <c r="V765" i="1"/>
  <c r="V686" i="1"/>
  <c r="V1041" i="1"/>
  <c r="V1168" i="1"/>
  <c r="V570" i="1"/>
  <c r="V1154" i="1"/>
  <c r="V1223" i="1"/>
  <c r="V1447" i="1"/>
  <c r="V1454" i="1"/>
  <c r="V1106" i="1"/>
  <c r="V1730" i="1"/>
  <c r="V1280" i="1"/>
  <c r="V1526" i="1"/>
  <c r="V1110" i="1"/>
  <c r="V1329" i="1"/>
  <c r="V1234" i="1"/>
  <c r="V1279" i="1"/>
  <c r="V1313" i="1"/>
  <c r="V920" i="1"/>
  <c r="V1102" i="1"/>
  <c r="V1239" i="1"/>
  <c r="V1278" i="1"/>
  <c r="V957" i="1"/>
  <c r="V778" i="1"/>
  <c r="V1277" i="1"/>
  <c r="V1276" i="1"/>
  <c r="V1844" i="1"/>
  <c r="V888" i="1"/>
  <c r="V1183" i="1"/>
  <c r="V1228" i="1"/>
  <c r="V1262" i="1"/>
  <c r="V1484" i="1"/>
  <c r="V1483" i="1"/>
  <c r="V1182" i="1"/>
  <c r="V1433" i="1"/>
  <c r="V173" i="1"/>
  <c r="V352" i="1"/>
  <c r="V1573" i="1"/>
  <c r="V1643" i="1"/>
  <c r="V843" i="1"/>
  <c r="V680" i="1"/>
  <c r="V1547" i="1"/>
  <c r="V1275" i="1"/>
  <c r="V1729" i="1"/>
  <c r="V1864" i="1"/>
  <c r="V984" i="1"/>
  <c r="V1682" i="1"/>
  <c r="V212" i="1"/>
  <c r="V919" i="1"/>
  <c r="V983" i="1"/>
  <c r="V1040" i="1"/>
  <c r="V1863" i="1"/>
  <c r="V1659" i="1"/>
  <c r="V1348" i="1"/>
  <c r="V1917" i="1"/>
  <c r="V1728" i="1"/>
  <c r="V1437" i="1"/>
  <c r="V572" i="1"/>
  <c r="V1105" i="1"/>
  <c r="V855" i="1"/>
  <c r="V904" i="1"/>
  <c r="V1238" i="1"/>
  <c r="V903" i="1"/>
  <c r="V758" i="1"/>
  <c r="V1546" i="1"/>
  <c r="V1572" i="1"/>
  <c r="V1825" i="1"/>
  <c r="V1482" i="1"/>
  <c r="V1673" i="1"/>
  <c r="V559" i="1"/>
  <c r="V769" i="1"/>
  <c r="V1039" i="1"/>
  <c r="V1522" i="1"/>
  <c r="V1121" i="1"/>
  <c r="V1368" i="1"/>
  <c r="V972" i="1"/>
  <c r="V677" i="1"/>
  <c r="V1099" i="1"/>
  <c r="V1093" i="1"/>
  <c r="V1790" i="1"/>
  <c r="V1473" i="1"/>
  <c r="V1658" i="1"/>
  <c r="V1247" i="1"/>
  <c r="V1481" i="1"/>
  <c r="V1453" i="1"/>
  <c r="V1525" i="1"/>
  <c r="V1537" i="1"/>
  <c r="V1211" i="1"/>
  <c r="V1274" i="1"/>
  <c r="V629" i="1"/>
  <c r="V1571" i="1"/>
  <c r="V1097" i="1"/>
  <c r="V1036" i="1"/>
  <c r="V1536" i="1"/>
  <c r="V1144" i="1"/>
  <c r="V1273" i="1"/>
  <c r="V1237" i="1"/>
  <c r="V1227" i="1"/>
  <c r="V1393" i="1"/>
  <c r="V1392" i="1"/>
  <c r="V252" i="1"/>
  <c r="V1053" i="1"/>
  <c r="V801" i="1"/>
  <c r="V1351" i="1"/>
  <c r="V1570" i="1"/>
  <c r="V750" i="1"/>
  <c r="V1569" i="1"/>
  <c r="V1350" i="1"/>
  <c r="V1816" i="1"/>
  <c r="V1150" i="1"/>
  <c r="V796" i="1"/>
  <c r="V854" i="1"/>
  <c r="V1824" i="1"/>
  <c r="V1701" i="1"/>
  <c r="V1391" i="1"/>
  <c r="V1120" i="1"/>
  <c r="V1072" i="1"/>
  <c r="V1236" i="1"/>
  <c r="V1272" i="1"/>
  <c r="V528" i="1"/>
  <c r="V982" i="1"/>
  <c r="V853" i="1"/>
  <c r="V852" i="1"/>
  <c r="V489" i="1"/>
  <c r="V476" i="1"/>
  <c r="V1568" i="1"/>
  <c r="V1727" i="1"/>
  <c r="V615" i="1"/>
  <c r="V866" i="1"/>
  <c r="V1567" i="1"/>
  <c r="V1566" i="1"/>
  <c r="V1429" i="1"/>
  <c r="V1692" i="1"/>
  <c r="V1372" i="1"/>
  <c r="V1390" i="1"/>
  <c r="V802" i="1"/>
  <c r="V1726" i="1"/>
  <c r="V1535" i="1"/>
  <c r="V770" i="1"/>
  <c r="V981" i="1"/>
  <c r="V706" i="1"/>
  <c r="V1565" i="1"/>
  <c r="V1672" i="1"/>
  <c r="V1389" i="1"/>
  <c r="V1436" i="1"/>
  <c r="V576" i="1"/>
  <c r="V267" i="1"/>
  <c r="V842" i="1"/>
  <c r="V1916" i="1"/>
  <c r="V377" i="1"/>
  <c r="V1480" i="1"/>
  <c r="V669" i="1"/>
  <c r="V264" i="1"/>
  <c r="V1307" i="1"/>
  <c r="V1479" i="1"/>
  <c r="V1564" i="1"/>
  <c r="V1388" i="1"/>
  <c r="V642" i="1"/>
  <c r="V449" i="1"/>
  <c r="V638" i="1"/>
  <c r="V626" i="1"/>
  <c r="V598" i="1"/>
  <c r="V536" i="1"/>
  <c r="V585" i="1"/>
  <c r="V793" i="1"/>
  <c r="V1915" i="1"/>
  <c r="V527" i="1"/>
  <c r="V1478" i="1"/>
  <c r="V1387" i="1"/>
  <c r="V1986" i="1"/>
  <c r="V1657" i="1"/>
  <c r="V111" i="1"/>
  <c r="V1895" i="1"/>
  <c r="V513" i="1"/>
  <c r="V1444" i="1"/>
  <c r="V1799" i="1"/>
  <c r="V1386" i="1"/>
  <c r="V863" i="1"/>
  <c r="V345" i="1"/>
  <c r="V795" i="1"/>
  <c r="V614" i="1"/>
  <c r="V659" i="1"/>
  <c r="V1464" i="1"/>
  <c r="V644" i="1"/>
  <c r="V714" i="1"/>
  <c r="V1071" i="1"/>
  <c r="V705" i="1"/>
  <c r="V841" i="1"/>
  <c r="V956" i="1"/>
  <c r="V872" i="1"/>
  <c r="V1212" i="1"/>
  <c r="V1226" i="1"/>
  <c r="V215" i="1"/>
  <c r="V275" i="1"/>
  <c r="V1385" i="1"/>
  <c r="V899" i="1"/>
  <c r="V549" i="1"/>
  <c r="V710" i="1"/>
  <c r="V1119" i="1"/>
  <c r="V1328" i="1"/>
  <c r="V410" i="1"/>
  <c r="V992" i="1"/>
  <c r="V1225" i="1"/>
  <c r="V937" i="1"/>
  <c r="V850" i="1"/>
  <c r="V810" i="1"/>
  <c r="V1384" i="1"/>
  <c r="V1383" i="1"/>
  <c r="V1563" i="1"/>
  <c r="V112" i="1"/>
  <c r="V334" i="1"/>
  <c r="V413" i="1"/>
  <c r="V684" i="1"/>
  <c r="V1638" i="1"/>
  <c r="V749" i="1"/>
  <c r="V360" i="1"/>
  <c r="V392" i="1"/>
  <c r="V502" i="1"/>
  <c r="V1271" i="1"/>
  <c r="V1070" i="1"/>
  <c r="V895" i="1"/>
  <c r="V676" i="1"/>
  <c r="V1069" i="1"/>
  <c r="V169" i="1"/>
  <c r="V643" i="1"/>
  <c r="V584" i="1"/>
  <c r="V1022" i="1"/>
  <c r="V1270" i="1"/>
  <c r="V1914" i="1"/>
  <c r="V1725" i="1"/>
  <c r="V1695" i="1"/>
  <c r="V323" i="1"/>
  <c r="V1798" i="1"/>
  <c r="V1545" i="1"/>
  <c r="V809" i="1"/>
  <c r="V1463" i="1"/>
  <c r="V431" i="1"/>
  <c r="V1118" i="1"/>
  <c r="V1101" i="1"/>
  <c r="V1181" i="1"/>
  <c r="V1544" i="1"/>
  <c r="V1382" i="1"/>
  <c r="V1367" i="1"/>
  <c r="V797" i="1"/>
  <c r="V1700" i="1"/>
  <c r="V488" i="1"/>
  <c r="V311" i="1"/>
  <c r="V319" i="1"/>
  <c r="V704" i="1"/>
  <c r="V554" i="1"/>
  <c r="V625" i="1"/>
  <c r="V840" i="1"/>
  <c r="V1381" i="1"/>
  <c r="V879" i="1"/>
  <c r="V1380" i="1"/>
  <c r="V14" i="1"/>
  <c r="V583" i="1"/>
  <c r="V1435" i="1"/>
  <c r="V703" i="1"/>
  <c r="V523" i="1"/>
  <c r="V865" i="1"/>
  <c r="V878" i="1"/>
  <c r="V515" i="1"/>
  <c r="V427" i="1"/>
  <c r="V455" i="1"/>
  <c r="V1455" i="1"/>
  <c r="V822" i="1"/>
  <c r="V1304" i="1"/>
  <c r="V1068" i="1"/>
  <c r="V1067" i="1"/>
  <c r="V548" i="1"/>
  <c r="V558" i="1"/>
  <c r="V481" i="1"/>
  <c r="V372" i="1"/>
  <c r="V839" i="1"/>
  <c r="V1724" i="1"/>
  <c r="V1180" i="1"/>
  <c r="V980" i="1"/>
  <c r="V1699" i="1"/>
  <c r="V545" i="1"/>
  <c r="V333" i="1"/>
  <c r="V48" i="1"/>
  <c r="V1096" i="1"/>
  <c r="V1723" i="1"/>
  <c r="V254" i="1"/>
  <c r="V1327" i="1"/>
  <c r="V792" i="1"/>
  <c r="V561" i="1"/>
  <c r="V418" i="1"/>
  <c r="V187" i="1"/>
  <c r="V1900" i="1"/>
  <c r="V808" i="1"/>
  <c r="V1379" i="1"/>
  <c r="V318" i="1"/>
  <c r="V719" i="1"/>
  <c r="V709" i="1"/>
  <c r="V376" i="1"/>
  <c r="V310" i="1"/>
  <c r="V748" i="1"/>
  <c r="V597" i="1"/>
  <c r="V1947" i="1"/>
  <c r="V1913" i="1"/>
  <c r="V1912" i="1"/>
  <c r="V1540" i="1"/>
  <c r="V102" i="1"/>
  <c r="V777" i="1"/>
  <c r="V776" i="1"/>
  <c r="V387" i="1"/>
  <c r="V269" i="1"/>
  <c r="V668" i="1"/>
  <c r="V487" i="1"/>
  <c r="V974" i="1"/>
  <c r="V902" i="1"/>
  <c r="V898" i="1"/>
  <c r="V651" i="1"/>
  <c r="V285" i="1"/>
  <c r="V118" i="1"/>
  <c r="V284" i="1"/>
  <c r="V613" i="1"/>
  <c r="V918" i="1"/>
  <c r="V1269" i="1"/>
  <c r="V1562" i="1"/>
  <c r="V158" i="1"/>
  <c r="V76" i="1"/>
  <c r="V164" i="1"/>
  <c r="V637" i="1"/>
  <c r="V731" i="1"/>
  <c r="V151" i="1"/>
  <c r="V1797" i="1"/>
  <c r="V994" i="1"/>
  <c r="V1326" i="1"/>
  <c r="V1378" i="1"/>
  <c r="V518" i="1"/>
  <c r="V230" i="1"/>
  <c r="V767" i="1"/>
  <c r="V244" i="1"/>
  <c r="V1534" i="1"/>
  <c r="V1377" i="1"/>
  <c r="V1363" i="1"/>
  <c r="V1698" i="1"/>
  <c r="V309" i="1"/>
  <c r="V283" i="1"/>
  <c r="V747" i="1"/>
  <c r="V542" i="1"/>
  <c r="V746" i="1"/>
  <c r="V1946" i="1"/>
  <c r="V541" i="1"/>
  <c r="V917" i="1"/>
  <c r="V425" i="1"/>
  <c r="V131" i="1"/>
  <c r="V916" i="1"/>
  <c r="V775" i="1"/>
  <c r="V1376" i="1"/>
  <c r="V1561" i="1"/>
  <c r="V955" i="1"/>
  <c r="V954" i="1"/>
  <c r="V332" i="1"/>
  <c r="V791" i="1"/>
  <c r="V1859" i="1"/>
  <c r="V1267" i="1"/>
  <c r="V1722" i="1"/>
  <c r="V1907" i="1"/>
  <c r="V191" i="1"/>
  <c r="V402" i="1"/>
  <c r="V106" i="1"/>
  <c r="V78" i="1"/>
  <c r="V157" i="1"/>
  <c r="V270" i="1"/>
  <c r="V194" i="1"/>
  <c r="V205" i="1"/>
  <c r="V240" i="1"/>
  <c r="V1064" i="1"/>
  <c r="V993" i="1"/>
  <c r="V421" i="1"/>
  <c r="V807" i="1"/>
  <c r="V364" i="1"/>
  <c r="V444" i="1"/>
  <c r="V636" i="1"/>
  <c r="V1721" i="1"/>
  <c r="V443" i="1"/>
  <c r="V379" i="1"/>
  <c r="V635" i="1"/>
  <c r="V678" i="1"/>
  <c r="V297" i="1"/>
  <c r="V442" i="1"/>
  <c r="V282" i="1"/>
  <c r="V617" i="1"/>
  <c r="V745" i="1"/>
  <c r="V1012" i="1"/>
  <c r="V1985" i="1"/>
  <c r="V1477" i="1"/>
  <c r="V368" i="1"/>
  <c r="V877" i="1"/>
  <c r="V533" i="1"/>
  <c r="V1021" i="1"/>
  <c r="V315" i="1"/>
  <c r="V612" i="1"/>
  <c r="V683" i="1"/>
  <c r="V207" i="1"/>
  <c r="V156" i="1"/>
  <c r="V682" i="1"/>
  <c r="V274" i="1"/>
  <c r="V366" i="1"/>
  <c r="V915" i="1"/>
  <c r="V1560" i="1"/>
  <c r="V679" i="1"/>
  <c r="V163" i="1"/>
  <c r="V914" i="1"/>
  <c r="V99" i="1"/>
  <c r="V239" i="1"/>
  <c r="V648" i="1"/>
  <c r="V36" i="1"/>
  <c r="V1268" i="1"/>
  <c r="V634" i="1"/>
  <c r="V897" i="1"/>
  <c r="V167" i="1"/>
  <c r="V611" i="1"/>
  <c r="V253" i="1"/>
  <c r="V363" i="1"/>
  <c r="V1047" i="1"/>
  <c r="V1476" i="1"/>
  <c r="V362" i="1"/>
  <c r="V1375" i="1"/>
  <c r="V540" i="1"/>
  <c r="V582" i="1"/>
  <c r="V722" i="1"/>
  <c r="V12" i="1"/>
  <c r="V316" i="1"/>
  <c r="V1374" i="1"/>
  <c r="V1899" i="1"/>
  <c r="V1862" i="1"/>
  <c r="V652" i="1"/>
  <c r="V493" i="1"/>
  <c r="V80" i="1"/>
  <c r="V557" i="1"/>
  <c r="V1720" i="1"/>
  <c r="V658" i="1"/>
  <c r="V475" i="1"/>
  <c r="V204" i="1"/>
  <c r="V261" i="1"/>
  <c r="V344" i="1"/>
  <c r="V343" i="1"/>
  <c r="V486" i="1"/>
  <c r="V871" i="1"/>
  <c r="V953" i="1"/>
  <c r="V361" i="1"/>
  <c r="V184" i="1"/>
  <c r="V351" i="1"/>
  <c r="V702" i="1"/>
  <c r="V596" i="1"/>
  <c r="V198" i="1"/>
  <c r="V95" i="1"/>
  <c r="V633" i="1"/>
  <c r="V774" i="1"/>
  <c r="V185" i="1"/>
  <c r="V526" i="1"/>
  <c r="V424" i="1"/>
  <c r="V139" i="1"/>
  <c r="V281" i="1"/>
  <c r="V401" i="1"/>
  <c r="V400" i="1"/>
  <c r="V280" i="1"/>
  <c r="V42" i="1"/>
  <c r="V176" i="1"/>
  <c r="V1035" i="1"/>
  <c r="V1823" i="1"/>
  <c r="V1149" i="1"/>
  <c r="V647" i="1"/>
  <c r="V321" i="1"/>
  <c r="V251" i="1"/>
  <c r="V979" i="1"/>
  <c r="V624" i="1"/>
  <c r="V1020" i="1"/>
  <c r="V496" i="1"/>
  <c r="V132" i="1"/>
  <c r="V465" i="1"/>
  <c r="V290" i="1"/>
  <c r="V522" i="1"/>
  <c r="V1349" i="1"/>
  <c r="V729" i="1"/>
  <c r="V1559" i="1"/>
  <c r="V1305" i="1"/>
  <c r="V701" i="1"/>
  <c r="V235" i="1"/>
  <c r="V789" i="1"/>
  <c r="V1163" i="1"/>
  <c r="V772" i="1"/>
  <c r="V238" i="1"/>
  <c r="V460" i="1"/>
  <c r="V130" i="1"/>
  <c r="V138" i="1"/>
  <c r="V110" i="1"/>
  <c r="V208" i="1"/>
  <c r="V567" i="1"/>
  <c r="V970" i="1"/>
  <c r="V632" i="1"/>
  <c r="V581" i="1"/>
  <c r="V631" i="1"/>
  <c r="V125" i="1"/>
  <c r="V294" i="1"/>
  <c r="V55" i="1"/>
  <c r="V862" i="1"/>
  <c r="V272" i="1"/>
  <c r="V172" i="1"/>
  <c r="V170" i="1"/>
  <c r="V1002" i="1"/>
  <c r="V744" i="1"/>
  <c r="V700" i="1"/>
  <c r="V623" i="1"/>
  <c r="V1011" i="1"/>
  <c r="V237" i="1"/>
  <c r="V441" i="1"/>
  <c r="V440" i="1"/>
  <c r="V555" i="1"/>
  <c r="V743" i="1"/>
  <c r="V349" i="1"/>
  <c r="V242" i="1"/>
  <c r="V180" i="1"/>
  <c r="V412" i="1"/>
  <c r="V221" i="1"/>
  <c r="V742" i="1"/>
  <c r="V1117" i="1"/>
  <c r="V1475" i="1"/>
  <c r="V182" i="1"/>
  <c r="V129" i="1"/>
  <c r="V913" i="1"/>
  <c r="V978" i="1"/>
  <c r="V520" i="1"/>
  <c r="V699" i="1"/>
  <c r="V439" i="1"/>
  <c r="V485" i="1"/>
  <c r="V183" i="1"/>
  <c r="V438" i="1"/>
  <c r="V484" i="1"/>
  <c r="V437" i="1"/>
  <c r="V279" i="1"/>
  <c r="V23" i="1"/>
  <c r="V420" i="1"/>
  <c r="V480" i="1"/>
  <c r="V324" i="1"/>
  <c r="V1984" i="1"/>
  <c r="V72" i="1"/>
  <c r="V569" i="1"/>
  <c r="V171" i="1"/>
  <c r="V142" i="1"/>
  <c r="V681" i="1"/>
  <c r="V1179" i="1"/>
  <c r="V107" i="1"/>
  <c r="V1983" i="1"/>
  <c r="V289" i="1"/>
  <c r="V519" i="1"/>
  <c r="V741" i="1"/>
  <c r="V479" i="1"/>
  <c r="V174" i="1"/>
  <c r="V13" i="1"/>
  <c r="V473" i="1"/>
  <c r="V773" i="1"/>
  <c r="V610" i="1"/>
  <c r="V580" i="1"/>
  <c r="V148" i="1"/>
  <c r="V250" i="1"/>
  <c r="V219" i="1"/>
  <c r="V399" i="1"/>
  <c r="V764" i="1"/>
  <c r="V436" i="1"/>
  <c r="V609" i="1"/>
  <c r="V698" i="1"/>
  <c r="V697" i="1"/>
  <c r="V390" i="1"/>
  <c r="V784" i="1"/>
  <c r="V1058" i="1"/>
  <c r="V691" i="1"/>
  <c r="V483" i="1"/>
  <c r="V87" i="1"/>
  <c r="V116" i="1"/>
  <c r="V876" i="1"/>
  <c r="V188" i="1"/>
  <c r="V229" i="1"/>
  <c r="V608" i="1"/>
  <c r="V627" i="1"/>
  <c r="V226" i="1"/>
  <c r="V65" i="1"/>
  <c r="V1982" i="1"/>
  <c r="V469" i="1"/>
  <c r="V109" i="1"/>
  <c r="V300" i="1"/>
  <c r="V435" i="1"/>
  <c r="V342" i="1"/>
  <c r="V459" i="1"/>
  <c r="V126" i="1"/>
  <c r="V693" i="1"/>
  <c r="V912" i="1"/>
  <c r="V365" i="1"/>
  <c r="V965" i="1"/>
  <c r="V134" i="1"/>
  <c r="V51" i="1"/>
  <c r="V378" i="1"/>
  <c r="V1981" i="1"/>
  <c r="V45" i="1"/>
  <c r="V263" i="1"/>
  <c r="V646" i="1"/>
  <c r="V225" i="1"/>
  <c r="V115" i="1"/>
  <c r="V1861" i="1"/>
  <c r="V179" i="1"/>
  <c r="V462" i="1"/>
  <c r="V203" i="1"/>
  <c r="V218" i="1"/>
  <c r="V525" i="1"/>
  <c r="V11" i="1"/>
  <c r="V740" i="1"/>
  <c r="V468" i="1"/>
  <c r="V415" i="1"/>
  <c r="V162" i="1"/>
  <c r="V341" i="1"/>
  <c r="V1146" i="1"/>
  <c r="V22" i="1"/>
  <c r="V186" i="1"/>
  <c r="V291" i="1"/>
  <c r="V85" i="1"/>
  <c r="V727" i="1"/>
  <c r="V175" i="1"/>
  <c r="V100" i="1"/>
  <c r="V657" i="1"/>
  <c r="V155" i="1"/>
  <c r="V739" i="1"/>
  <c r="V213" i="1"/>
  <c r="V398" i="1"/>
  <c r="V713" i="1"/>
  <c r="V70" i="1"/>
  <c r="V645" i="1"/>
  <c r="V86" i="1"/>
  <c r="V340" i="1"/>
  <c r="V501" i="1"/>
  <c r="V322" i="1"/>
  <c r="V507" i="1"/>
  <c r="V619" i="1"/>
  <c r="V299" i="1"/>
  <c r="V331" i="1"/>
  <c r="V463" i="1"/>
  <c r="V728" i="1"/>
  <c r="V136" i="1"/>
  <c r="V667" i="1"/>
  <c r="V482" i="1"/>
  <c r="V122" i="1"/>
  <c r="V738" i="1"/>
  <c r="V977" i="1"/>
  <c r="V258" i="1"/>
  <c r="V726" i="1"/>
  <c r="V17" i="1"/>
  <c r="V539" i="1"/>
  <c r="V426" i="1"/>
  <c r="V766" i="1"/>
  <c r="V857" i="1"/>
  <c r="V128" i="1"/>
  <c r="V211" i="1"/>
  <c r="V201" i="1"/>
  <c r="V566" i="1"/>
  <c r="V434" i="1"/>
  <c r="V1001" i="1"/>
  <c r="V4" i="1"/>
  <c r="V607" i="1"/>
  <c r="V46" i="1"/>
  <c r="V81" i="1"/>
  <c r="V168" i="1"/>
  <c r="V397" i="1"/>
  <c r="V788" i="1"/>
  <c r="V1347" i="1"/>
  <c r="V976" i="1"/>
  <c r="V806" i="1"/>
  <c r="V1980" i="1"/>
  <c r="V666" i="1"/>
  <c r="V805" i="1"/>
  <c r="V606" i="1"/>
  <c r="V320" i="1"/>
  <c r="V47" i="1"/>
  <c r="V373" i="1"/>
  <c r="V579" i="1"/>
  <c r="V1178" i="1"/>
  <c r="V538" i="1"/>
  <c r="V430" i="1"/>
  <c r="V121" i="1"/>
  <c r="V197" i="1"/>
  <c r="V210" i="1"/>
  <c r="V756" i="1"/>
  <c r="V477" i="1"/>
  <c r="V1979" i="1"/>
  <c r="V474" i="1"/>
  <c r="V690" i="1"/>
  <c r="V414" i="1"/>
  <c r="V192" i="1"/>
  <c r="V236" i="1"/>
  <c r="V656" i="1"/>
  <c r="V1116" i="1"/>
  <c r="V696" i="1"/>
  <c r="V317" i="1"/>
  <c r="V50" i="1"/>
  <c r="V804" i="1"/>
  <c r="V181" i="1"/>
  <c r="V49" i="1"/>
  <c r="V133" i="1"/>
  <c r="V276" i="1"/>
  <c r="V68" i="1"/>
  <c r="V144" i="1"/>
  <c r="V411" i="1"/>
  <c r="V249" i="1"/>
  <c r="V29" i="1"/>
  <c r="V1142" i="1"/>
  <c r="V147" i="1"/>
  <c r="V537" i="1"/>
  <c r="V52" i="1"/>
  <c r="V255" i="1"/>
  <c r="V695" i="1"/>
  <c r="V339" i="1"/>
  <c r="V19" i="1"/>
  <c r="V605" i="1"/>
  <c r="V307" i="1"/>
  <c r="V1019" i="1"/>
  <c r="V330" i="1"/>
  <c r="V217" i="1"/>
  <c r="V673" i="1"/>
  <c r="V31" i="1"/>
  <c r="V222" i="1"/>
  <c r="V200" i="1"/>
  <c r="V600" i="1"/>
  <c r="V123" i="1"/>
  <c r="V63" i="1"/>
  <c r="V553" i="1"/>
  <c r="V214" i="1"/>
  <c r="V396" i="1"/>
  <c r="V67" i="1"/>
  <c r="V353" i="1"/>
  <c r="V429" i="1"/>
  <c r="V73" i="1"/>
  <c r="V9" i="1"/>
  <c r="V61" i="1"/>
  <c r="V177" i="1"/>
  <c r="V137" i="1"/>
  <c r="V622" i="1"/>
  <c r="V241" i="1"/>
  <c r="V762" i="1"/>
  <c r="V785" i="1"/>
  <c r="V433" i="1"/>
  <c r="V630" i="1"/>
  <c r="V1978" i="1"/>
  <c r="V949" i="1"/>
  <c r="V458" i="1"/>
  <c r="V1977" i="1"/>
  <c r="V578" i="1"/>
  <c r="V58" i="1"/>
  <c r="V327" i="1"/>
  <c r="V875" i="1"/>
  <c r="V716" i="1"/>
  <c r="V1976" i="1"/>
  <c r="V271" i="1"/>
  <c r="V1975" i="1"/>
  <c r="V326" i="1"/>
  <c r="V146" i="1"/>
  <c r="V216" i="1"/>
  <c r="V18" i="1"/>
  <c r="V293" i="1"/>
  <c r="V371" i="1"/>
  <c r="V821" i="1"/>
  <c r="V1974" i="1"/>
  <c r="V367" i="1"/>
  <c r="V15" i="1"/>
  <c r="V227" i="1"/>
  <c r="V243" i="1"/>
  <c r="V154" i="1"/>
  <c r="V296" i="1"/>
  <c r="V472" i="1"/>
  <c r="V432" i="1"/>
  <c r="V761" i="1"/>
  <c r="V153" i="1"/>
  <c r="V350" i="1"/>
  <c r="V409" i="1"/>
  <c r="V6" i="1"/>
  <c r="V1973" i="1"/>
  <c r="V1972" i="1"/>
  <c r="V524" i="1"/>
  <c r="V32" i="1"/>
  <c r="V189" i="1"/>
  <c r="V694" i="1"/>
  <c r="V257" i="1"/>
  <c r="V594" i="1"/>
  <c r="V577" i="1"/>
  <c r="V56" i="1"/>
  <c r="V395" i="1"/>
  <c r="V248" i="1"/>
  <c r="V1971" i="1"/>
  <c r="V277" i="1"/>
  <c r="V41" i="1"/>
  <c r="V37" i="1"/>
  <c r="V391" i="1"/>
  <c r="V1970" i="1"/>
  <c r="V687" i="1"/>
  <c r="V119" i="1"/>
  <c r="V1969" i="1"/>
  <c r="V89" i="1"/>
  <c r="V278" i="1"/>
  <c r="V1968" i="1"/>
  <c r="V166" i="1"/>
  <c r="V10" i="1"/>
  <c r="V228" i="1"/>
  <c r="V1967" i="1"/>
  <c r="V247" i="1"/>
  <c r="V295" i="1"/>
  <c r="V178" i="1"/>
  <c r="V1966" i="1"/>
  <c r="V464" i="1"/>
  <c r="V314" i="1"/>
  <c r="V1965" i="1"/>
  <c r="V1964" i="1"/>
  <c r="V547" i="1"/>
  <c r="V453" i="1"/>
  <c r="V77" i="1"/>
  <c r="V266" i="1"/>
  <c r="V69" i="1"/>
  <c r="V655" i="1"/>
  <c r="V1963" i="1"/>
  <c r="V452" i="1"/>
  <c r="V28" i="1"/>
  <c r="V1962" i="1"/>
  <c r="V1961" i="1"/>
  <c r="V38" i="1"/>
  <c r="V457" i="1"/>
  <c r="V325" i="1"/>
  <c r="V223" i="1"/>
  <c r="V1066" i="1"/>
  <c r="V1057" i="1"/>
  <c r="V303" i="1"/>
  <c r="V313" i="1"/>
  <c r="V454" i="1"/>
  <c r="V74" i="1"/>
  <c r="V5" i="1"/>
  <c r="V165" i="1"/>
  <c r="V654" i="1"/>
  <c r="V546" i="1"/>
  <c r="V1960" i="1"/>
  <c r="V71" i="1"/>
  <c r="V302" i="1"/>
  <c r="V1959" i="1"/>
  <c r="V21" i="1"/>
  <c r="V101" i="1"/>
  <c r="V369" i="1"/>
  <c r="V8" i="1"/>
  <c r="V30" i="1"/>
  <c r="V16" i="1"/>
  <c r="V1958" i="1"/>
  <c r="V57" i="1"/>
  <c r="V79" i="1"/>
  <c r="V27" i="1"/>
  <c r="AB1988" i="1"/>
</calcChain>
</file>

<file path=xl/sharedStrings.xml><?xml version="1.0" encoding="utf-8"?>
<sst xmlns="http://schemas.openxmlformats.org/spreadsheetml/2006/main" count="36169" uniqueCount="11351">
  <si>
    <t>Type: Colocation, Self-build</t>
  </si>
  <si>
    <t>Stage of Development: live, under_construction, committed, early_stage, landbanked</t>
  </si>
  <si>
    <t>National Market</t>
  </si>
  <si>
    <t>Company Name</t>
  </si>
  <si>
    <t>Facility Name</t>
  </si>
  <si>
    <t>Category Type</t>
  </si>
  <si>
    <t>Subcategory</t>
  </si>
  <si>
    <t>Ready for Service (RFS)</t>
  </si>
  <si>
    <t>Location Status</t>
  </si>
  <si>
    <t>Facility Address</t>
  </si>
  <si>
    <t>Country</t>
  </si>
  <si>
    <t>Country Code</t>
  </si>
  <si>
    <t>State</t>
  </si>
  <si>
    <t>State Code</t>
  </si>
  <si>
    <t>County</t>
  </si>
  <si>
    <t>City</t>
  </si>
  <si>
    <t>Post/Zip Code</t>
  </si>
  <si>
    <t>District</t>
  </si>
  <si>
    <t>Neighbourhood</t>
  </si>
  <si>
    <t>Suburb</t>
  </si>
  <si>
    <t>Latitude</t>
  </si>
  <si>
    <t>Longitude</t>
  </si>
  <si>
    <t>Live IT MW (2026)</t>
  </si>
  <si>
    <t>U/C IT MW (2026)</t>
  </si>
  <si>
    <t>Committed IT MW (2026)</t>
  </si>
  <si>
    <t>Early Stage IT MW (2026)</t>
  </si>
  <si>
    <t>Landbanked Area h (2026)</t>
  </si>
  <si>
    <t>Total Sold MW (2026)</t>
  </si>
  <si>
    <t>Design PUE</t>
  </si>
  <si>
    <t>Facility Public Id</t>
  </si>
  <si>
    <t>Facility Hash Id</t>
  </si>
  <si>
    <t>United States</t>
  </si>
  <si>
    <t>11:11 Systems</t>
  </si>
  <si>
    <t>777 Data Centre and Workplace Recovery Center</t>
  </si>
  <si>
    <t>Colocation</t>
  </si>
  <si>
    <t>Retail</t>
  </si>
  <si>
    <t>Confirmed</t>
  </si>
  <si>
    <t>777 Central Blvd, Carlstadt, NJ 07072</t>
  </si>
  <si>
    <t>us</t>
  </si>
  <si>
    <t>New Jersey</t>
  </si>
  <si>
    <t>NJ</t>
  </si>
  <si>
    <t>Bergen County</t>
  </si>
  <si>
    <t>Carlstadt</t>
  </si>
  <si>
    <t/>
  </si>
  <si>
    <t>BblPkG</t>
  </si>
  <si>
    <t>8ac6928844dedaeba12318ee148c5e8cdf8736466b1da866109376e80bbe845e</t>
  </si>
  <si>
    <t>123NET</t>
  </si>
  <si>
    <t>123Net Detroit (DC1)</t>
  </si>
  <si>
    <t>24700 Northwestern Hwy, Southfield, Mi. 48075</t>
  </si>
  <si>
    <t>Michigan</t>
  </si>
  <si>
    <t>MI</t>
  </si>
  <si>
    <t>Oakland County</t>
  </si>
  <si>
    <t>Southfield</t>
  </si>
  <si>
    <t>48075</t>
  </si>
  <si>
    <t>Berg-Lasher</t>
  </si>
  <si>
    <t>GyPyLR</t>
  </si>
  <si>
    <t>23b331e916a0167bf73f45690bd054588c05390fa5006b2e4942f225ba4c6549</t>
  </si>
  <si>
    <t>Grand Rapids (DC4)</t>
  </si>
  <si>
    <t>400 76th St SW, Byron Center, MI 49315</t>
  </si>
  <si>
    <t>Kent County</t>
  </si>
  <si>
    <t>Byron</t>
  </si>
  <si>
    <t>Byron Township</t>
  </si>
  <si>
    <t>Bb0brG</t>
  </si>
  <si>
    <t>b5d1a2f32672234cfaa3daa1f82634eda71825eb12ee8cd56b20d458c446f572</t>
  </si>
  <si>
    <t>1547 Critical Systems Realty</t>
  </si>
  <si>
    <t>Chase Tower- MCTX1</t>
  </si>
  <si>
    <t>Wholesale</t>
  </si>
  <si>
    <t>200 S 10th St, McAllen, Texas 78501, USA</t>
  </si>
  <si>
    <t>Texas</t>
  </si>
  <si>
    <t>TX</t>
  </si>
  <si>
    <t>Hidalgo County</t>
  </si>
  <si>
    <t>McAllen</t>
  </si>
  <si>
    <t>78501</t>
  </si>
  <si>
    <t>R8JaVw</t>
  </si>
  <si>
    <t>698dadf4df0fa7e1973ac6b76ef87e7250142376653844f6756b371b77da1ef5</t>
  </si>
  <si>
    <t>Chester County, Pennsylvania</t>
  </si>
  <si>
    <t>Build-to-suit</t>
  </si>
  <si>
    <t>Pennsylvania</t>
  </si>
  <si>
    <t>PA</t>
  </si>
  <si>
    <t>Chester County</t>
  </si>
  <si>
    <t>East Whiteland</t>
  </si>
  <si>
    <t>East Whiteland Township</t>
  </si>
  <si>
    <t>GdrMOB</t>
  </si>
  <si>
    <t>5ca7f9c46b23eda53d0dfa512bda96a70053fdd23365dffe6d6a29eb0b98c6a6</t>
  </si>
  <si>
    <t>Chicago (CHIL1)</t>
  </si>
  <si>
    <t>40 E Garfield Blvd, Chicago, IL 60615, United States</t>
  </si>
  <si>
    <t>Illinois</t>
  </si>
  <si>
    <t>IL</t>
  </si>
  <si>
    <t>Cook County</t>
  </si>
  <si>
    <t>Chicago</t>
  </si>
  <si>
    <t>60615</t>
  </si>
  <si>
    <t>Washington Park</t>
  </si>
  <si>
    <t>GLvvAB</t>
  </si>
  <si>
    <t>41fea912b27c32cdcd57e7e0011ef4501ebbc76a6a058fbe666fdc2886f5f839</t>
  </si>
  <si>
    <t>Chicago Wells (CHIL2)</t>
  </si>
  <si>
    <t>725 S Wells St, Chicago, IL 60607, USA</t>
  </si>
  <si>
    <t>60607</t>
  </si>
  <si>
    <t>Printer's Row</t>
  </si>
  <si>
    <t>Loop</t>
  </si>
  <si>
    <t>B7VVnw</t>
  </si>
  <si>
    <t>6330326d74891a84d8613df466038360370f28a11cfa973828fb53ebdc29a471</t>
  </si>
  <si>
    <t>HAII1</t>
  </si>
  <si>
    <t>91-340 Farrington Hwy, Kapolei, Hawaii 96707, USA</t>
  </si>
  <si>
    <t>Hawaii</t>
  </si>
  <si>
    <t>HI</t>
  </si>
  <si>
    <t>Honolulu</t>
  </si>
  <si>
    <t>Kapolei</t>
  </si>
  <si>
    <t>96707</t>
  </si>
  <si>
    <t>Bb0yWG</t>
  </si>
  <si>
    <t>52c1dbef42458e895d0c8a34518614d92cea16d8ea1b6948f442a1ba3db0a864</t>
  </si>
  <si>
    <t>MIWI1 (The Wells Building)</t>
  </si>
  <si>
    <t>324 E Wisconsin Ave, Milwaukee, WI 53202, United States</t>
  </si>
  <si>
    <t>Wisconsin</t>
  </si>
  <si>
    <t>WI</t>
  </si>
  <si>
    <t>Milwaukee County</t>
  </si>
  <si>
    <t>Milwaukee</t>
  </si>
  <si>
    <t>53202</t>
  </si>
  <si>
    <t>Historic Financial District</t>
  </si>
  <si>
    <t>Juneautown</t>
  </si>
  <si>
    <t>R4ka8B</t>
  </si>
  <si>
    <t>c047c036ad66597f22658bf64da26de41b841cbe77c40d515fa577db73c88bd4</t>
  </si>
  <si>
    <t>ORNY1</t>
  </si>
  <si>
    <t>1 Ramland Rd, Orangeburg, NY 10962</t>
  </si>
  <si>
    <t>New York</t>
  </si>
  <si>
    <t>NY</t>
  </si>
  <si>
    <t>Rockland County</t>
  </si>
  <si>
    <t>Orangeburg</t>
  </si>
  <si>
    <t>10962</t>
  </si>
  <si>
    <t>Orangetown</t>
  </si>
  <si>
    <t>wVVOow</t>
  </si>
  <si>
    <t>31fa755e8f66bd711c4cb73c2725769d373a7181470a94bf6ace01d5432c668f</t>
  </si>
  <si>
    <t>PTOR1</t>
  </si>
  <si>
    <t>921 SW Washington Street, Portland, OR 97205, USA</t>
  </si>
  <si>
    <t>Oregon</t>
  </si>
  <si>
    <t>OR</t>
  </si>
  <si>
    <t>Multnomah County</t>
  </si>
  <si>
    <t>Portland</t>
  </si>
  <si>
    <t>97205</t>
  </si>
  <si>
    <t>Downtown</t>
  </si>
  <si>
    <t>R2rQLR</t>
  </si>
  <si>
    <t>9f166c3fe8dc7e52396501fb8a3f9d84996d5fbfe9aa47b966947978878daa63</t>
  </si>
  <si>
    <t>SB1</t>
  </si>
  <si>
    <t>506 W South St, South Bend, IN 46601, USA</t>
  </si>
  <si>
    <t>Indiana</t>
  </si>
  <si>
    <t>IN</t>
  </si>
  <si>
    <t>Saint Joseph County</t>
  </si>
  <si>
    <t>South Bend</t>
  </si>
  <si>
    <t>46601</t>
  </si>
  <si>
    <t>BEWqdG</t>
  </si>
  <si>
    <t>e8e9513cf67bc561ea4f0b2d6b391087c44fe94383d1ad0b66909d727560ecd8</t>
  </si>
  <si>
    <t>1623 Farnam</t>
  </si>
  <si>
    <t>Omaha Carrier Hotel</t>
  </si>
  <si>
    <t xml:space="preserve">1623 Farnam St., Suite 860, Omaha, NE 68102, USA </t>
  </si>
  <si>
    <t>Nebraska</t>
  </si>
  <si>
    <t>NE</t>
  </si>
  <si>
    <t>Douglas County</t>
  </si>
  <si>
    <t>Omaha</t>
  </si>
  <si>
    <t>68106</t>
  </si>
  <si>
    <t>Bb0ZxG</t>
  </si>
  <si>
    <t>04692962e85417c11c71f0bcf73239f78529e8147d48e44833ef2d34ce32359f</t>
  </si>
  <si>
    <t>165 Halsey Street</t>
  </si>
  <si>
    <t>165 Halsey St</t>
  </si>
  <si>
    <t>165 Halsey Street, Newark, NJ, USA</t>
  </si>
  <si>
    <t>Essex County</t>
  </si>
  <si>
    <t>Newark</t>
  </si>
  <si>
    <t>07102</t>
  </si>
  <si>
    <t>Teachers Village</t>
  </si>
  <si>
    <t>RxYmaG</t>
  </si>
  <si>
    <t>f1b47ff12dedd07a8b50106aeb75485c0676c71f4664dda30294c06f45e77098</t>
  </si>
  <si>
    <t>365 Data Centers</t>
  </si>
  <si>
    <t>3065 Gold Camp Drive</t>
  </si>
  <si>
    <t>3065 Gold Camp Dr, Rancho Cordova, CA 95670</t>
  </si>
  <si>
    <t>California</t>
  </si>
  <si>
    <t>CA</t>
  </si>
  <si>
    <t>Sacramento County</t>
  </si>
  <si>
    <t>Rancho Cordova</t>
  </si>
  <si>
    <t>95670</t>
  </si>
  <si>
    <t>w9ZX7B</t>
  </si>
  <si>
    <t>a1d494fedbf4bbb2202ea6d71f289c79852b9548528707a06217495a634eea02</t>
  </si>
  <si>
    <t>365 Data Centers Detroit</t>
  </si>
  <si>
    <t>24660 Lahser Road Southfield, MI 48033</t>
  </si>
  <si>
    <t>RxYxoG</t>
  </si>
  <si>
    <t>b2d88676b64fbd52693e66809d2f765b8febcee0f161e7a58c50b0dfdf05924c</t>
  </si>
  <si>
    <t>Alpharetta</t>
  </si>
  <si>
    <t>11650 Great Oaks Way, Alpharetta, GA 30022, USA</t>
  </si>
  <si>
    <t>Georgia</t>
  </si>
  <si>
    <t>GA</t>
  </si>
  <si>
    <t>Fulton County</t>
  </si>
  <si>
    <t>30022</t>
  </si>
  <si>
    <t>GDo7oR</t>
  </si>
  <si>
    <t>23ac078a5e94c84e07f42eac54ec46f9d038ab69c730caf2a6f467c75a5ba2fe</t>
  </si>
  <si>
    <t>Aurora - CO1</t>
  </si>
  <si>
    <t>3431 N Windsor Dr, Aurora, CO 80011</t>
  </si>
  <si>
    <t>Colorado</t>
  </si>
  <si>
    <t>CO</t>
  </si>
  <si>
    <t>Adams County</t>
  </si>
  <si>
    <t>Aurora</t>
  </si>
  <si>
    <t>80011</t>
  </si>
  <si>
    <t>we8rAG</t>
  </si>
  <si>
    <t>1e8bed46fc125f3609413564e9e9f4181c39f9c795eaabb8f69941d4e416508b</t>
  </si>
  <si>
    <t>Boca Raton</t>
  </si>
  <si>
    <t>3500 NW Boca Raton Blvd # 900, Boca Raton, FL 33431, USA</t>
  </si>
  <si>
    <t>Florida</t>
  </si>
  <si>
    <t>FL</t>
  </si>
  <si>
    <t>Palm Beach County</t>
  </si>
  <si>
    <t>33431</t>
  </si>
  <si>
    <t>BqvP6R</t>
  </si>
  <si>
    <t>3a57d874b44e737e5c7b7ec29edf7752ef35665351c3bf966e6d155dd477ee48</t>
  </si>
  <si>
    <t>Bridgewater, NJ</t>
  </si>
  <si>
    <t>999 Frontier Rd, Bridgewater Township, NJ 08807</t>
  </si>
  <si>
    <t>Somerset County</t>
  </si>
  <si>
    <t>Bridgewater Township</t>
  </si>
  <si>
    <t>08807</t>
  </si>
  <si>
    <t>Gne5KR</t>
  </si>
  <si>
    <t>f270f8b6e4dd4f45e540bad2aac9d94b5d26231c97cd724a2ae041692b538830</t>
  </si>
  <si>
    <t>Buffalo - BU1</t>
  </si>
  <si>
    <t>350 Main Street Suite 102, Buffalo, NY 14202</t>
  </si>
  <si>
    <t>Erie County</t>
  </si>
  <si>
    <t>Buffalo</t>
  </si>
  <si>
    <t>14202</t>
  </si>
  <si>
    <t>Gz4LoB</t>
  </si>
  <si>
    <t>fc287f74cc5508482f36dd79524d6b957df0d14056901efae74e5bc7627f400b</t>
  </si>
  <si>
    <t>Carlstadt Data Center</t>
  </si>
  <si>
    <t>410 Commerce Blvd, Carlstadt, NJ 07072</t>
  </si>
  <si>
    <t>07074</t>
  </si>
  <si>
    <t>Rv4law</t>
  </si>
  <si>
    <t>d2a2d279312903375743ce08ef8569e585420b7640339496bf982980fb7b1501</t>
  </si>
  <si>
    <t>Commack - LI1</t>
  </si>
  <si>
    <t>500 Commack Rd, Commack, NY 11725</t>
  </si>
  <si>
    <t>Suffolk County</t>
  </si>
  <si>
    <t>Commack</t>
  </si>
  <si>
    <t>11725</t>
  </si>
  <si>
    <t>BqZL6R</t>
  </si>
  <si>
    <t>8a9178429b954ef8f588900e05496c5af9624c30459e38e947b1ba52ca1d124d</t>
  </si>
  <si>
    <t>Fort Lauderdale</t>
  </si>
  <si>
    <t>3250 W Commercial Blvd, Fort Lauderdale, FL 33309, USA</t>
  </si>
  <si>
    <t>Broward County</t>
  </si>
  <si>
    <t>33309</t>
  </si>
  <si>
    <t>Gm6ovw</t>
  </si>
  <si>
    <t>5dcd407da7994b7ba08fa2412636c22cf720f5fb131ad37611d172f4f8545298</t>
  </si>
  <si>
    <t>Herndon Data Center</t>
  </si>
  <si>
    <t>13873 Park Center Rd Suite 75 Herndon, Virginia 20171</t>
  </si>
  <si>
    <t>Virginia</t>
  </si>
  <si>
    <t>VA</t>
  </si>
  <si>
    <t>Fairfax County</t>
  </si>
  <si>
    <t>Floris</t>
  </si>
  <si>
    <t>20171</t>
  </si>
  <si>
    <t>GneVVR</t>
  </si>
  <si>
    <t>ba8599a842ae499980223bd301f246a0512bdcdca569ef09216184d5a9f8be6b</t>
  </si>
  <si>
    <t>Marlboro - MA1</t>
  </si>
  <si>
    <t>250 Locke Dr, Marlborough, MA 01752, United States</t>
  </si>
  <si>
    <t>Massachusetts</t>
  </si>
  <si>
    <t>MA</t>
  </si>
  <si>
    <t>Middlesex County</t>
  </si>
  <si>
    <t>Marlborough</t>
  </si>
  <si>
    <t>01752</t>
  </si>
  <si>
    <t>GZql3R</t>
  </si>
  <si>
    <t>debf09e1151ded1ab016a1fbd78cde9b369f04a6accced0b9f5828d937dd6394</t>
  </si>
  <si>
    <t>Nashville, TN</t>
  </si>
  <si>
    <t>147 4th Avenue N., 8th Floor, Nashville, TN 37219, USA</t>
  </si>
  <si>
    <t>Tennessee</t>
  </si>
  <si>
    <t>TN</t>
  </si>
  <si>
    <t>Davidson County</t>
  </si>
  <si>
    <t>Nashville</t>
  </si>
  <si>
    <t>37219</t>
  </si>
  <si>
    <t>The District</t>
  </si>
  <si>
    <t>RjWdEG</t>
  </si>
  <si>
    <t>59a3c789280ecf828b4e6b083ec45af220670ab9435a612a36c77ee26b2382cd</t>
  </si>
  <si>
    <t>New York - NY10</t>
  </si>
  <si>
    <t>65 Broadway 3rd Floor, New York, NY 10006</t>
  </si>
  <si>
    <t>New York County</t>
  </si>
  <si>
    <t>10006</t>
  </si>
  <si>
    <t>Manhattan Community Board 1</t>
  </si>
  <si>
    <t>Manhattan</t>
  </si>
  <si>
    <t>GLjlQB</t>
  </si>
  <si>
    <t>1fb5f33a2df705262a8508cc3d384cb4ce8912bf1f9f93721c3453179c8ea8b8</t>
  </si>
  <si>
    <t>Philadelphia - PA1</t>
  </si>
  <si>
    <t>1500 Spring Garden St, Philadelphia, PA 19130</t>
  </si>
  <si>
    <t>Philadelphia County</t>
  </si>
  <si>
    <t>Philadelphia</t>
  </si>
  <si>
    <t>19103</t>
  </si>
  <si>
    <t>Center City</t>
  </si>
  <si>
    <t>GzYDZR</t>
  </si>
  <si>
    <t>e7068f8f9a0748df38ffdec09eab6a9f77001b81895cfeac5c1956272a4a2164</t>
  </si>
  <si>
    <t>Philadelphia - PH2</t>
  </si>
  <si>
    <t>3701 Market St, 5th Floor, Philadelphia, PA 19104</t>
  </si>
  <si>
    <t>19104</t>
  </si>
  <si>
    <t>Powelton Village</t>
  </si>
  <si>
    <t>University City</t>
  </si>
  <si>
    <t>GLodZR</t>
  </si>
  <si>
    <t>7b08efcf6de653b4b2083f3d842c3a595f65dddc3660e9efe7d81abcbf459a4f</t>
  </si>
  <si>
    <t>Rancho Cordova - Sacramento Facility</t>
  </si>
  <si>
    <t>11085 Sun Center Dr, Rancho Cordova, CA 95670</t>
  </si>
  <si>
    <t>R4oLLB</t>
  </si>
  <si>
    <t>06b131999c8c96d38a37996d121b2c7a59c1f74b4e64b9a54a6db61f41069829</t>
  </si>
  <si>
    <t>Richardson</t>
  </si>
  <si>
    <t>1001 E Campbell Road Richardson, Texas 75081, USA</t>
  </si>
  <si>
    <t>Dallas County</t>
  </si>
  <si>
    <t>75081</t>
  </si>
  <si>
    <t>GlXznG</t>
  </si>
  <si>
    <t>c60343e843ca719fa4e39361b76b3a87774e97c3b8255b0131718e41b42fbce4</t>
  </si>
  <si>
    <t>Smyrna</t>
  </si>
  <si>
    <t>5600 United Dr SE, Smyrna, GA 30082, USA</t>
  </si>
  <si>
    <t>Cobb County</t>
  </si>
  <si>
    <t>30082</t>
  </si>
  <si>
    <t>Bb0qkG</t>
  </si>
  <si>
    <t>55c4c30fee9f93e83bf11d89d4c6b91284aff750310b296772de9a96eef60417</t>
  </si>
  <si>
    <t>Tampa Bay</t>
  </si>
  <si>
    <t>655 N Franklin St, Tampa, FL 33602, USA</t>
  </si>
  <si>
    <t>Hillsborough County</t>
  </si>
  <si>
    <t>Tampa</t>
  </si>
  <si>
    <t>33602</t>
  </si>
  <si>
    <t>RKvODB</t>
  </si>
  <si>
    <t>6d86a8263c04d6c387e50b4c360f17856c0e21554740162676992aaf290382f6</t>
  </si>
  <si>
    <t>5C Data Centers</t>
  </si>
  <si>
    <t>5C CMH01</t>
  </si>
  <si>
    <t>601 Benjamin Drive, 45502. Springfield, Ohio, USA.</t>
  </si>
  <si>
    <t>Ohio</t>
  </si>
  <si>
    <t>OH</t>
  </si>
  <si>
    <t>Clark County</t>
  </si>
  <si>
    <t>Springfield</t>
  </si>
  <si>
    <t>45505</t>
  </si>
  <si>
    <t>GkWXXG</t>
  </si>
  <si>
    <t>18e9a5ed8e9fefdb5456123c5b79c9344e7df833d4ce48db0f52d8c8d994d606</t>
  </si>
  <si>
    <t>PHX01</t>
  </si>
  <si>
    <t>TBA</t>
  </si>
  <si>
    <t>Arizona</t>
  </si>
  <si>
    <t>AZ</t>
  </si>
  <si>
    <t>Maricopa County</t>
  </si>
  <si>
    <t>Goodyear</t>
  </si>
  <si>
    <t>85323</t>
  </si>
  <si>
    <t>wVq87G</t>
  </si>
  <si>
    <t>9e2549538a1ea9051d5034c51a17ed455fac27fb15ac54ce2a8af0cf71e60842</t>
  </si>
  <si>
    <t>5C Group</t>
  </si>
  <si>
    <t>MEM01</t>
  </si>
  <si>
    <t>4300 Getwell Rd., Memphis, TN 38118</t>
  </si>
  <si>
    <t>Shelby County</t>
  </si>
  <si>
    <t>Memphis</t>
  </si>
  <si>
    <t>38118</t>
  </si>
  <si>
    <t>Oakhaven</t>
  </si>
  <si>
    <t>BPdgnB</t>
  </si>
  <si>
    <t>756859cd8fb41daf08c3145c458dab214cf71e80ffdd65a10231e55b9f7f321c</t>
  </si>
  <si>
    <t>5Nines</t>
  </si>
  <si>
    <t>Madison</t>
  </si>
  <si>
    <t>222 W Washington Ave, Madison, WI 53703, USA</t>
  </si>
  <si>
    <t>Dane County</t>
  </si>
  <si>
    <t>53703</t>
  </si>
  <si>
    <t>Bassett</t>
  </si>
  <si>
    <t>RxY91G</t>
  </si>
  <si>
    <t>dcfea4faa9f1f3570eb7a0829f939976fae7147bf109da1a3c73d99f272643c6</t>
  </si>
  <si>
    <t>702 Communications</t>
  </si>
  <si>
    <t>Fiechtner Dr Fargo</t>
  </si>
  <si>
    <t>2911 Fiechtner Dr, Fargo, ND 58103, USA</t>
  </si>
  <si>
    <t>North Dakota</t>
  </si>
  <si>
    <t>ND</t>
  </si>
  <si>
    <t>Cass County</t>
  </si>
  <si>
    <t>Fargo</t>
  </si>
  <si>
    <t>58103</t>
  </si>
  <si>
    <t>w9E9pw</t>
  </si>
  <si>
    <t>3713833e47bfe22b3eb3c617c867973f7abe7a3e486f5d5dadcc6ff0a62ecbe6</t>
  </si>
  <si>
    <t>9 Lives Digital Group</t>
  </si>
  <si>
    <t>Niagara Falls AI Data Center</t>
  </si>
  <si>
    <t>Self-build</t>
  </si>
  <si>
    <t>Self-build AI</t>
  </si>
  <si>
    <t>3807 Highland Ave, Niagara Falls, NY 14305</t>
  </si>
  <si>
    <t>Niagara County</t>
  </si>
  <si>
    <t>City of Niagara Falls</t>
  </si>
  <si>
    <t>14305</t>
  </si>
  <si>
    <t>GZZP6G</t>
  </si>
  <si>
    <t>ccacb5876e4c4e660d3dcd982ddfcfba68bb7a61ac6467b511302f7736c5f717</t>
  </si>
  <si>
    <t>AboutBit</t>
  </si>
  <si>
    <t>AboutBit Indiana</t>
  </si>
  <si>
    <t>Self-build Crypto</t>
  </si>
  <si>
    <t>5500 W County Rd 200 S, Sullivan, IN 47882</t>
  </si>
  <si>
    <t>Sullivan County</t>
  </si>
  <si>
    <t>Gill</t>
  </si>
  <si>
    <t>Gill Township</t>
  </si>
  <si>
    <t>wOv1AG</t>
  </si>
  <si>
    <t>7141dbd30f307cfee583c293c4c8f33cb180ad503eaf63a9d3e5977084999109</t>
  </si>
  <si>
    <t>Ace Host</t>
  </si>
  <si>
    <t>Raleigh-Durham Data Center</t>
  </si>
  <si>
    <t>Self-build Systems Integrator/Managed Service Providers</t>
  </si>
  <si>
    <t>4518 S Miami Blvd, Durham, NC 27703, United States</t>
  </si>
  <si>
    <t>North Carolina</t>
  </si>
  <si>
    <t>NC</t>
  </si>
  <si>
    <t>Durham County</t>
  </si>
  <si>
    <t>Durham</t>
  </si>
  <si>
    <t>27703</t>
  </si>
  <si>
    <t>GLox4R</t>
  </si>
  <si>
    <t>1ca29d395ea68ced53621202a64b07d7cba6a136dc63e14b219a7f66fcf798ad</t>
  </si>
  <si>
    <t>Tampa Data Center</t>
  </si>
  <si>
    <t>412 E Madison St, Suite 1010, Tampa, FL 33602, USA</t>
  </si>
  <si>
    <t>BAQAPB</t>
  </si>
  <si>
    <t>2749b79ea1c984120e9400d884723ec7455e8e85a8ea6945b33bb3fc90e3ccb1</t>
  </si>
  <si>
    <t>Actis</t>
  </si>
  <si>
    <t>Key Center</t>
  </si>
  <si>
    <t>11300 NW 25th St, Miami, FL, 33172, United States</t>
  </si>
  <si>
    <t>Miami-Dade County</t>
  </si>
  <si>
    <t>33172</t>
  </si>
  <si>
    <t>Sweetwater</t>
  </si>
  <si>
    <t>GmKvLB</t>
  </si>
  <si>
    <t>025db3456610cb97f65492196131c7a124e03f3f7fa657636df31e6c5fccd421</t>
  </si>
  <si>
    <t>Active Infrastructure</t>
  </si>
  <si>
    <t>Spring Valley Technology Park</t>
  </si>
  <si>
    <t>Leesburg, VA 20175</t>
  </si>
  <si>
    <t>Loudoun County</t>
  </si>
  <si>
    <t>20146</t>
  </si>
  <si>
    <t>BPL08B</t>
  </si>
  <si>
    <t>98f093c864058b560f111b90f69950f066086b31d10ee1acd53ba75ab628e099</t>
  </si>
  <si>
    <t>Ada Infrastructure</t>
  </si>
  <si>
    <t>Spotsylvania Campus</t>
  </si>
  <si>
    <t>Unconfirmed</t>
  </si>
  <si>
    <t>Spotsylvania County, Virginia</t>
  </si>
  <si>
    <t>Stafford County</t>
  </si>
  <si>
    <t>we8eLG</t>
  </si>
  <si>
    <t>7d9847bb435e7362bc1fa0316556cace40d32e6ff6b79a42c4355d7cf60cdca1</t>
  </si>
  <si>
    <t>Adobe</t>
  </si>
  <si>
    <t>Adobe OR1</t>
  </si>
  <si>
    <t>4455 NE Dawson Creek Dr, Hillsboro, OR 97124</t>
  </si>
  <si>
    <t>Washington County</t>
  </si>
  <si>
    <t>Hillsboro</t>
  </si>
  <si>
    <t>97124</t>
  </si>
  <si>
    <t>RpZpmw</t>
  </si>
  <si>
    <t>4aa79af0bf9fe85ab5862c231cb860f6edd49963312ad69bc31cebd448a5648b</t>
  </si>
  <si>
    <t>Advance2000</t>
  </si>
  <si>
    <t>155 Pineview Drive</t>
  </si>
  <si>
    <t>155 Pineview Dr, Buffalo, NY 14228</t>
  </si>
  <si>
    <t>14228</t>
  </si>
  <si>
    <t>GkWEDG</t>
  </si>
  <si>
    <t>30914e81929645c76e6a0cd893f4a62047ffd68115a8773eaaba025933bb4880</t>
  </si>
  <si>
    <t>Aecero</t>
  </si>
  <si>
    <t>Aecero Data Center</t>
  </si>
  <si>
    <t>2463 W La Palma Ave, Anaheim, CA 92801</t>
  </si>
  <si>
    <t>Orange County</t>
  </si>
  <si>
    <t>Anaheim</t>
  </si>
  <si>
    <t>92801</t>
  </si>
  <si>
    <t>RYKm4w</t>
  </si>
  <si>
    <t>c091e32173733b8687975a8cad33794242f7db9e7a861c3cd7e8cf843eafe02b</t>
  </si>
  <si>
    <t>Agility Colo</t>
  </si>
  <si>
    <t>7901 W Clinton Ave</t>
  </si>
  <si>
    <t>7901 W Clinton Ave, Milwaukee, WI 53223, USA</t>
  </si>
  <si>
    <t>53223</t>
  </si>
  <si>
    <t>Granville</t>
  </si>
  <si>
    <t>RQ3n6w</t>
  </si>
  <si>
    <t>4c54b6dfeff74e908d3e9ae8d3fc3b77f5e5ba8be1b83bf235840ed8bffa9cc5</t>
  </si>
  <si>
    <t>AiNET</t>
  </si>
  <si>
    <t>AiNET Beltsville</t>
  </si>
  <si>
    <t>11700 Montgomery Rd, Beltsville, MD 20705</t>
  </si>
  <si>
    <t>Maryland</t>
  </si>
  <si>
    <t>MD</t>
  </si>
  <si>
    <t>Prince George's County</t>
  </si>
  <si>
    <t>Beltsville</t>
  </si>
  <si>
    <t>20705</t>
  </si>
  <si>
    <t>Gn40nB</t>
  </si>
  <si>
    <t>d3058761aee3d0cfd4c52e82d6fded181d1417c163f9bfd027c0b376a03db99e</t>
  </si>
  <si>
    <t>AiNET CyberNAP</t>
  </si>
  <si>
    <t>7900 Ritchie Hwy, Glen Burnie, MD 21061</t>
  </si>
  <si>
    <t>Anne Arundel County</t>
  </si>
  <si>
    <t>Glen Burnie</t>
  </si>
  <si>
    <t>21061</t>
  </si>
  <si>
    <t>BEWkoG</t>
  </si>
  <si>
    <t>b63f2d865f84478d1570371f62e70920d43fda083c8db65991dd7c42049546ce</t>
  </si>
  <si>
    <t>AiNET Laurel</t>
  </si>
  <si>
    <t>312 Laurel Ave, Laurel, MD 20707</t>
  </si>
  <si>
    <t>Laurel</t>
  </si>
  <si>
    <t>20707</t>
  </si>
  <si>
    <t>Rp70DB</t>
  </si>
  <si>
    <t>620f2581e31d347f9683b02ef0288cba3ba87f7401a59fdea42430a8a1ff8ef6</t>
  </si>
  <si>
    <t>One Market Center</t>
  </si>
  <si>
    <t>300 W Lexington St, Baltimore, MD 21201</t>
  </si>
  <si>
    <t>Baltimore</t>
  </si>
  <si>
    <t>21201</t>
  </si>
  <si>
    <t>Chinatown</t>
  </si>
  <si>
    <t>BgA3KG</t>
  </si>
  <si>
    <t>7365419763ea968e53b28827c9b04e4759b7a8bd1a9e47e2a8194aae1a8478cd</t>
  </si>
  <si>
    <t>Air Products</t>
  </si>
  <si>
    <t>Cetronia Road Data Center</t>
  </si>
  <si>
    <t>7201 Hamilton Blvd, Allentown, PA 18195</t>
  </si>
  <si>
    <t>Lehigh County</t>
  </si>
  <si>
    <t>Upper Macungie Township</t>
  </si>
  <si>
    <t>18087</t>
  </si>
  <si>
    <t>Air Products and Chemicals, Inc.</t>
  </si>
  <si>
    <t>GWndNR</t>
  </si>
  <si>
    <t>67306e2908e342cd18fe63acce82a2787ebc16feb87cd2de4f180511bbe6ad93</t>
  </si>
  <si>
    <t>AIT</t>
  </si>
  <si>
    <t>Fayetteville</t>
  </si>
  <si>
    <t>421 Maiden Ln, Fayetteville, NC 28301, USA</t>
  </si>
  <si>
    <t>Cumberland County</t>
  </si>
  <si>
    <t>R2ryDR</t>
  </si>
  <si>
    <t>d5f6a3686d20f965ee253fb7fa49b8bd16973fb7a02f236971d306aa00fdd4d1</t>
  </si>
  <si>
    <t>Alchemy</t>
  </si>
  <si>
    <t>Alchemy Downtown (West7)</t>
  </si>
  <si>
    <t>1200 W 7th St Suite L1-100, Los Angeles, CA 90017</t>
  </si>
  <si>
    <t>Los Angeles County</t>
  </si>
  <si>
    <t>Los Angeles</t>
  </si>
  <si>
    <t>90017</t>
  </si>
  <si>
    <t>Westlake</t>
  </si>
  <si>
    <t>Bg09mR</t>
  </si>
  <si>
    <t>a2bc2167240293a72bcab8c783a090ca14db3a3135de11cc86772a618b61b444</t>
  </si>
  <si>
    <t>Alchemy Irvine</t>
  </si>
  <si>
    <t>2640 Main St, Irvine, CA 92614</t>
  </si>
  <si>
    <t>Irvine</t>
  </si>
  <si>
    <t>92614</t>
  </si>
  <si>
    <t>Irvine Business Complex</t>
  </si>
  <si>
    <t>wOmZkR</t>
  </si>
  <si>
    <t>6592617e3d62775daa9c77cf04bb545e0bc25b41ad2f830e6857e8568bf9d2a1</t>
  </si>
  <si>
    <t>Aligned</t>
  </si>
  <si>
    <t>10920 Balls Ford Road</t>
  </si>
  <si>
    <t>10920 Balls Ford Rd, Manassas, Virginia 20109</t>
  </si>
  <si>
    <t>Prince William County</t>
  </si>
  <si>
    <t>Manassas</t>
  </si>
  <si>
    <t>20109</t>
  </si>
  <si>
    <t>BAQqQB</t>
  </si>
  <si>
    <t>e09d7fe6f630def97a3115e19c4845837199e0added51f649116929bac10a1e8</t>
  </si>
  <si>
    <t>Aligned IAD-01</t>
  </si>
  <si>
    <t>21890 Uunet Drive, Ashburn, Virginia 20147</t>
  </si>
  <si>
    <t>Ashburn</t>
  </si>
  <si>
    <t>20147</t>
  </si>
  <si>
    <t>QBbgLR</t>
  </si>
  <si>
    <t>fe76106ba816cbae7aaeb76fad41f86a8fa9c8c52548f635dc2963b8ef1d1db0</t>
  </si>
  <si>
    <t>Aligned IAD-02</t>
  </si>
  <si>
    <t>21821 Uunet Drive Ashburn, Virginia, 20147</t>
  </si>
  <si>
    <t>RxZkow</t>
  </si>
  <si>
    <t>68254122e6ccac38c61bae8430e3d7f7350f49128949b90f4987d740e34de99a</t>
  </si>
  <si>
    <t>Aligned IAD-03</t>
  </si>
  <si>
    <t>22715 Relocation Dr, Sterling, Virginia 20166</t>
  </si>
  <si>
    <t>Sterling</t>
  </si>
  <si>
    <t>20166</t>
  </si>
  <si>
    <t>GlPnxG</t>
  </si>
  <si>
    <t>a7a2dce310da7170a6b1019d4931df2314aa5ed3541a5b2fc978dd9bb06960e6</t>
  </si>
  <si>
    <t>CMH-02</t>
  </si>
  <si>
    <t>47201 County Rd 273 Conesville, OH 43811</t>
  </si>
  <si>
    <t>Coshocton County</t>
  </si>
  <si>
    <t>Franklin Township</t>
  </si>
  <si>
    <t>43811</t>
  </si>
  <si>
    <t>Conesville Industrial Park</t>
  </si>
  <si>
    <t>R0lEpR</t>
  </si>
  <si>
    <t>f732454126afd63a2f8d0308e5c104c65a81d47a2555116a7cbc7e446d10034b</t>
  </si>
  <si>
    <t>DAL3</t>
  </si>
  <si>
    <t>3801 Britton Rd Mansfield, TX 76063</t>
  </si>
  <si>
    <t>Tarrant County</t>
  </si>
  <si>
    <t>Mansfield</t>
  </si>
  <si>
    <t>76063</t>
  </si>
  <si>
    <t>RxYzLG</t>
  </si>
  <si>
    <t>dfef829e978b4609b2de8e2c56fd83b9c1786790c6b33f47b9b1b071a69ab45e</t>
  </si>
  <si>
    <t>Dallas Campus</t>
  </si>
  <si>
    <t>2800 Summit Ave, Plano, Texas 75074, USA</t>
  </si>
  <si>
    <t>Collin County</t>
  </si>
  <si>
    <t>Plano</t>
  </si>
  <si>
    <t>75074</t>
  </si>
  <si>
    <t>8Rv1AB</t>
  </si>
  <si>
    <t>1d9dda98a62b19c505cb46c352a3fa96084f99e69fbbd9fea78dafcfb6739608</t>
  </si>
  <si>
    <t>Elk Grove (ORD-03 &amp; ORD-04)</t>
  </si>
  <si>
    <t>50 NW Point Blvd., Elk Grove Village, IL 60007</t>
  </si>
  <si>
    <t>Elk Grove Village</t>
  </si>
  <si>
    <t>Elk Grove Township</t>
  </si>
  <si>
    <t>BXJLaG</t>
  </si>
  <si>
    <t>4a19461d2f5882fd675f934ca05a3b25b88bca53e15db9a161970efd86d45180</t>
  </si>
  <si>
    <t>Hillsboro Campus</t>
  </si>
  <si>
    <t>NE 30th Avenue and NE Evergreen Road, Hillsboro, OR 97124</t>
  </si>
  <si>
    <t>RjW6QG</t>
  </si>
  <si>
    <t>0385ed90f4fae5eb9eee3546e893707cd72f5db42127de8831e827958806c96f</t>
  </si>
  <si>
    <t>IAD-04</t>
  </si>
  <si>
    <t>5601 Manor Woods Rd, Frederick, Maryland 21703</t>
  </si>
  <si>
    <t>Frederick County</t>
  </si>
  <si>
    <t>Buckeystown</t>
  </si>
  <si>
    <t>21703</t>
  </si>
  <si>
    <t>GaA7LG</t>
  </si>
  <si>
    <t>8295bf25958e4e8c1fffeea8f0e96e3441986ad3ce442ea357c84b6381172473</t>
  </si>
  <si>
    <t>NEO-01</t>
  </si>
  <si>
    <t xml:space="preserve">2509 Hayes Ave Sandusky, OH 44870 </t>
  </si>
  <si>
    <t>Perkins Township</t>
  </si>
  <si>
    <t>44870</t>
  </si>
  <si>
    <t>Gz30pw</t>
  </si>
  <si>
    <t>f33090f8ccb3c47e89e6e55b0bbae5acff04563abc6a7a25e0887bacdc9bf5a4</t>
  </si>
  <si>
    <t>Northlake Campus (ORD-01 &amp; ORD-02)</t>
  </si>
  <si>
    <t>505 Northwest Avenue Northlake, IL 60164 &amp; 501 Northwest Avenue Northlake, IL 60164</t>
  </si>
  <si>
    <t>Northlake</t>
  </si>
  <si>
    <t>60164</t>
  </si>
  <si>
    <t>Leyden Township</t>
  </si>
  <si>
    <t>BE876w</t>
  </si>
  <si>
    <t>a14c7e3ca35f05b5237a035c52ec7800a94c0875ea37cfc8a8cecd8704726644</t>
  </si>
  <si>
    <t>Pataskala</t>
  </si>
  <si>
    <t>6770 Mink St SW, Pataskala, OH 43062</t>
  </si>
  <si>
    <t>Licking County</t>
  </si>
  <si>
    <t>43062</t>
  </si>
  <si>
    <t>BEL5jw</t>
  </si>
  <si>
    <t>fe87038404bdddc827952bae8d9e8be713afc13da09ab5479523c854f5c2a26b</t>
  </si>
  <si>
    <t>Phoenix  01/02/03/05</t>
  </si>
  <si>
    <t>2500 W Union Hills Drive, Phoenix, AZ, US</t>
  </si>
  <si>
    <t>Phoenix</t>
  </si>
  <si>
    <t>85027</t>
  </si>
  <si>
    <t>dGZWow</t>
  </si>
  <si>
    <t>d4d881eddf9261f6dbb1df34f04f8b52fce24e8bda07705ec81fa65d614833b1</t>
  </si>
  <si>
    <t>PHX-04</t>
  </si>
  <si>
    <t>2455 S Price Road, Chandler, AZ 85248</t>
  </si>
  <si>
    <t>Chandler</t>
  </si>
  <si>
    <t>85248</t>
  </si>
  <si>
    <t>wOvQdG</t>
  </si>
  <si>
    <t>da347f624e0dca0340d965266a0f4196e4254fb48d7a71aeffe39994b97a9a69</t>
  </si>
  <si>
    <t>PHX-06</t>
  </si>
  <si>
    <t>2955 W Innovation Street, Chandler, AZ 85286</t>
  </si>
  <si>
    <t>85286</t>
  </si>
  <si>
    <t>GrvX7G</t>
  </si>
  <si>
    <t>dbcb152e6a179945528f7cb6f359a908d7489b8a24296c63056f9178c2c3daaf</t>
  </si>
  <si>
    <t>PHX-07 (El-mirage campus)</t>
  </si>
  <si>
    <t>8785 N Reems Rd, Waddell, AZ 85355, United States</t>
  </si>
  <si>
    <t>Waddell</t>
  </si>
  <si>
    <t>85355</t>
  </si>
  <si>
    <t>RKv05B</t>
  </si>
  <si>
    <t>00d09875a58347cce8038d1bead534b4a932b226416af44b421d1daf63a037cc</t>
  </si>
  <si>
    <t>Project Phoenix</t>
  </si>
  <si>
    <t>179-175 PA-3016, Aliquippa, PA 15001</t>
  </si>
  <si>
    <t>Beaver County</t>
  </si>
  <si>
    <t>Shippingport</t>
  </si>
  <si>
    <t>15001</t>
  </si>
  <si>
    <t>GrlD4B</t>
  </si>
  <si>
    <t>9b314b651ff55923a8e87e80c0f6e1672b70225937bf7cb66e46dc9421b7cbfe</t>
  </si>
  <si>
    <t>SLC Campus</t>
  </si>
  <si>
    <t>3333 West 9000 South West Jordan, Utah 84088, USA</t>
  </si>
  <si>
    <t>Utah</t>
  </si>
  <si>
    <t>UT</t>
  </si>
  <si>
    <t>Salt Lake County</t>
  </si>
  <si>
    <t>West Jordan</t>
  </si>
  <si>
    <t>84088</t>
  </si>
  <si>
    <t>The Wood</t>
  </si>
  <si>
    <t>PGylZR</t>
  </si>
  <si>
    <t>108461f263e6bcbb8cf95af0561249a2f618464ccd576b5449366414f4b36c35</t>
  </si>
  <si>
    <t>Allstate Insurance Company</t>
  </si>
  <si>
    <t>Rochelle, IL</t>
  </si>
  <si>
    <t>Self-build Financial/Institutional</t>
  </si>
  <si>
    <t>N Dement Rd, Rochelle, IL 61068, USA</t>
  </si>
  <si>
    <t>Ogle County</t>
  </si>
  <si>
    <t>Rochelle</t>
  </si>
  <si>
    <t>61068</t>
  </si>
  <si>
    <t>RKvv3B</t>
  </si>
  <si>
    <t>68cd8965da2a2c6ad8d4a773f3426e1e4ed39df6555412e5af771e650c296d2a</t>
  </si>
  <si>
    <t>Alpha Technologies</t>
  </si>
  <si>
    <t>Alpha Technologies DC1</t>
  </si>
  <si>
    <t>2020 Union Carbide Drive, South Charleston, WV 25303</t>
  </si>
  <si>
    <t>West Virginia</t>
  </si>
  <si>
    <t>WV</t>
  </si>
  <si>
    <t>Kanawha County</t>
  </si>
  <si>
    <t>South Charleston</t>
  </si>
  <si>
    <t>25303</t>
  </si>
  <si>
    <t>R0mkAG</t>
  </si>
  <si>
    <t>b5c35a48ee77dfe36f2715676ca9d0940ca10153153b03315b9e0a4b932180ab</t>
  </si>
  <si>
    <t>Amazon Web Services</t>
  </si>
  <si>
    <t>14237 and 14209 Dumfries Road</t>
  </si>
  <si>
    <t>Self-build Public Cloud</t>
  </si>
  <si>
    <t>14237 &amp; 14209 Dumfries Rd, Manassas, VA 20112</t>
  </si>
  <si>
    <t>20112</t>
  </si>
  <si>
    <t>Walton</t>
  </si>
  <si>
    <t>GWZl5R</t>
  </si>
  <si>
    <t>4e55adc843bfa9baf2947bf0382d8f633645ec0d975b58fb83621c776a31f302</t>
  </si>
  <si>
    <t>22760 Pacific Boulevard</t>
  </si>
  <si>
    <t>22760 Pacific Blvd, Sterling, VA 20166</t>
  </si>
  <si>
    <t>RKv2PB</t>
  </si>
  <si>
    <t>4ba6c704b96e6225e9d11dfd4893092e9ecc7a44d5f35b5203d2f4ee391992b3</t>
  </si>
  <si>
    <t>22945 International Dr</t>
  </si>
  <si>
    <t>22945 International Dr, Sterling, VA 20166</t>
  </si>
  <si>
    <t>BqvxaR</t>
  </si>
  <si>
    <t>631bb59e1b538d8981d1a03238a752c74c8e6657320985c57a6e761a99c6689d</t>
  </si>
  <si>
    <t>4120- Scioto Darby Rd (Hilliard III)</t>
  </si>
  <si>
    <t>4120 Scioto Darby Rd, Hilliard, OH 43026, USA</t>
  </si>
  <si>
    <t>Franklin County</t>
  </si>
  <si>
    <t>Hilliard</t>
  </si>
  <si>
    <t>43026</t>
  </si>
  <si>
    <t>Columbus</t>
  </si>
  <si>
    <t>San Margherita</t>
  </si>
  <si>
    <t>R4J0Pw</t>
  </si>
  <si>
    <t>05977097f8a5356b59714a00ff6b97a1fbdea89965798485096cac72341f36ba</t>
  </si>
  <si>
    <t>42090 Reeds Farm Lane</t>
  </si>
  <si>
    <t>42090 Reeds Farm Ln, Stone Ridge, VA 20105</t>
  </si>
  <si>
    <t>Aldie</t>
  </si>
  <si>
    <t>20105</t>
  </si>
  <si>
    <t>GnKJQw</t>
  </si>
  <si>
    <t>bb3409974e0097525443910c13c550cc187716b5aaab6f7b4a8a95dbd960b372</t>
  </si>
  <si>
    <t>45111 Loudoun Downs Lane</t>
  </si>
  <si>
    <t>45111 Loudoun Downs Ln, Sterling, VA 20166</t>
  </si>
  <si>
    <t>20103</t>
  </si>
  <si>
    <t>RKlr5G</t>
  </si>
  <si>
    <t>353f1c84039179482bf7dce76ce212e4c2885fdda991fad7e7ddba3aa39d0539</t>
  </si>
  <si>
    <t>5945 Wellington</t>
  </si>
  <si>
    <t>5945 Wellington Rd, Gainesville, VA 20155</t>
  </si>
  <si>
    <t>Bristow</t>
  </si>
  <si>
    <t>20136</t>
  </si>
  <si>
    <t>B72Eew</t>
  </si>
  <si>
    <t>b09e370da9e38d3f32afd56d4f00f5c4c26b58768197befb053387e69fe565ca</t>
  </si>
  <si>
    <t>600 Friberg Parkway</t>
  </si>
  <si>
    <t>600 Friberg Pkwy, Westborough, MA 01581</t>
  </si>
  <si>
    <t>Worcester County</t>
  </si>
  <si>
    <t>Westborough</t>
  </si>
  <si>
    <t>01784</t>
  </si>
  <si>
    <t>Gz38Zw</t>
  </si>
  <si>
    <t>b733fe4c081f2435eee9a4ff9fce7b247a00766ae20a009fcc85513d4c8f43e2</t>
  </si>
  <si>
    <t>7151 &amp; 7350 Century Park Drive</t>
  </si>
  <si>
    <t>7151 Century Park Dr, Manassas, VA 20109</t>
  </si>
  <si>
    <t>weJm9B</t>
  </si>
  <si>
    <t>95354a5c879f7bbdab49839dceb2065c7ee76f509590af2b563c3d2a0d0efbd8</t>
  </si>
  <si>
    <t>8 Centennial Drive</t>
  </si>
  <si>
    <t>8 Centennial Dr, North Grafton, MA 01536</t>
  </si>
  <si>
    <t>Grafton</t>
  </si>
  <si>
    <t>01536</t>
  </si>
  <si>
    <t>Gm605w</t>
  </si>
  <si>
    <t>22e295a24f752a5be7a782d5b1ecd4a8159946dee9cec73490cb625aef097173</t>
  </si>
  <si>
    <t>8401 &amp; 8501 Vulcan Lane</t>
  </si>
  <si>
    <t>8401 &amp; 8501 Vulcan Ln, Manassas, Virginia 20109</t>
  </si>
  <si>
    <t>GWZQ0R</t>
  </si>
  <si>
    <t>1dcbd8f09eff3b87dff9fc1f9f7acda643c85a9653c08936609c831e1959c39b</t>
  </si>
  <si>
    <t>ALE062</t>
  </si>
  <si>
    <t>7400 Potranco Road San Antonio, TX 78251</t>
  </si>
  <si>
    <t>Bexar County</t>
  </si>
  <si>
    <t>San Antonio</t>
  </si>
  <si>
    <t>78245</t>
  </si>
  <si>
    <t>R2rM6R</t>
  </si>
  <si>
    <t>3cb1ee2d3af01eaea45b327b5ba17dfcb2ab450991d346a0203c66cd20af0a2e</t>
  </si>
  <si>
    <t>Amazon Avion Parkway</t>
  </si>
  <si>
    <t>14501 Avion Parkway, Chantilly, VA 20151</t>
  </si>
  <si>
    <t>Chantilly</t>
  </si>
  <si>
    <t>20151</t>
  </si>
  <si>
    <t>R8V4Vw</t>
  </si>
  <si>
    <t>ea4f70696abb04caccde2201572273ceac165728296a03a51226fa56473b0337</t>
  </si>
  <si>
    <t>Amazon Bethlehem Technology Park</t>
  </si>
  <si>
    <t>8210 BETHLEHEM RD , MANASSAS, VA, 20109</t>
  </si>
  <si>
    <t>20156</t>
  </si>
  <si>
    <t>Arcadia Run Apartments</t>
  </si>
  <si>
    <t>RYKpmw</t>
  </si>
  <si>
    <t>eda3738de41c5665451ab8da352cfb05d2e01219a1d0a0df266bb920334100de</t>
  </si>
  <si>
    <t>Amazon Bristow</t>
  </si>
  <si>
    <t>11480 Nokesville Rd, Bristow, VA 20136</t>
  </si>
  <si>
    <t>GmxjVR</t>
  </si>
  <si>
    <t>ebad465ec385c0e5afeb8fad2ba7e78543b0d4e160bb4de08dc24c61dbb41c7e</t>
  </si>
  <si>
    <t>Amazon Charles View Drive</t>
  </si>
  <si>
    <t>21710 Charles View Dr, Sterling, VA 20166</t>
  </si>
  <si>
    <t>BqZO0R</t>
  </si>
  <si>
    <t>c9dbc133ab6b8e403f01498636f5a8ac282a16e776272e8e27e252c6cfeada73</t>
  </si>
  <si>
    <t>Amazon Fadeley Lane</t>
  </si>
  <si>
    <t>42949 Fadeley Ln, Dulles, VA 20166</t>
  </si>
  <si>
    <t>GrZ97G</t>
  </si>
  <si>
    <t>260ae56fac3b6d85cfa69122a8a209d3e6ea09e5ff62b92be1c1525aa949f9da</t>
  </si>
  <si>
    <t>Amazon Freedom Center Blvd</t>
  </si>
  <si>
    <t>9040 Freedom Center Blvd, Manassas, VA 20109</t>
  </si>
  <si>
    <t>Innovation</t>
  </si>
  <si>
    <t>BA7EOG</t>
  </si>
  <si>
    <t>79288d6acaebf8f2079bdc4656d6c6049cab6d4a5ec42fb6ca881db2e9b147b2</t>
  </si>
  <si>
    <t>Amazon Germanna Highway</t>
  </si>
  <si>
    <t>20420 Germanna Hwy, Stevensburg, VA 22741</t>
  </si>
  <si>
    <t>Culpeper County</t>
  </si>
  <si>
    <t>22741</t>
  </si>
  <si>
    <t>Rv4zAw</t>
  </si>
  <si>
    <t>298ab429785d4401680aede60cd9f067e098f8433bac3ff28312c244e7411dc1</t>
  </si>
  <si>
    <t>Amazon Interconnection Plaza</t>
  </si>
  <si>
    <t>44858 Interconnection Plaza Ashburn, VA 20147</t>
  </si>
  <si>
    <t>B1ADyB</t>
  </si>
  <si>
    <t>b1b11c0b05c9f07bcb41a00221d2ba026120fefa69820c4fcdda31d2374928a4</t>
  </si>
  <si>
    <t>Amazon John Marshall HWY</t>
  </si>
  <si>
    <t>15465 JOHN MARSHALL HWY, HAYMARKET, VA, 20169</t>
  </si>
  <si>
    <t>Haymarket</t>
  </si>
  <si>
    <t>20169</t>
  </si>
  <si>
    <t>Gne9yR</t>
  </si>
  <si>
    <t>7cca00f7991259107d5e076ec2b4ceae3ab26d03bf2a9830aca27affbdcfa3d0</t>
  </si>
  <si>
    <t>Amazon Loudoun County Parkway</t>
  </si>
  <si>
    <t>20935 Loudoun County Parkway, Ashburn, VA 20147</t>
  </si>
  <si>
    <t>Bg0vQR</t>
  </si>
  <si>
    <t>8fd76a7e59fa27796753b70736102d1ad30167df3cbcbe5315355701690dc7d4</t>
  </si>
  <si>
    <t>Amazon Prediction Lane</t>
  </si>
  <si>
    <t>25316 Prediction Ln, Chantilly, VA 20152</t>
  </si>
  <si>
    <t>South Riding</t>
  </si>
  <si>
    <t>20152</t>
  </si>
  <si>
    <t>Eastgate</t>
  </si>
  <si>
    <t>R8V93w</t>
  </si>
  <si>
    <t>805e3bcdc476fdc0af3e12f1d037eeda722bcd76b949c4ddb034d99cd5dd460b</t>
  </si>
  <si>
    <t>Amazon Quantum Frederick</t>
  </si>
  <si>
    <t>Frederick, MD 21703</t>
  </si>
  <si>
    <t>Frederick</t>
  </si>
  <si>
    <t>Gm4VjR</t>
  </si>
  <si>
    <t>22944a6bd31a6108059cbb2b1e84577fad6312f18617190f7e7dab328f7337b0</t>
  </si>
  <si>
    <t>Amazon Santa Clara</t>
  </si>
  <si>
    <t>2305 Mission College Blvd, Santa Clara, CA 95054</t>
  </si>
  <si>
    <t>Santa Clara County</t>
  </si>
  <si>
    <t>Santa Clara</t>
  </si>
  <si>
    <t>95054-1521</t>
  </si>
  <si>
    <t>B7QlrG</t>
  </si>
  <si>
    <t>4fd5b6b6950ef6bb006a626c2b71b8d984405036fa1392d8147114b3de65a48a</t>
  </si>
  <si>
    <t>Amazon Santa Clara 2</t>
  </si>
  <si>
    <t xml:space="preserve">960 Central Expy Santa Clara, CA 95050 </t>
  </si>
  <si>
    <t>95050</t>
  </si>
  <si>
    <t>Newhall</t>
  </si>
  <si>
    <t>wVVobw</t>
  </si>
  <si>
    <t>507a18eda2e91cda1073fe12a24b8353bbd4e8258005c6e26d26e54c706197e5</t>
  </si>
  <si>
    <t>Amazon Sutton Bay</t>
  </si>
  <si>
    <t>25410 Sutton Bay Plz, South Riding, Virginia 20152</t>
  </si>
  <si>
    <t>GdAb8w</t>
  </si>
  <si>
    <t>40ba6033794c18812ffe4887af4105a2acae2a45a32e08b38fbf8804bd3b23ec</t>
  </si>
  <si>
    <t>Amazon Thomasson Barn Road</t>
  </si>
  <si>
    <t>11200 THOMASSON BARN RD , MANASSAS, VA, 20109</t>
  </si>
  <si>
    <t>RpqdpG</t>
  </si>
  <si>
    <t>24b7058a1db7d60d4968ce38e628087c5caf5db1b012a12fc1d7ade038e5938d</t>
  </si>
  <si>
    <t>Amazon W Severn Way</t>
  </si>
  <si>
    <t>45259 West Severn Way, Sterling, VA, USA</t>
  </si>
  <si>
    <t>29166</t>
  </si>
  <si>
    <t>GLj8bB</t>
  </si>
  <si>
    <t>1eabe22a5f80b22632b273812ad0637577c55b7787c3d9401c59a00c414c3bb5</t>
  </si>
  <si>
    <t>Amazon Warrenton</t>
  </si>
  <si>
    <t>719 Blackwell Rd, Warrenton, Virginia 20186</t>
  </si>
  <si>
    <t>Fauquier County</t>
  </si>
  <si>
    <t>Warrenton</t>
  </si>
  <si>
    <t>20186</t>
  </si>
  <si>
    <t>Rv43Yw</t>
  </si>
  <si>
    <t>229e321a58e4e996905733350791c49c7da890fdc82f4a0308e6459314377c6e</t>
  </si>
  <si>
    <t>Amazon Willard Road</t>
  </si>
  <si>
    <t>25500 Meadowdale Dr, South Riding, VA 20152</t>
  </si>
  <si>
    <t>BblxLG</t>
  </si>
  <si>
    <t>1f87d97f9168017d5596588751c10a08faf7ed77f260261a95ad8bfb26bc3a56</t>
  </si>
  <si>
    <t>AWS - Luzerne County</t>
  </si>
  <si>
    <t>1125 Electron Ave, Berwick, PA 18603</t>
  </si>
  <si>
    <t>Luzerne County</t>
  </si>
  <si>
    <t>Salem</t>
  </si>
  <si>
    <t>Salem Township</t>
  </si>
  <si>
    <t>BAQd6B</t>
  </si>
  <si>
    <t>5c26afb33c3dc33ddc1c8ae4da144a7b91837255055acb41b79968df8aea4bdc</t>
  </si>
  <si>
    <t>AWS - Mid-County Industrial Park</t>
  </si>
  <si>
    <t>DUMFRIES RD MANASSAS, VA 20112</t>
  </si>
  <si>
    <t>GnqLQR</t>
  </si>
  <si>
    <t>ea8e9b8849af8a12b77cb765fff520a3ab10190aefec8b06d9905028223daf10</t>
  </si>
  <si>
    <t>AWS Becker</t>
  </si>
  <si>
    <t>11748 Energy Dr SE, Becker, MN 55308</t>
  </si>
  <si>
    <t>Minnesota</t>
  </si>
  <si>
    <t>MN</t>
  </si>
  <si>
    <t>Sherburne County</t>
  </si>
  <si>
    <t>Becker</t>
  </si>
  <si>
    <t>Becker Township</t>
  </si>
  <si>
    <t>R8m6vG</t>
  </si>
  <si>
    <t>dceea9308da7c9ec9a33c197ee0981db94434a996d06f2e7689d4427ee5471f2</t>
  </si>
  <si>
    <t>AWS Chantilly</t>
  </si>
  <si>
    <t>44150 Wade Dr, Chantilly, Virginia 20152</t>
  </si>
  <si>
    <t>R0ZEjw</t>
  </si>
  <si>
    <t>404cb6055bfdae80d0b66f6f4c1bdb163c1b839ea8f1738c6f0e2323ae01417a</t>
  </si>
  <si>
    <t>AWS Dublin (OH)</t>
  </si>
  <si>
    <t>6685 Crosby Ct, Plain City, OH 43064, USA</t>
  </si>
  <si>
    <t>Dublin</t>
  </si>
  <si>
    <t>43016</t>
  </si>
  <si>
    <t>Washington</t>
  </si>
  <si>
    <t>RpZb5w</t>
  </si>
  <si>
    <t>4640ffc7fb3e897ad62a6fc282f25a29b64517ea05044517f95053dfdf2b15f0</t>
  </si>
  <si>
    <t>AWS EDS Drive</t>
  </si>
  <si>
    <t>13600 EDS Dr, Herndon, VA 20171</t>
  </si>
  <si>
    <t>Herndon</t>
  </si>
  <si>
    <t>BJrp5B</t>
  </si>
  <si>
    <t>b1af4455a32e72f5c0ff765d9d92d70d44cffe9dc6c9acd22f83d5891b656af8</t>
  </si>
  <si>
    <t>AWS Import Plaza</t>
  </si>
  <si>
    <t>44254 &amp; 44305 Import Plz, Ashburn, Virginia 20147</t>
  </si>
  <si>
    <t>20174</t>
  </si>
  <si>
    <t>R2L4Qw</t>
  </si>
  <si>
    <t>c85028c6a762e9986b4c4c65f4aee1ed8d7767daec973711e34900869cc03b3f</t>
  </si>
  <si>
    <t>AWS Loisdale Road</t>
  </si>
  <si>
    <t>7951 Loisdale RdSpringfield, VA 22150, USA</t>
  </si>
  <si>
    <t>22150</t>
  </si>
  <si>
    <t>RN8OZw</t>
  </si>
  <si>
    <t>228ea4c8a6d2029e880a447a97a8374763d22c3eeead79fbcf3ac66aafb09c23</t>
  </si>
  <si>
    <t>AWS Manekin Plaza</t>
  </si>
  <si>
    <t>46000 Manekin Plz, Sterling, Virginia 20166</t>
  </si>
  <si>
    <t>RxYEXG</t>
  </si>
  <si>
    <t>c7211ca71db849b227433517d33747e06759540c4874a00c164fff5cc6487eb2</t>
  </si>
  <si>
    <t>AWS Nokes Boulevard</t>
  </si>
  <si>
    <t>45975 Nokes Blvd, Sterling, Virginia 20166</t>
  </si>
  <si>
    <t>Dulles Town Center</t>
  </si>
  <si>
    <t>RQ3jjw</t>
  </si>
  <si>
    <t>e90c210b2d06b456ceebcee4709592323bd4d44420d533b4e345808308059a16</t>
  </si>
  <si>
    <t>AWS Nokesville Rd</t>
  </si>
  <si>
    <t>9720 Dean Drive and 9811 Nokesville Road, Manassas, VA 20110</t>
  </si>
  <si>
    <t>City of Manassas</t>
  </si>
  <si>
    <t>20110</t>
  </si>
  <si>
    <t>RjWL8G</t>
  </si>
  <si>
    <t>37b040d349cd5a9bd9521cf451e0dbb5ff39c212a40eb6f260b074436a56cfe5</t>
  </si>
  <si>
    <t>AWS Pathfinder Plaza</t>
  </si>
  <si>
    <t>45900 Pathfinder Plaza, Sterling, VA</t>
  </si>
  <si>
    <t>woWqbw</t>
  </si>
  <si>
    <t>9f0d47ca28a5fda239f7a58b43731b17e6c065b39a686a7d637e91a3c29738b2</t>
  </si>
  <si>
    <t>AWS Pickaway County</t>
  </si>
  <si>
    <t>9905 State Rt. 104, Commercial Point, Ohio. 43137</t>
  </si>
  <si>
    <t>Pickaway County</t>
  </si>
  <si>
    <t>Orient</t>
  </si>
  <si>
    <t>43146</t>
  </si>
  <si>
    <t>Scioto Township</t>
  </si>
  <si>
    <t>B13d4G</t>
  </si>
  <si>
    <t>5aa88e669543313d7476d2f1d24c5b02095067ff75939f160055affff7b130ef</t>
  </si>
  <si>
    <t>AWS Platform Plaza</t>
  </si>
  <si>
    <t>22900 Platform Plz, Dulles, VA 20166</t>
  </si>
  <si>
    <t>wVqExG</t>
  </si>
  <si>
    <t>bbb45e351116eb8b8abac693132b732008d78b11aba8962766fdbd002709677a</t>
  </si>
  <si>
    <t>AWS Portage</t>
  </si>
  <si>
    <t>6350 Prairie School Dr, Portage, IN 46368</t>
  </si>
  <si>
    <t>Porter County</t>
  </si>
  <si>
    <t>Portage</t>
  </si>
  <si>
    <t>46368</t>
  </si>
  <si>
    <t>Portage Township</t>
  </si>
  <si>
    <t>GkWoqG</t>
  </si>
  <si>
    <t>323d9ab194f24b4ab5b49a2c6e5fae3fb181442baf1ad8cded15bc922a5b0d3b</t>
  </si>
  <si>
    <t>AWS Quail Ridge Lane</t>
  </si>
  <si>
    <t>24214 and 24244 Quail Ridge Lane, Aldie, VA 20105</t>
  </si>
  <si>
    <t>RvP3yw</t>
  </si>
  <si>
    <t>e075267d9c73beabe4183154ed76a4cc7470c43860101276f7db45d66c800551</t>
  </si>
  <si>
    <t>AWS Razor5</t>
  </si>
  <si>
    <t>Huckleberry Rd &amp; Gordon Rd, New Carlisle, IN</t>
  </si>
  <si>
    <t>St. Joseph County</t>
  </si>
  <si>
    <t>Olive</t>
  </si>
  <si>
    <t>46552</t>
  </si>
  <si>
    <t>Olive Township</t>
  </si>
  <si>
    <t>RKvx5B</t>
  </si>
  <si>
    <t>a67869f8be33bad9348c8ea8bdbff2d4bbec8b96a5251dce30369f95d12d9f1b</t>
  </si>
  <si>
    <t>AWS Ridgetop Circle</t>
  </si>
  <si>
    <t>21660 Ridgetop Cir, Sterling, Virginia 20166</t>
  </si>
  <si>
    <t>wMA1Zw</t>
  </si>
  <si>
    <t>89acf06511560cb6d0c0e9dcd77d472b6c967bc41351f46c6fd0c1a7f543a770</t>
  </si>
  <si>
    <t>AWS Sunbury</t>
  </si>
  <si>
    <t>11793 Vans Valley Rd, Galena, OH 43021</t>
  </si>
  <si>
    <t>Delaware County</t>
  </si>
  <si>
    <t>Galena</t>
  </si>
  <si>
    <t>43021</t>
  </si>
  <si>
    <t>Trenton Township</t>
  </si>
  <si>
    <t>BAg7QG</t>
  </si>
  <si>
    <t>1bba26ef1f1a1ba8a27b02a9d9a93febe30139b78cb987fe5de7d62f7ceb70ed</t>
  </si>
  <si>
    <t>AWS Tanner Way Campus</t>
  </si>
  <si>
    <t xml:space="preserve">10201 TANNER WAY, MANASSAS VA 20110 </t>
  </si>
  <si>
    <t>R4ke3B</t>
  </si>
  <si>
    <t>0a1ee62ba0059ed26e9cdb88c3dc5560815510cb34ba547d2283e6a170b4300b</t>
  </si>
  <si>
    <t>Barnesville</t>
  </si>
  <si>
    <t>Adjacent to High Falls Rd., Jackson, GA 30233</t>
  </si>
  <si>
    <t>Lamar County</t>
  </si>
  <si>
    <t>30204</t>
  </si>
  <si>
    <t>GnKpVw</t>
  </si>
  <si>
    <t>a04dd7f37d50d62fb1993e36a658a8d43628fbdefe05ed1b423b6a318c2077e8</t>
  </si>
  <si>
    <t>Beaumeade DC Building</t>
  </si>
  <si>
    <t>21310 &amp; 21320 Beaumeade Circle, Ashburn, VA 20147</t>
  </si>
  <si>
    <t>Bb0rKG</t>
  </si>
  <si>
    <t>57d24a3f9950897cb38dcd15f67155cac0d6c1c7862f35fa30306d4f7c7c6f38</t>
  </si>
  <si>
    <t>Carter's Store Tech Campus</t>
  </si>
  <si>
    <t>8432 Flippo Dr, Fredericksburg, Virginia 22408</t>
  </si>
  <si>
    <t>Spotsylvania County</t>
  </si>
  <si>
    <t>Carters Store</t>
  </si>
  <si>
    <t>22408</t>
  </si>
  <si>
    <t>GZZ36G</t>
  </si>
  <si>
    <t>506195d1d355d726d0d70dc7eac8d38e014381aff3e08a4db3e8b7d9e5fc7c2b</t>
  </si>
  <si>
    <t>Chantilly Premier</t>
  </si>
  <si>
    <t>Chantilly, VA 20151</t>
  </si>
  <si>
    <t>R8mKMG</t>
  </si>
  <si>
    <t>f242ad4c4077dc93a29dfef4f4a77a6d405d8b8a082209a6b85041fd47863df7</t>
  </si>
  <si>
    <t>Cosner Tech Campus</t>
  </si>
  <si>
    <t>0 Massaponax Church RD, Fredericksburg, VA 22408</t>
  </si>
  <si>
    <t>Fredericksburg</t>
  </si>
  <si>
    <t>BbAO0w</t>
  </si>
  <si>
    <t>613c20f89775f70be01ad3f69ed078bb389a9587273a07ca97c0d967aa70a7cc</t>
  </si>
  <si>
    <t>County Road 172</t>
  </si>
  <si>
    <t>2814-2730 Co Rd 172, Round Rock, Texas 78681, USA</t>
  </si>
  <si>
    <t>Williamson County</t>
  </si>
  <si>
    <t>Round Rock</t>
  </si>
  <si>
    <t>78681</t>
  </si>
  <si>
    <t>GWZm1R</t>
  </si>
  <si>
    <t>e15a61d9ac7a771c4fa4eba18f2adb81a7bbf2b3ace6f11ec5c5c038e7167e83</t>
  </si>
  <si>
    <t>Covington</t>
  </si>
  <si>
    <t>11145 Alcovy Rd, Covington, GA 30014</t>
  </si>
  <si>
    <t>Newton County</t>
  </si>
  <si>
    <t>30014</t>
  </si>
  <si>
    <t>Ga70vB</t>
  </si>
  <si>
    <t>d1894b43d61e98f0f567356ca8b356ab0202d58d33c84555f5b7ae58d2907980</t>
  </si>
  <si>
    <t>Desper Creek Technology Campus</t>
  </si>
  <si>
    <t>Louisa, Virginia 23093</t>
  </si>
  <si>
    <t>Louisa</t>
  </si>
  <si>
    <t>RKLKPG</t>
  </si>
  <si>
    <t>4210c3bc918ee18e22fee32976e5634a5921a424b5b95341a828e3a061126c22</t>
  </si>
  <si>
    <t>Devlin Technology Park</t>
  </si>
  <si>
    <t>Linton Hall Road &amp; Devlin Road, Bristow, VA 20136</t>
  </si>
  <si>
    <t>weNgVB</t>
  </si>
  <si>
    <t>d96d2bb37c202a96b64e62c0663df23f4a53fb107df1594e68ce55a6c0d152dd</t>
  </si>
  <si>
    <t>Off Echo Road near Rock House Road</t>
  </si>
  <si>
    <t>Douglasville</t>
  </si>
  <si>
    <t>30134</t>
  </si>
  <si>
    <t>RYNaAG</t>
  </si>
  <si>
    <t>4e9da27587b9bf3837fa80620e5895d2f8f300d8a9c06b788c8560ff040f28b2</t>
  </si>
  <si>
    <t>Ezell Drive Campus</t>
  </si>
  <si>
    <t>401 Ezell Dr, De Soto, Texas 60603, USA</t>
  </si>
  <si>
    <t>DeSoto</t>
  </si>
  <si>
    <t>75115</t>
  </si>
  <si>
    <t>wOLYQB</t>
  </si>
  <si>
    <t>dc461d50b824035159eecfee99c5446d3261cabe9163c18a6569008f88af891e</t>
  </si>
  <si>
    <t>Gilroy</t>
  </si>
  <si>
    <t xml:space="preserve"> 8050 Camino Arroyo Cir, Gilroy, CA 95020, United States</t>
  </si>
  <si>
    <t>95020</t>
  </si>
  <si>
    <t>GaAeXG</t>
  </si>
  <si>
    <t>94b9923ed9565666c3fecd9e8d1a2373b9ff6b2876ca17da6718ae91f3653ef0</t>
  </si>
  <si>
    <t>Hilliard I</t>
  </si>
  <si>
    <t>5109 Hayden Run Rd, Hilliard, OH 43026, USA</t>
  </si>
  <si>
    <t>BJvLZB</t>
  </si>
  <si>
    <t>4197b967535beb7b0fcd3fd4603d41ba9828668c36059452765e85a0f6953c74</t>
  </si>
  <si>
    <t>Hilliard II</t>
  </si>
  <si>
    <t>4600 Cosgray Rd, Hilliard, OH 43026</t>
  </si>
  <si>
    <t>Gk3MxG</t>
  </si>
  <si>
    <t>c903db68f97fe77c9598755cf9b040fc745f49437bc7de7d26aa42a6ae1b2109</t>
  </si>
  <si>
    <t>Hobart</t>
  </si>
  <si>
    <t>Colorado St &amp; W 61st Ave. Hobart, IN 46342</t>
  </si>
  <si>
    <t>Lake County</t>
  </si>
  <si>
    <t>46342</t>
  </si>
  <si>
    <t>Hobart Township</t>
  </si>
  <si>
    <t>wVn97w</t>
  </si>
  <si>
    <t>2e7398ea67bd890044c51dae286d4cb31179436095d37ec12ceb780c17b594bb</t>
  </si>
  <si>
    <t>IAD10</t>
  </si>
  <si>
    <t>45360 West Severn Way Sterling, VA 20166</t>
  </si>
  <si>
    <t>Bg086R</t>
  </si>
  <si>
    <t>5542a1bad1ccad081f8c270c74eaf0f3f43cb6aa0e9ac403f890a364ff370814</t>
  </si>
  <si>
    <t>IAD11</t>
  </si>
  <si>
    <t>7510 Mason King Ct Manassas VA 20109</t>
  </si>
  <si>
    <t>GlojxR</t>
  </si>
  <si>
    <t>81f7a4b5f8cd39212059b8872370495b660b10824427b7946974c2ed245d5f10</t>
  </si>
  <si>
    <t>IAD12</t>
  </si>
  <si>
    <t>22630 Dulles Summit Court Sterling, VA 20166</t>
  </si>
  <si>
    <t>RjPgmw</t>
  </si>
  <si>
    <t>13139e6ae8b6c2c25962bee5ae384bed0ebb0a845e8ef60261630372e952d5c9</t>
  </si>
  <si>
    <t>IAD13</t>
  </si>
  <si>
    <t>43790 Devin Shafron Drive Ashburn, VA 20147</t>
  </si>
  <si>
    <t>Loudoun Station</t>
  </si>
  <si>
    <t>GrZJXG</t>
  </si>
  <si>
    <t>4969b4c74883003def9da8cb4a93618b3a22a28d88492c68b10bfd7a2c4fc413</t>
  </si>
  <si>
    <t>IAD14</t>
  </si>
  <si>
    <t>11801 Brewers Spring Road, Manassas, VA</t>
  </si>
  <si>
    <t>B7QKZG</t>
  </si>
  <si>
    <t>b91fb81d9351dae0b0cff5db64b1bcc0e74bf3094576620213770253b119c3e2</t>
  </si>
  <si>
    <t>IAD145</t>
  </si>
  <si>
    <t>22916 International Dr, Sterling, VA 20166</t>
  </si>
  <si>
    <t>GLvQ5B</t>
  </si>
  <si>
    <t>caf371eecdc3efb1b1885be21f0cd0fb8fd6a9b34fc711e5d86610f930ad6b6d</t>
  </si>
  <si>
    <t>IAD15</t>
  </si>
  <si>
    <t>22631 Dulles Summit Court Sterling, VA 20166</t>
  </si>
  <si>
    <t>GDrAoB</t>
  </si>
  <si>
    <t>03c3a1c603e30aec9c929c7a2f13a5da8c72b1a201ba54d964b8613de6f54f6d</t>
  </si>
  <si>
    <t>IAD16</t>
  </si>
  <si>
    <t>22651 Dulles Summit Ct, Sterling, VA 20166</t>
  </si>
  <si>
    <t>BA7rQG</t>
  </si>
  <si>
    <t>80bff7d5da11f031c5cc416ee8d997cb45dea32269c386440380f6d0c5e08853</t>
  </si>
  <si>
    <t>IAD175</t>
  </si>
  <si>
    <t>23005 Capstone Dr, Herndon, VA 20170</t>
  </si>
  <si>
    <t>Oak Grove</t>
  </si>
  <si>
    <t>Gz3ljw</t>
  </si>
  <si>
    <t>a5b5d83aee380f8c41d8df2dc1eb048066bb9b5e1b952b8c96b7491d7748c08d</t>
  </si>
  <si>
    <t>IAD24</t>
  </si>
  <si>
    <t xml:space="preserve">7610 Mason King Ct, Manassas, VA 20109 </t>
  </si>
  <si>
    <t>RKlyqG</t>
  </si>
  <si>
    <t>fd2795350c4591e0deebd74e4687e789c9b2a9c7383e3008efa33b3eb3e6f981</t>
  </si>
  <si>
    <t>IAD32</t>
  </si>
  <si>
    <t>1304 Squire Ct. Sterling, VA 20166</t>
  </si>
  <si>
    <t>B1A1MB</t>
  </si>
  <si>
    <t>b6e866692a12e3007d50e63e8edd206b44e7ffeb688a4273d065850d2dad3e17</t>
  </si>
  <si>
    <t>IAD46 &amp; IAD47</t>
  </si>
  <si>
    <t>22370 &amp; 22420 Kipper Drive, Dulles, Virginia 20166</t>
  </si>
  <si>
    <t>wOmnrR</t>
  </si>
  <si>
    <t>ab41fe6b46e622eae9489db6f0a13b4c34b913229cb231ec672bc79342ffa35c</t>
  </si>
  <si>
    <t>IAD50</t>
  </si>
  <si>
    <t>21271 Smith Switch Rd. Ashburn, VA 20147</t>
  </si>
  <si>
    <t>wOmygR</t>
  </si>
  <si>
    <t>3cb52bcd92edaa68b152ce3fcb7541013c753ca56954b654dbf7901ffb36c45d</t>
  </si>
  <si>
    <t>IAD51</t>
  </si>
  <si>
    <t>45220 Prologis Plaza, Sterling, VA 20166</t>
  </si>
  <si>
    <t>Bg0KKR</t>
  </si>
  <si>
    <t>0aafa7e1a0b7e5eeb27df3c8a35e2b1bcff4cc6ebad40a3141a410bab57bcdad</t>
  </si>
  <si>
    <t>IAD52</t>
  </si>
  <si>
    <t>11800 Brewers Spring Road Manassas, VA 20109</t>
  </si>
  <si>
    <t>R8VDVw</t>
  </si>
  <si>
    <t>dc56c4e1f8d0bd678352b19238f4a4850b42958ad421e3e219c8c082104badd1</t>
  </si>
  <si>
    <t>IAD55</t>
  </si>
  <si>
    <t>15395 John Marshall Hwy, Haymarket, VA 20169</t>
  </si>
  <si>
    <t>RjPg8w</t>
  </si>
  <si>
    <t>77631572023415967d3efd73b56123074a5acf4ad6edae555206888fb6057d38</t>
  </si>
  <si>
    <t>IAD56</t>
  </si>
  <si>
    <t>45210 Prologis Plaza, Sterling, VA 20166</t>
  </si>
  <si>
    <t>GrZJgG</t>
  </si>
  <si>
    <t>9ae71ff5a781ec8fba9395ef5f77efd0e18b41abcb568df71968539031f14d9d</t>
  </si>
  <si>
    <t>IAD57</t>
  </si>
  <si>
    <t>22755 Relocation Dr, Sterling, VA 20166</t>
  </si>
  <si>
    <t>R8VD9w</t>
  </si>
  <si>
    <t>c0bd82794ecdbc033b19dd72f550c46db792510b347a6d7f12295d7675873354</t>
  </si>
  <si>
    <t>IAD58</t>
  </si>
  <si>
    <t>22745 Relocation Drive, Sterling, VA 20166</t>
  </si>
  <si>
    <t>GDrA4B</t>
  </si>
  <si>
    <t>54dfefb24b175beaeb00c7cb108721995364185fa2f6b75c7459e5a73e8a6218</t>
  </si>
  <si>
    <t>IAD59</t>
  </si>
  <si>
    <t>7600 Doane Drive Manassas, VA 20109</t>
  </si>
  <si>
    <t>BA7rAG</t>
  </si>
  <si>
    <t>dad422de5cff4b34c8884ea3ebf3d1bf413ce154b1ffbb9cda6cbd3e47ac69bb</t>
  </si>
  <si>
    <t>IAD7</t>
  </si>
  <si>
    <t>7505 Mason King Ct. Manassas, VA 20109</t>
  </si>
  <si>
    <t>B1APeB</t>
  </si>
  <si>
    <t>e2bce4b7b93b69ec243313bcc89f718bff18c360e5c980d86b00e15f105d3f5b</t>
  </si>
  <si>
    <t>IAD71</t>
  </si>
  <si>
    <t>21263 Smith Switch Rd. Ashburn VA 20147</t>
  </si>
  <si>
    <t>BJLyNG</t>
  </si>
  <si>
    <t>5a4176139679ccb023670eab21e3ff87fd38a940337b2c6b08ea67ce879836cd</t>
  </si>
  <si>
    <t>IAD73</t>
  </si>
  <si>
    <t>7060 Wellington Rd, Manassas, VA 20109</t>
  </si>
  <si>
    <t>G3MgyB</t>
  </si>
  <si>
    <t>d3731bc44ddbcc92672d729a42607a44ed2d76d35a241f32ba44189dba60d8e3</t>
  </si>
  <si>
    <t>IAD74</t>
  </si>
  <si>
    <t>7080 Wellington Rd, Manassas, VA 20109</t>
  </si>
  <si>
    <t>woQDeR</t>
  </si>
  <si>
    <t>69df0ecb68266b282fe1070e97c22b2c37c26e3d415b22476bcac95dc644553f</t>
  </si>
  <si>
    <t>IAD76</t>
  </si>
  <si>
    <t>22520 Randolph Dr, Sterling, VA 20166</t>
  </si>
  <si>
    <t>Gm57jG</t>
  </si>
  <si>
    <t>e2eefe12b0368413664f1f790a756a1eaf7395240cdb2bcfd04e134e8734226b</t>
  </si>
  <si>
    <t>IAD9</t>
  </si>
  <si>
    <t>4100  Westfax  Dr. Chantilly, VA 20151</t>
  </si>
  <si>
    <t>20153</t>
  </si>
  <si>
    <t>wOmgoR</t>
  </si>
  <si>
    <t>19693a795b41125a89b63e03b95a909989c238d8f2d6b59ff22cdbb7c481a3e1</t>
  </si>
  <si>
    <t>Jefferson Township</t>
  </si>
  <si>
    <t>TBC</t>
  </si>
  <si>
    <t>Fayette County</t>
  </si>
  <si>
    <t>Jefferson</t>
  </si>
  <si>
    <t>43128</t>
  </si>
  <si>
    <t>RKLWeG</t>
  </si>
  <si>
    <t>45f54b2f5a54bc9813e0827b46733cc4775d25e51875f7cb7d76be6f94bdffa1</t>
  </si>
  <si>
    <t>Kline Township</t>
  </si>
  <si>
    <t>PA-309, McAdoo, PA 18237</t>
  </si>
  <si>
    <t>Schuylkill County</t>
  </si>
  <si>
    <t>18245</t>
  </si>
  <si>
    <t>w9DyKG</t>
  </si>
  <si>
    <t>2a5e928a78b93dbb61b1ace4ddbeaac407ce6378ccc63299e911848909f4d27a</t>
  </si>
  <si>
    <t>Lake Anna Tech Campus</t>
  </si>
  <si>
    <t>Mineral, Virginia 23117</t>
  </si>
  <si>
    <t>Louisa County</t>
  </si>
  <si>
    <t>Mineral</t>
  </si>
  <si>
    <t>23117</t>
  </si>
  <si>
    <t>GDLJpG</t>
  </si>
  <si>
    <t>0087dac689e153f9a54c455a6985665db7185ce618d5c875e0afd9d8e9da7a03</t>
  </si>
  <si>
    <t>Light Speed Drive</t>
  </si>
  <si>
    <t>43975 Light Speed Plz, Dulles, VA 20166</t>
  </si>
  <si>
    <t>Gz7dDw</t>
  </si>
  <si>
    <t>ee77636d90823bdbf9fd202b7f5b060913d345eb689b5fd4c92e4a75ed75e8d3</t>
  </si>
  <si>
    <t>Luck Stone Quarry</t>
  </si>
  <si>
    <t>41789 Cochran Mill Rd, Leesburg, VA 20175</t>
  </si>
  <si>
    <t>Leesburg</t>
  </si>
  <si>
    <t>20176</t>
  </si>
  <si>
    <t>G6aebR</t>
  </si>
  <si>
    <t>b233173394c62a5cc348349ed0ae2e36f3aed3811ed424aec45ac2fe28020814</t>
  </si>
  <si>
    <t>Madison County</t>
  </si>
  <si>
    <t>Highway 22 &amp; Nissan Parkway, Canton, MS. 39046</t>
  </si>
  <si>
    <t>Mississippi</t>
  </si>
  <si>
    <t>MS</t>
  </si>
  <si>
    <t>Canton</t>
  </si>
  <si>
    <t>39046</t>
  </si>
  <si>
    <t>G33alG</t>
  </si>
  <si>
    <t>b276bfd78947b29fe2e0a154c7cef008b1dcb9dcacf72ba44957c66c716a6265</t>
  </si>
  <si>
    <t>Mattameade Data Center Campus</t>
  </si>
  <si>
    <t>Orrick Road, Woodfard, Virginia 22580</t>
  </si>
  <si>
    <t>Woodford</t>
  </si>
  <si>
    <t>22580</t>
  </si>
  <si>
    <t>GyY7OG</t>
  </si>
  <si>
    <t>c4a911ddae52d560b16edd1409783692fa03ef7adbcc56c5f373cc8fd5636b5d</t>
  </si>
  <si>
    <t>Mesa 1</t>
  </si>
  <si>
    <t>10464 E Pecos Rd, Mesa, AZ 85212, USA</t>
  </si>
  <si>
    <t>Mesa</t>
  </si>
  <si>
    <t>GkWOMG</t>
  </si>
  <si>
    <t>2fccd2ffd36e6099ce1306a3cb6f477f67b8f900318d0f85d9fa5cd458fd409f</t>
  </si>
  <si>
    <t>Mesa 2</t>
  </si>
  <si>
    <t>E Elliot Road, Signal Butte Rd, Mesa, AZ 85212, United States</t>
  </si>
  <si>
    <t>85212</t>
  </si>
  <si>
    <t>RYMDmR</t>
  </si>
  <si>
    <t>83951c2507d5694016dfc6be3478b70e48d6b3459bbcbf8872476c9e9bf07144</t>
  </si>
  <si>
    <t>New Albany I (Beech)</t>
  </si>
  <si>
    <t>2550 Beech Rd NW, Johnstown, OH 43031, United States</t>
  </si>
  <si>
    <t>Jersey Township</t>
  </si>
  <si>
    <t>43031</t>
  </si>
  <si>
    <t>New Albany International Business Park</t>
  </si>
  <si>
    <t>RKvqeB</t>
  </si>
  <si>
    <t>cadc9cbb90715c092bb072e17d62d2250cb58e5655108b72eda5d85c0b4e5cf6</t>
  </si>
  <si>
    <t>New Albany II (Newton)</t>
  </si>
  <si>
    <t>2575 Newton Ct, Johnstown, OH 43031, USA</t>
  </si>
  <si>
    <t>Johnstown</t>
  </si>
  <si>
    <t>Plain Township</t>
  </si>
  <si>
    <t>wOvaDG</t>
  </si>
  <si>
    <t>ed4a9dc31c6eb40f429954b082eee15990efc86e93b0f1ee65d44241bee415d2</t>
  </si>
  <si>
    <t>New Albany III (Beech and Miller)</t>
  </si>
  <si>
    <t>TBD</t>
  </si>
  <si>
    <t>GLvYNB</t>
  </si>
  <si>
    <t>6770aea9b418538299be32ccdaf18f49d1414bd36a8d9b29b52e483f4fe36944</t>
  </si>
  <si>
    <t>Northeast Creek Technology Campus</t>
  </si>
  <si>
    <t>Louisa, VA 23093</t>
  </si>
  <si>
    <t>GaAQKG</t>
  </si>
  <si>
    <t>a2f0fe380f917bbcdc8f34b6f42721d1f0d9492eed7d2fd5f0bd55ae52cecbe8</t>
  </si>
  <si>
    <t>Old Corpus Christi Hwy</t>
  </si>
  <si>
    <t>11625 Old Corpus Christi Hwy, San Antonio, Texas 78223, USA</t>
  </si>
  <si>
    <t>78223</t>
  </si>
  <si>
    <t>GyPq9R</t>
  </si>
  <si>
    <t>2ca2d26cd56b838f2c89a03dff882625e0b3a77a596529df0f0e0c179c677c60</t>
  </si>
  <si>
    <t>Old Potomac Church Campus</t>
  </si>
  <si>
    <t>123 Old Potomac Church Rd, Stafford, Virginia 22554</t>
  </si>
  <si>
    <t>Stafford</t>
  </si>
  <si>
    <t>22554</t>
  </si>
  <si>
    <t>GZZ5vG</t>
  </si>
  <si>
    <t>7ead041f06d4536af22070110d19eaf8736e4fa7c83c24c5f5979695b1f07293</t>
  </si>
  <si>
    <t>PDX1</t>
  </si>
  <si>
    <t>73573 Lewis and Clark Drive, Boardman, Oregon, USA</t>
  </si>
  <si>
    <t>Morrow County</t>
  </si>
  <si>
    <t>Boardman</t>
  </si>
  <si>
    <t>97818</t>
  </si>
  <si>
    <t>GyP6VR</t>
  </si>
  <si>
    <t>0cdc99948af3aadbcae2a630e3d5a27a098476fcb8f94aae3f68070fabbfa06b</t>
  </si>
  <si>
    <t>PDX109</t>
  </si>
  <si>
    <t>75242 Gar Swanson Road, Boardman, OR 97818, USA</t>
  </si>
  <si>
    <t>GDoy4R</t>
  </si>
  <si>
    <t>4749edb876851b85a4c2e4e4e70d12a74b692694056cac8f0ec88c446174f883</t>
  </si>
  <si>
    <t>PDX130</t>
  </si>
  <si>
    <t>34820 Wanapa Road, Umatilla, OR 97882, USA</t>
  </si>
  <si>
    <t>Umatilla County</t>
  </si>
  <si>
    <t>97882</t>
  </si>
  <si>
    <t>BA3kAG</t>
  </si>
  <si>
    <t>879ce4b293625f97e5a952d7806aa5affa02a793d3257126ac7bd6a3a09fff9e</t>
  </si>
  <si>
    <t>PDX138</t>
  </si>
  <si>
    <t>994 E Penney Ave, Hermiston, OR 97838</t>
  </si>
  <si>
    <t>Hermiston</t>
  </si>
  <si>
    <t>97838</t>
  </si>
  <si>
    <t>BEWzLG</t>
  </si>
  <si>
    <t>612e094abe25c2aa06a18d5fe788b24e30535ae0a5f22ab83f1e686274fc9e1f</t>
  </si>
  <si>
    <t>PDX146</t>
  </si>
  <si>
    <t>Hermiston, OR, USA</t>
  </si>
  <si>
    <t>97838.0</t>
  </si>
  <si>
    <t>GLogzR</t>
  </si>
  <si>
    <t>5797c8b61fe5a044a2445cb18428a8c60f4133a05dac1fa52bbf5f0c66fe0cd4</t>
  </si>
  <si>
    <t>PDX178</t>
  </si>
  <si>
    <t>77860 Bombing Range Rd, Lexington, OR 97839, USA</t>
  </si>
  <si>
    <t>R4kkLB</t>
  </si>
  <si>
    <t>4c5f7c470548cfed59bf1ffec4793236d5346ef13ab1bee59a6b9f9724660eca</t>
  </si>
  <si>
    <t>PDX194</t>
  </si>
  <si>
    <t>80939 Powerline Rd, Hermiston, OR 97838, USA</t>
  </si>
  <si>
    <t>Umatilla</t>
  </si>
  <si>
    <t>G33WYG</t>
  </si>
  <si>
    <t>5ba34e6da1eeb4ba0a20273d233a9c9b170b7e2cf2f6e20c17fe4259235ba4ce</t>
  </si>
  <si>
    <t>PDX2</t>
  </si>
  <si>
    <t>82792 Beach Access Road, Umatilla, OR 97882, USA</t>
  </si>
  <si>
    <t>weao3w</t>
  </si>
  <si>
    <t>38e7bd47b119c16a19251e41d0306ce02ac09a53b8abe0169ecf55a68679491e</t>
  </si>
  <si>
    <t>PDX245</t>
  </si>
  <si>
    <t>908 E Penney Ave, Hermiston, OR, USA</t>
  </si>
  <si>
    <t>RjWQyG</t>
  </si>
  <si>
    <t>90928a58d13b7a496a6dbc9229aa505fef3d3150480f0bdcfbfa1594606e0c96</t>
  </si>
  <si>
    <t>PDX260</t>
  </si>
  <si>
    <t>81201 Powerline Rd, Umatilla, OR 97882, USA</t>
  </si>
  <si>
    <t>woWNXw</t>
  </si>
  <si>
    <t>4b5b344ed15b5b3e34764ee6681853c902c9f77c5454f5b91e63f66083c9c7bf</t>
  </si>
  <si>
    <t>PDX4</t>
  </si>
  <si>
    <t>79539 Rippee Road, Boardman, OR 97818, USA</t>
  </si>
  <si>
    <t>woX7lB</t>
  </si>
  <si>
    <t>3828a26a65bde0dafcb1985c7b8ab9ee0240b6395a47a57fe367a7d66f6b7591</t>
  </si>
  <si>
    <t>PDX62</t>
  </si>
  <si>
    <t>75300 Lewis and Clark Dr, Boardman, OR 97818, USA</t>
  </si>
  <si>
    <t>RKZmqB</t>
  </si>
  <si>
    <t>606f877f5222e193a7de84cb213d1ae30264c88de6db236192883983011b07ca</t>
  </si>
  <si>
    <t>PDX67</t>
  </si>
  <si>
    <t>81712 Lind Road, Hermiston, Oregon</t>
  </si>
  <si>
    <t>BA3AAG</t>
  </si>
  <si>
    <t>9b1c617785eaeeb17a6e99e44fd96d788fbbbf0ead01c6b920e479f0f152cd7a</t>
  </si>
  <si>
    <t>PDX80</t>
  </si>
  <si>
    <t>77552 Cottonwood Bend Rd, Hermiston, OR 97838, USA</t>
  </si>
  <si>
    <t>GDoJ4R</t>
  </si>
  <si>
    <t>39a775fcc4fff99d3799a3f24ad69919c287a47295b7b9eb23f4be916d26ae3c</t>
  </si>
  <si>
    <t>PDX90</t>
  </si>
  <si>
    <t>79386 Olson Road Boardman, OR 97818, USA</t>
  </si>
  <si>
    <t>R8Jz9w</t>
  </si>
  <si>
    <t>cdafe134eac2f8afaf3dbbf1576fd30a2a912db2298a4683b5a18f8a44307632</t>
  </si>
  <si>
    <t>Richmond County</t>
  </si>
  <si>
    <t>1523 State Rd 1825, Hamlet, NC 28345</t>
  </si>
  <si>
    <t>Hamlet</t>
  </si>
  <si>
    <t>28345</t>
  </si>
  <si>
    <t>wODlnB</t>
  </si>
  <si>
    <t>4ea3ada44b314cd414a2bb97ddc8bf44463e95df497a25f2c90994c0dc409de5</t>
  </si>
  <si>
    <t>Smith Switch Road Campus</t>
  </si>
  <si>
    <t>21267 Smith Switch Rd Ashburn, VA 20147</t>
  </si>
  <si>
    <t>Gne8nR</t>
  </si>
  <si>
    <t>fc51390b8210615e6aac984aff3dc901e1f438d7d75fa78491fcbea0af256041</t>
  </si>
  <si>
    <t>Summit Crossing Tech Campus</t>
  </si>
  <si>
    <t>Summit Crossing Road, Fredericksburg, Virginia 22580</t>
  </si>
  <si>
    <t>RvYEYB</t>
  </si>
  <si>
    <t>7d19caaf4bc242e8d2c349b412c65f1d71ea4887900d2e4b9790e0009fa56b7f</t>
  </si>
  <si>
    <t>Sycolin Road Campus</t>
  </si>
  <si>
    <t>20575 Celtic Park Drive, Leesburg, VA</t>
  </si>
  <si>
    <t>20175</t>
  </si>
  <si>
    <t>GDLKnG</t>
  </si>
  <si>
    <t>da44121dc9887279b3acd8bf09a3a39ec4e666449d2c8ca02182f1c6f87cad68</t>
  </si>
  <si>
    <t>Village Place Technology Park</t>
  </si>
  <si>
    <t>John Marshall Highway, Gainsville, Virginia 20155</t>
  </si>
  <si>
    <t>Gainesville</t>
  </si>
  <si>
    <t>20155</t>
  </si>
  <si>
    <t>GLoMzR</t>
  </si>
  <si>
    <t>0705942b87d419403e0a2db15d1df49e8fbe98d3aa07ffc8e644314066f484ac</t>
  </si>
  <si>
    <t>Virginia Science and Technology Campus</t>
  </si>
  <si>
    <t>45085 University Dr, Ashburn, VA 20147</t>
  </si>
  <si>
    <t>University Center</t>
  </si>
  <si>
    <t>20417</t>
  </si>
  <si>
    <t>Bb8QxG</t>
  </si>
  <si>
    <t>d0cc74b1caa1db77eac0720b398bfc7823c266e278b22230b9e1bf6b9fbb5668</t>
  </si>
  <si>
    <t>American Electric Company</t>
  </si>
  <si>
    <t>New Albany 1</t>
  </si>
  <si>
    <t>Self-build Other</t>
  </si>
  <si>
    <t>6625 New Albany Rd E, New Albany, OH 43054</t>
  </si>
  <si>
    <t>New Albany</t>
  </si>
  <si>
    <t>43054</t>
  </si>
  <si>
    <t>BJvnqB</t>
  </si>
  <si>
    <t>884a49103f855344f3929f2406333c01fdad4fe256bc26f26addbe6e0036054a</t>
  </si>
  <si>
    <t>New Albany 2</t>
  </si>
  <si>
    <t>4470 S Hamilton Rd</t>
  </si>
  <si>
    <t>Groveport</t>
  </si>
  <si>
    <t>43125</t>
  </si>
  <si>
    <t>Madison Township</t>
  </si>
  <si>
    <t>Eastland</t>
  </si>
  <si>
    <t>G33ykG</t>
  </si>
  <si>
    <t>075759399fb3859fca9d26d0bfbf27e1ce09b49578c1b0a928b96c91644d323e</t>
  </si>
  <si>
    <t>American Express</t>
  </si>
  <si>
    <t>IPC2 Data Center</t>
  </si>
  <si>
    <t>5301 McConnell Rd, Whitsett, NC 27377, USA</t>
  </si>
  <si>
    <t>Guilford County</t>
  </si>
  <si>
    <t>Whitsett</t>
  </si>
  <si>
    <t>27377</t>
  </si>
  <si>
    <t>BgAXKG</t>
  </si>
  <si>
    <t>07c7a4cdebd7a0073e6cd3875f868e27c75205aeec7f6dd5af985c22976d6d0a</t>
  </si>
  <si>
    <t>American Intelligence &amp; Power Corporation</t>
  </si>
  <si>
    <t>Monarch AI Data Center System</t>
  </si>
  <si>
    <t>Mason County, West Virginia</t>
  </si>
  <si>
    <t>Mason County</t>
  </si>
  <si>
    <t>Point Pleasant</t>
  </si>
  <si>
    <t>25550</t>
  </si>
  <si>
    <t>GnKNgw</t>
  </si>
  <si>
    <t>30f80e15bd801f4069b940805f4ede3e98e1084028cd6b3c82add70f019806ea</t>
  </si>
  <si>
    <t>American Tower</t>
  </si>
  <si>
    <t>Edge Data Center - Boulder</t>
  </si>
  <si>
    <t>9110 Interlocken Loop, Broomfield, Colorado 80021, USA</t>
  </si>
  <si>
    <t>Broomfield County</t>
  </si>
  <si>
    <t>Broomfield</t>
  </si>
  <si>
    <t>80021</t>
  </si>
  <si>
    <t>BJvjmB</t>
  </si>
  <si>
    <t>70719f9b0d7b386076993ae485f75c5d61c7eb44b6329c02634cb3bf8d8d2d0a</t>
  </si>
  <si>
    <t>Edge Data Center - Denver</t>
  </si>
  <si>
    <t>5041 Broadway, Denver, Colorado 80216, USA</t>
  </si>
  <si>
    <t>Denver County</t>
  </si>
  <si>
    <t>Denver</t>
  </si>
  <si>
    <t>80216</t>
  </si>
  <si>
    <t>Globeville</t>
  </si>
  <si>
    <t>woWKpw</t>
  </si>
  <si>
    <t>8acececa2a63d84c3644763d7063b740f33654b2e756a0b725e3e5df2d053026</t>
  </si>
  <si>
    <t>Edge Data Center – Austin</t>
  </si>
  <si>
    <t>1601 W 10th St, Austin, Texas 78703, USA</t>
  </si>
  <si>
    <t>Travis County</t>
  </si>
  <si>
    <t>Austin</t>
  </si>
  <si>
    <t>78703</t>
  </si>
  <si>
    <t>Clarksville</t>
  </si>
  <si>
    <t>R0mrDG</t>
  </si>
  <si>
    <t>be5e451e1fdf820b50735040722a30a312168d220d5c98cc36ef15f68c1c473a</t>
  </si>
  <si>
    <t>Edge Data Center – Pittsburgh</t>
  </si>
  <si>
    <t>1000 E Agnew Ave, Pittsburgh, PA 15227</t>
  </si>
  <si>
    <t>Allegheny County</t>
  </si>
  <si>
    <t>Baldwin</t>
  </si>
  <si>
    <t>15227</t>
  </si>
  <si>
    <t>Carrick</t>
  </si>
  <si>
    <t>G6EJnR</t>
  </si>
  <si>
    <t>0b0c7706b6440a9dbb0169c1d128589e26e783dc63c2d56559e8f1cf4458131b</t>
  </si>
  <si>
    <t>Highway 90</t>
  </si>
  <si>
    <t>5436 New Highway 90 West San Antonio, Texas 78227, USA</t>
  </si>
  <si>
    <t>78227</t>
  </si>
  <si>
    <t>Kelland Heights</t>
  </si>
  <si>
    <t>Bqv0ER</t>
  </si>
  <si>
    <t>20de117c21079a3adf5d1fd0d4d26b3c70621b4b4051f7c8919b325da92e8b09</t>
  </si>
  <si>
    <t>Raleigh RA1</t>
  </si>
  <si>
    <t>6011 Chapel Hill Road, Raleigh, NC 27607</t>
  </si>
  <si>
    <t>Wake County</t>
  </si>
  <si>
    <t>Raleigh</t>
  </si>
  <si>
    <t>27607</t>
  </si>
  <si>
    <t>GrlPKB</t>
  </si>
  <si>
    <t>4e2431b85d4f066c64e0e05c335d9308b6de463b90598a7db9ed2103a1c8b1a2</t>
  </si>
  <si>
    <t>amnet Technology Solutions</t>
  </si>
  <si>
    <t>amnet Stamford</t>
  </si>
  <si>
    <t>26 Fahey St, Stamford, CT 06907</t>
  </si>
  <si>
    <t>Connecticut</t>
  </si>
  <si>
    <t>CT</t>
  </si>
  <si>
    <t>Western Connecticut Planning Region</t>
  </si>
  <si>
    <t>Stamford</t>
  </si>
  <si>
    <t>06907</t>
  </si>
  <si>
    <t>wV6jpw</t>
  </si>
  <si>
    <t>17bee906fff64b61794e097e1178e864287ca8b7242a5db1d42e6123017d06d0</t>
  </si>
  <si>
    <t>Ampersand</t>
  </si>
  <si>
    <t>Anchorage Data Center</t>
  </si>
  <si>
    <t>3403 Minnesota Dr, Anchorage, AK 99503, USA</t>
  </si>
  <si>
    <t>Alaska</t>
  </si>
  <si>
    <t>AK</t>
  </si>
  <si>
    <t>Municipality of Anchorage</t>
  </si>
  <si>
    <t>Anchorage</t>
  </si>
  <si>
    <t>99503</t>
  </si>
  <si>
    <t>w53DER</t>
  </si>
  <si>
    <t>70e8dd20e296040cd8b928750a3c72f46a44f52077df7fec47bdbf9266b23d2d</t>
  </si>
  <si>
    <t>Anchorstone Advisors SOVA</t>
  </si>
  <si>
    <t>Pittsylvania County</t>
  </si>
  <si>
    <t>Ringgold, VA 24586</t>
  </si>
  <si>
    <t>Ringgold</t>
  </si>
  <si>
    <t>24586</t>
  </si>
  <si>
    <t>Gz3AVw</t>
  </si>
  <si>
    <t>307a4f4ebfa61fed84f5a1896352b8b56dabe71ce34d09cfec2b4eb6699e7d95</t>
  </si>
  <si>
    <t>Ankr</t>
  </si>
  <si>
    <t>DC1</t>
  </si>
  <si>
    <t>3125 Harshaw Rd, Murphy, NC 28906, USA</t>
  </si>
  <si>
    <t>Cherokee County</t>
  </si>
  <si>
    <t>28906</t>
  </si>
  <si>
    <t>BX6xJG</t>
  </si>
  <si>
    <t>f7d0baf04b9710f8de65c8ca5dc382d2654c1117a6aef1bf7d9e4a9f7b13f13a</t>
  </si>
  <si>
    <t>DC2</t>
  </si>
  <si>
    <t>75 Wingate Rd, Murphy, NC 28906</t>
  </si>
  <si>
    <t>Murphy</t>
  </si>
  <si>
    <t>B72Jrw</t>
  </si>
  <si>
    <t>afd9f21d20dda494dafcf033adab5c65712c2205ddd24835a6eb2a3337088d2b</t>
  </si>
  <si>
    <t>Aphorio Carter</t>
  </si>
  <si>
    <t>60 &amp; 80 Merritt Blvd</t>
  </si>
  <si>
    <t>60 &amp; 80 Merritt Blvd, Trumbull, US</t>
  </si>
  <si>
    <t>Greater Bridgeport Planning Region</t>
  </si>
  <si>
    <t>Trumbull</t>
  </si>
  <si>
    <t>06611</t>
  </si>
  <si>
    <t>rGkQNB</t>
  </si>
  <si>
    <t>a4f83aff5322f020e81be4ff71d27ac78a2a3c9e9371513800592213d1b8e3dd</t>
  </si>
  <si>
    <t>Tucson</t>
  </si>
  <si>
    <t>3701 E Columbia St #101, Tucson, AZ 85714, United States</t>
  </si>
  <si>
    <t>Pima County</t>
  </si>
  <si>
    <t>85714</t>
  </si>
  <si>
    <t>RxYKLG</t>
  </si>
  <si>
    <t>bd7e4d6e89a61b46db5130ebeb82528676f0c8420cb0a0bb461aea28b6764581</t>
  </si>
  <si>
    <t>Apple</t>
  </si>
  <si>
    <t>Apple Waukee</t>
  </si>
  <si>
    <t>2995 W Hickman Rd, Waukee, IA 50263, USA</t>
  </si>
  <si>
    <t>Iowa</t>
  </si>
  <si>
    <t>IA</t>
  </si>
  <si>
    <t>Waukee</t>
  </si>
  <si>
    <t>50263</t>
  </si>
  <si>
    <t>BqWk1G</t>
  </si>
  <si>
    <t>76d990d8bd4a421da8da8068d5d5154b373f3a8a96b3fce218a244906311c287</t>
  </si>
  <si>
    <t>Maiden North Carolina</t>
  </si>
  <si>
    <t>5977 Startown Road, Maiden, NC 28650</t>
  </si>
  <si>
    <t>Catawba County</t>
  </si>
  <si>
    <t>Maiden</t>
  </si>
  <si>
    <t>Gno2gw</t>
  </si>
  <si>
    <t>8d883ecffdfc8c2756c57b81bdf36dbcc1197542b399383b1ca6518fecbff047</t>
  </si>
  <si>
    <t>Phoenix Data Center</t>
  </si>
  <si>
    <t>3740 S Signal Butte Rd, Mesa, AZ 85212, United States</t>
  </si>
  <si>
    <t>RYq1OR</t>
  </si>
  <si>
    <t>0eaaea7d544c935c8806519ab3f55188c8f9a589bb684ae280bee661b1d68b9b</t>
  </si>
  <si>
    <t>Prineville</t>
  </si>
  <si>
    <t>1600 SW Baldwin Rd, Prineville, OR 97754</t>
  </si>
  <si>
    <t>Crook County</t>
  </si>
  <si>
    <t>97754</t>
  </si>
  <si>
    <t>G3plPw</t>
  </si>
  <si>
    <t>d0a1ca881ef98a1a77f64063fbd5cc3bf6dd67ab0896183736c4a71b49d3d922</t>
  </si>
  <si>
    <t>Reno</t>
  </si>
  <si>
    <t>21505 Reno Technology Parkway West, Sparks, NV 89434</t>
  </si>
  <si>
    <t>Nevada</t>
  </si>
  <si>
    <t>NV</t>
  </si>
  <si>
    <t>Washoe County</t>
  </si>
  <si>
    <t>89510</t>
  </si>
  <si>
    <t>BA70mG</t>
  </si>
  <si>
    <t>33f44a3546b8db536626fe4649b722c23fbc8a84cbb5d798b0842abe09d11f77</t>
  </si>
  <si>
    <t>Applied Digital</t>
  </si>
  <si>
    <t>Deuel</t>
  </si>
  <si>
    <t>South Dakota</t>
  </si>
  <si>
    <t>SD</t>
  </si>
  <si>
    <t>Deuel County</t>
  </si>
  <si>
    <t>Scandinavia Township</t>
  </si>
  <si>
    <t>57268</t>
  </si>
  <si>
    <t>RKLe3G</t>
  </si>
  <si>
    <t>1b79422db664884f86ec4f51006456179209fa0d6ff4374e90aed4ab5995787d</t>
  </si>
  <si>
    <t>Jamestown</t>
  </si>
  <si>
    <t>2671 HWY 20 SE, Jamestown, ND 58401, United States</t>
  </si>
  <si>
    <t>Stutsman County</t>
  </si>
  <si>
    <t>Fried</t>
  </si>
  <si>
    <t>GZqPvR</t>
  </si>
  <si>
    <t>968a0e9d239fbc3349a5418ce6d6d4309539e71e2b54bcf4fb62f156bc559187</t>
  </si>
  <si>
    <t>Polaris Forge 1</t>
  </si>
  <si>
    <t>9685 87th Ave SE, Ellendale, ND 58436</t>
  </si>
  <si>
    <t>Dickey County</t>
  </si>
  <si>
    <t>Ellendale Township</t>
  </si>
  <si>
    <t>58436</t>
  </si>
  <si>
    <t>GyPLyR</t>
  </si>
  <si>
    <t>9e83d6b59579a28fcad771d0adb5ba63f8cf0263d9fd5ff3da8b9260ce17bea7</t>
  </si>
  <si>
    <t>Polaris Forge 2</t>
  </si>
  <si>
    <t>58102</t>
  </si>
  <si>
    <t>GDKleR</t>
  </si>
  <si>
    <t>62fcd841a3b3f18ecc8c12c310d42f1d1ae7ccc629beccde22d15ad3ab3203e9</t>
  </si>
  <si>
    <t>Aptum</t>
  </si>
  <si>
    <t>Aptum Herndon</t>
  </si>
  <si>
    <t>2350 Corporate Park Dr, Herndon, VA 20171</t>
  </si>
  <si>
    <t>GyP2WR</t>
  </si>
  <si>
    <t>f9e0d831813edbfe5189a0a5d43d9428bb8f0dc8371181409e67fc71400fb925</t>
  </si>
  <si>
    <t>Aptum Los Angeles</t>
  </si>
  <si>
    <t>360 E. 2nd Street, Ste 804 Los Angeles USA</t>
  </si>
  <si>
    <t>90013</t>
  </si>
  <si>
    <t>GZqQdR</t>
  </si>
  <si>
    <t>000b0d935b2ba8d539c77d4d3d9df221ded2948594b28dafd945ed33bfcf6b98</t>
  </si>
  <si>
    <t>Archbald 25 Developer</t>
  </si>
  <si>
    <t>Archbald Campus</t>
  </si>
  <si>
    <t>Archbald, PA 18403</t>
  </si>
  <si>
    <t>Lackawanna County</t>
  </si>
  <si>
    <t>Archbald</t>
  </si>
  <si>
    <t>Bqg0aG</t>
  </si>
  <si>
    <t>447f8ac738fe65460ca1be44ee72d626bf4a31b9033620048b445999366ed2d1</t>
  </si>
  <si>
    <t>Archer Data Centers</t>
  </si>
  <si>
    <t>Archer Minnesota</t>
  </si>
  <si>
    <t>15339 Acorn Trail, Faribault, MN 55021</t>
  </si>
  <si>
    <t>Rice County</t>
  </si>
  <si>
    <t>Faribault</t>
  </si>
  <si>
    <t>55021</t>
  </si>
  <si>
    <t>Wells Township</t>
  </si>
  <si>
    <t>Rj0xmw</t>
  </si>
  <si>
    <t>bee07874edae1fdcb353a7c35c142e3013a231be7c70a468a0ca32d6aeefa418</t>
  </si>
  <si>
    <t>Ardent Data Centers</t>
  </si>
  <si>
    <t>Pittsburgh Data Center</t>
  </si>
  <si>
    <t>615 McMichael Rd, Pittsburgh, PA 15205</t>
  </si>
  <si>
    <t>Pittsburgh</t>
  </si>
  <si>
    <t>15205</t>
  </si>
  <si>
    <t>Robinson Township</t>
  </si>
  <si>
    <t>w53mqR</t>
  </si>
  <si>
    <t>126492b1d6072acc51e32a89aff82048749560f9e2b17ddd3e5257db59965e2b</t>
  </si>
  <si>
    <t>Arizona Land Consulting (ALC)</t>
  </si>
  <si>
    <t>Hassayampa Ranch Data Center</t>
  </si>
  <si>
    <t>Hassayampa Ranch, Tonopah Salome Hwy 85354 Buckeye</t>
  </si>
  <si>
    <t>Buckeye</t>
  </si>
  <si>
    <t>85326</t>
  </si>
  <si>
    <t>Bb87aG</t>
  </si>
  <si>
    <t>34571d6056c51c533362f9bbe541500828180c5ee255063c07df9c689874adac</t>
  </si>
  <si>
    <t>ark Data Centers</t>
  </si>
  <si>
    <t>Akron 1 &amp; 2</t>
  </si>
  <si>
    <t>191 E Miller Ave, Akron, OH 44301</t>
  </si>
  <si>
    <t>Summit County</t>
  </si>
  <si>
    <t>Akron</t>
  </si>
  <si>
    <t>44301</t>
  </si>
  <si>
    <t>RQ3QJw</t>
  </si>
  <si>
    <t>97db4d1f1855e6dc645360c12407b4d1782d60fea7f7a199a751db0791d52e1c</t>
  </si>
  <si>
    <t>Boise II</t>
  </si>
  <si>
    <t>2653 South Victory View Way, Boise, ID 83709, USA</t>
  </si>
  <si>
    <t>Idaho</t>
  </si>
  <si>
    <t>ID</t>
  </si>
  <si>
    <t>Ada County</t>
  </si>
  <si>
    <t>Boise</t>
  </si>
  <si>
    <t>83709</t>
  </si>
  <si>
    <t>Victory Business Center</t>
  </si>
  <si>
    <t>BgAnrG</t>
  </si>
  <si>
    <t>3f29a59726537f94edca6deec7cb1a2ef31eb09a16cb3ae639fe5c12b199b7e9</t>
  </si>
  <si>
    <t>4726 Hills and Dales Rd. NW  44708-1512 Canton  Ohio, USA</t>
  </si>
  <si>
    <t>Stark County</t>
  </si>
  <si>
    <t>44708</t>
  </si>
  <si>
    <t>Jackson Township</t>
  </si>
  <si>
    <t>GmxMmR</t>
  </si>
  <si>
    <t>50c180b4f16f2a62e7f8b388f57ab53a935dda9a6463ef128a9e26083324a5f0</t>
  </si>
  <si>
    <t>Duluth I</t>
  </si>
  <si>
    <t>421 N. 6th Ave. East 55805 Duluth Minnesota, USA</t>
  </si>
  <si>
    <t>Saint Louis County</t>
  </si>
  <si>
    <t>Duluth</t>
  </si>
  <si>
    <t>55805</t>
  </si>
  <si>
    <t>East Hillside</t>
  </si>
  <si>
    <t>RKZ1DB</t>
  </si>
  <si>
    <t>96d07c76f1e3e20fa1cd838fd0760fed78415e76687716072c55b0cd8987fa70</t>
  </si>
  <si>
    <t>Duluth II</t>
  </si>
  <si>
    <t>3401 Technology Drive 55811 Duluth Minnesota, USA</t>
  </si>
  <si>
    <t>55811</t>
  </si>
  <si>
    <t>Gmx0vR</t>
  </si>
  <si>
    <t>0c32fe16fd840865264333fc089ed835505c8faf96ddd3d80a7886a3f2b65d18</t>
  </si>
  <si>
    <t>Green Bay</t>
  </si>
  <si>
    <t>W6149 Old Hwy Rd, Menasha, WI 54952, USA</t>
  </si>
  <si>
    <t>Calumet County</t>
  </si>
  <si>
    <t>Harrison</t>
  </si>
  <si>
    <t>54952</t>
  </si>
  <si>
    <t>GlWOrR</t>
  </si>
  <si>
    <t>d45185a8d3b5ad2db91e8020a3986250562bea3936f7fbbcc19adc2df9848cd1</t>
  </si>
  <si>
    <t>Independence</t>
  </si>
  <si>
    <t>7300 E Pleasant Valley Road, Independence, OH 44131</t>
  </si>
  <si>
    <t>Cuyahoga County</t>
  </si>
  <si>
    <t>44131</t>
  </si>
  <si>
    <t>R8JYWw</t>
  </si>
  <si>
    <t>fa5e0c940b08875d86df160da8ee8078ec87125f6989d54722825bc45ed1dd7f</t>
  </si>
  <si>
    <t>Marion</t>
  </si>
  <si>
    <t>5055 Rec Dr, Marion, IA 52302</t>
  </si>
  <si>
    <t>Linn County</t>
  </si>
  <si>
    <t>52302</t>
  </si>
  <si>
    <t>B1X63w</t>
  </si>
  <si>
    <t>9a5c566d802636e390229948ca09f06b5f823d0ef5e22f290d1580d8f6d03c7b</t>
  </si>
  <si>
    <t>Pittsburgh, Pennsylvania</t>
  </si>
  <si>
    <t>161 Armstrong Dr, Freeport, PA 16229</t>
  </si>
  <si>
    <t>Armstrong County</t>
  </si>
  <si>
    <t>South Buffalo</t>
  </si>
  <si>
    <t>South Buffalo Township</t>
  </si>
  <si>
    <t>w9Elkw</t>
  </si>
  <si>
    <t>2acae9cbb97bf3a5bca890e89e7fe2f43661325cb1678a2c0a1278d2b2f5f529</t>
  </si>
  <si>
    <t>1215 E Pennsylvania St, Tucson, AZ 85714, United States</t>
  </si>
  <si>
    <t>BqvVlR</t>
  </si>
  <si>
    <t>bc6d7e67af50c7510a02515f51ecddd72e8c04f577a039a798feb06194f9cad5</t>
  </si>
  <si>
    <t>Youngstown North</t>
  </si>
  <si>
    <t>1343 Belmont Ave, Youngstown, OH 44504</t>
  </si>
  <si>
    <t>Mahoning County</t>
  </si>
  <si>
    <t>Youngstown</t>
  </si>
  <si>
    <t>44504</t>
  </si>
  <si>
    <t>R0Z7Qw</t>
  </si>
  <si>
    <t>9e82e1644e4130fae222258a18b3e8407677d49ff8367c1b4ea3ae24246b3d00</t>
  </si>
  <si>
    <t>Assurant</t>
  </si>
  <si>
    <t>Assurant Data Center</t>
  </si>
  <si>
    <t>260 Interstate North Circle, SE  Atlanta, GA 30339</t>
  </si>
  <si>
    <t>Atlanta</t>
  </si>
  <si>
    <t>30339</t>
  </si>
  <si>
    <t>Rxn0Xw</t>
  </si>
  <si>
    <t>1cd33cca671b376cd8f48d0f248d94c580d5e51ff442ac59e86b78bd5533aa3c</t>
  </si>
  <si>
    <t>AT&amp;T</t>
  </si>
  <si>
    <t>Self-build Network &amp; Telco</t>
  </si>
  <si>
    <t>2525 Westside Pkwy, Alpharetta, GA 30004, United States</t>
  </si>
  <si>
    <t>30004</t>
  </si>
  <si>
    <t>BA3EQG</t>
  </si>
  <si>
    <t>fe46d67566b3063586e97f72bf5510645fcfb112eb269c76fafd1ecfb4bbdd49</t>
  </si>
  <si>
    <t>AT&amp;T Switching Center</t>
  </si>
  <si>
    <t>811 10th Ave, New York, NY 10019</t>
  </si>
  <si>
    <t>10019</t>
  </si>
  <si>
    <t>Clinton</t>
  </si>
  <si>
    <t>BAQbOB</t>
  </si>
  <si>
    <t>ee0dd3ea9dd2b6eaabb52dcdf2595af8a21ec06a789192789fb4fc838c138976</t>
  </si>
  <si>
    <t>Cambridge</t>
  </si>
  <si>
    <t>250 Bent St Cambridge, MA 02141 USA</t>
  </si>
  <si>
    <t>02141</t>
  </si>
  <si>
    <t>Wellington-Harrington</t>
  </si>
  <si>
    <t>East Cambridge</t>
  </si>
  <si>
    <t>GLoW4R</t>
  </si>
  <si>
    <t>8d8eea95c2c4ba9fb86cecc4c18915739b1f8531571f58881c774641beeb5fad</t>
  </si>
  <si>
    <t>RWC1</t>
  </si>
  <si>
    <t>3175 Spring Street, Redwood City, CA 94063</t>
  </si>
  <si>
    <t>San Mateo County</t>
  </si>
  <si>
    <t>Redwood City</t>
  </si>
  <si>
    <t>94063</t>
  </si>
  <si>
    <t>jBEbjR</t>
  </si>
  <si>
    <t>f133d9bd3d494f4720c5e7b18cb34ac50865725a10305456dc855866dadd1b12</t>
  </si>
  <si>
    <t>ATI Solutions</t>
  </si>
  <si>
    <t>DC-1</t>
  </si>
  <si>
    <t>4227 Lafayette Center Drive 20151 Chantilly Virginia, USA</t>
  </si>
  <si>
    <t>RYK1dw</t>
  </si>
  <si>
    <t>998ee7898c8ed08f9d95f52d892b365efacadfebaef6a1a9f50b0850df3bf11b</t>
  </si>
  <si>
    <t>Atlas Agro</t>
  </si>
  <si>
    <t>Richland Campus</t>
  </si>
  <si>
    <t>2100 Horn Rapids Rd, Richland, WA 99354</t>
  </si>
  <si>
    <t>WA</t>
  </si>
  <si>
    <t>Benton County</t>
  </si>
  <si>
    <t>Richland</t>
  </si>
  <si>
    <t>99354</t>
  </si>
  <si>
    <t>GWnP3R</t>
  </si>
  <si>
    <t>506a511e63cc0b9bc009874a31f03b9701cc9ac2b35fb49c809ee84bacc88e2d</t>
  </si>
  <si>
    <t>Atlas Capital Group</t>
  </si>
  <si>
    <t>132 Griffin Road</t>
  </si>
  <si>
    <t>132 Griffin Rd N, Bloomfield, CT 06002</t>
  </si>
  <si>
    <t>Capitol Planning Region</t>
  </si>
  <si>
    <t>Bloomfield</t>
  </si>
  <si>
    <t>06081</t>
  </si>
  <si>
    <t>BE1xyB</t>
  </si>
  <si>
    <t>497ad40804486feb4c708f1a269bc23463654f627941e93fd39cacd3217efaee</t>
  </si>
  <si>
    <t>Atlas Compute</t>
  </si>
  <si>
    <t>Sentinel Grove Technology Park</t>
  </si>
  <si>
    <t>East of Minute Maid Rd., north of Orange Ave.</t>
  </si>
  <si>
    <t>Saint Lucie County</t>
  </si>
  <si>
    <t>34945</t>
  </si>
  <si>
    <t>Gdz68B</t>
  </si>
  <si>
    <t>26cc4dd06a3ab577b0c0cb33970cf6035cf3d9f3c9b74b07b8f520151d07979c</t>
  </si>
  <si>
    <t>Atlas Development</t>
  </si>
  <si>
    <t>Avemore</t>
  </si>
  <si>
    <t>Along Hwy 61, Hickory Level Rd., and South Van Wert Rd.</t>
  </si>
  <si>
    <t>Carroll County</t>
  </si>
  <si>
    <t>Villa Rica</t>
  </si>
  <si>
    <t>30180</t>
  </si>
  <si>
    <t>we884G</t>
  </si>
  <si>
    <t>fdd2b45c61452b4390d79e577459bb2e12938b70d4ef21d4b4c47f27800db23b</t>
  </si>
  <si>
    <t>Project Bus</t>
  </si>
  <si>
    <t>701-725 Center Point Rd</t>
  </si>
  <si>
    <t>30179</t>
  </si>
  <si>
    <t>BXJgaG</t>
  </si>
  <si>
    <t>4dd0a22374fa6ad9c4a383b886575065d80c289cc68c3bb3a04c1a01a62f2729</t>
  </si>
  <si>
    <t>Project Gracie</t>
  </si>
  <si>
    <t xml:space="preserve">Along Vann Road NW </t>
  </si>
  <si>
    <t>Floyd County</t>
  </si>
  <si>
    <t>Rome</t>
  </si>
  <si>
    <t>30165</t>
  </si>
  <si>
    <t>RpZA5w</t>
  </si>
  <si>
    <t>3351f6a3b108ce2b9d0069c804cc1cba70099f9b988e363a5a167fa3ba241d86</t>
  </si>
  <si>
    <t>Project Sassy</t>
  </si>
  <si>
    <t>Highway 53</t>
  </si>
  <si>
    <t>30103</t>
  </si>
  <si>
    <t>Nannie</t>
  </si>
  <si>
    <t>G6noNG</t>
  </si>
  <si>
    <t>8f525f262b39bbf59b1be5b14e23ec9b992a9789d14d9f9a8a260726c54a0966</t>
  </si>
  <si>
    <t>Atlas Power</t>
  </si>
  <si>
    <t>Williston</t>
  </si>
  <si>
    <t>143 Avenue NW Williston, ND 58801, United States</t>
  </si>
  <si>
    <t>Williams County</t>
  </si>
  <si>
    <t>58801</t>
  </si>
  <si>
    <t>Judson Township</t>
  </si>
  <si>
    <t>Gagv3B</t>
  </si>
  <si>
    <t>6db36b083beadd584996257a869469ddcf0ef435884494e972bbe4e89a8d774f</t>
  </si>
  <si>
    <t>Atos</t>
  </si>
  <si>
    <t>Arlington</t>
  </si>
  <si>
    <t>5000 S Bowen Rd, Arlington, Texas 76017, USA</t>
  </si>
  <si>
    <t>GaZm9w</t>
  </si>
  <si>
    <t>d950bca3985bf42b67b3903ac8a993659c14f345e65351cff8f304392182e015</t>
  </si>
  <si>
    <t>Aunalytics</t>
  </si>
  <si>
    <t>Aunalytics South Bend</t>
  </si>
  <si>
    <t>1440 Ignition Dr, South Bend, IN 46601</t>
  </si>
  <si>
    <t>RjJWyR</t>
  </si>
  <si>
    <t>4d0a4ee752962eab68570f6c39ed248f65178ff21a3c526fd359511fa549a71d</t>
  </si>
  <si>
    <t>Aureon</t>
  </si>
  <si>
    <t>616 10th St, Des Moines, IA 50309, USA</t>
  </si>
  <si>
    <t>Polk County</t>
  </si>
  <si>
    <t>Des Moines</t>
  </si>
  <si>
    <t>50309</t>
  </si>
  <si>
    <t>Western Gateway</t>
  </si>
  <si>
    <t>w9qOKw</t>
  </si>
  <si>
    <t>942e34b36f1d11090f1bdbc8e1f524252dfc3d659d3fc28b686dd8c2eb261c40</t>
  </si>
  <si>
    <t>Aurum Capital Ventures</t>
  </si>
  <si>
    <t>Bismarck</t>
  </si>
  <si>
    <t>3805 E Bismarck Expy, Bismarck, ND 58501</t>
  </si>
  <si>
    <t>Burleigh County</t>
  </si>
  <si>
    <t>58501</t>
  </si>
  <si>
    <t>BE1nyB</t>
  </si>
  <si>
    <t>cd3f393b72df0b1131b99bff89496ce40e8bc854ef9b2e1cdd4edd61a4ab6350</t>
  </si>
  <si>
    <t>AVAIO Digital Partners</t>
  </si>
  <si>
    <t>Appomattox County</t>
  </si>
  <si>
    <t>Appomattox, VA 24522</t>
  </si>
  <si>
    <t>Appomattox</t>
  </si>
  <si>
    <t>24522</t>
  </si>
  <si>
    <t>RNaOoB</t>
  </si>
  <si>
    <t>c3e5bc179339cade6bc5fad2e97b6e14fe75ec7583a6aa6520c6c25fd4af070d</t>
  </si>
  <si>
    <t>Avaio Digital Leo</t>
  </si>
  <si>
    <t>145th Street, south of Little Rock</t>
  </si>
  <si>
    <t>Arkansas</t>
  </si>
  <si>
    <t>AR</t>
  </si>
  <si>
    <t>Pulaski County</t>
  </si>
  <si>
    <t>Wrightsville</t>
  </si>
  <si>
    <t>72206</t>
  </si>
  <si>
    <t>BqgalG</t>
  </si>
  <si>
    <t>1a2767f21e9cdb391b86ef88a5eedbb61312281059a90e940907643032495b2b</t>
  </si>
  <si>
    <t>Project Perseus</t>
  </si>
  <si>
    <t>2232 Golf Club Rd, Pittsburg, CA 94565, United States</t>
  </si>
  <si>
    <t>Contra Costa County</t>
  </si>
  <si>
    <t>Pittsburg</t>
  </si>
  <si>
    <t>94565</t>
  </si>
  <si>
    <t>G3V1kR</t>
  </si>
  <si>
    <t>290a3d965957b29ad44731fbc422334856ad8d68ff38815302fa7441b747c7e4</t>
  </si>
  <si>
    <t>Taurus Data Center Hub</t>
  </si>
  <si>
    <t>East Metropolitan Center Business and Industrial Park in Brandon</t>
  </si>
  <si>
    <t>Rankin County</t>
  </si>
  <si>
    <t>Brandon</t>
  </si>
  <si>
    <t>39042</t>
  </si>
  <si>
    <t>Gm47rR</t>
  </si>
  <si>
    <t>370b1cf289d898f66a6a3d0e29a058bfb95af606949b81dffddbbdfc3fea51b1</t>
  </si>
  <si>
    <t>The Carmel Church Data Hub</t>
  </si>
  <si>
    <t>Ruther Glen, VA 22546</t>
  </si>
  <si>
    <t>Caroline County</t>
  </si>
  <si>
    <t>Ruther Glen</t>
  </si>
  <si>
    <t>22546</t>
  </si>
  <si>
    <t>GnqlKR</t>
  </si>
  <si>
    <t>04d0213b4d73ee69fa172c080f069a3bda50c3c55c08061630fb597c9055b267</t>
  </si>
  <si>
    <t>Avant Technologies</t>
  </si>
  <si>
    <t>Avant Milwaukee</t>
  </si>
  <si>
    <t>53212</t>
  </si>
  <si>
    <t>Harambee</t>
  </si>
  <si>
    <t>Gm6Jjw</t>
  </si>
  <si>
    <t>51c1c365945edb3e828ed13eecd064ef13159695da07fa50d92f1584fd94d063</t>
  </si>
  <si>
    <t>Aventus Data Centers</t>
  </si>
  <si>
    <t>Aventus 715</t>
  </si>
  <si>
    <t>901 Commerce Dr, Marshfield, WI 54449</t>
  </si>
  <si>
    <t>Wood County</t>
  </si>
  <si>
    <t>Marshfield</t>
  </si>
  <si>
    <t>54449</t>
  </si>
  <si>
    <t>Mill Creek Business Park</t>
  </si>
  <si>
    <t>BPd2yB</t>
  </si>
  <si>
    <t>3d6d94574cba42acba104550b2b30cf0548b8f94793cf76140ff12b666480060</t>
  </si>
  <si>
    <t>AVENTUS LAKES</t>
  </si>
  <si>
    <t>7901 West Clinton Avenue, Milwaukee, WI</t>
  </si>
  <si>
    <t>R4DM3R</t>
  </si>
  <si>
    <t>b0bbaf7e4c6a29f49574b45901f708d2f8f9474f285937c8de952647bffcc622</t>
  </si>
  <si>
    <t>Axela Noble Group</t>
  </si>
  <si>
    <t>1309 Noble Street</t>
  </si>
  <si>
    <t>1309 Noble St, Philadelphia, PA 19123</t>
  </si>
  <si>
    <t>Gdrk7B</t>
  </si>
  <si>
    <t>b7f50bfe280d53cde3db3b5fd512c70a46f65738fae5a9e0dbc7118c4a6a0073</t>
  </si>
  <si>
    <t>Balloonist LLC</t>
  </si>
  <si>
    <t>Menomonie Data Center</t>
  </si>
  <si>
    <t>Dunn County</t>
  </si>
  <si>
    <t>Town of Tainter</t>
  </si>
  <si>
    <t>54751</t>
  </si>
  <si>
    <t>Red Cedar</t>
  </si>
  <si>
    <t>wODnnB</t>
  </si>
  <si>
    <t>7b122c21cb3639646c0d7d3e90598d433269c9df6fa4272ae21f66838421f154</t>
  </si>
  <si>
    <t>Bank of America</t>
  </si>
  <si>
    <t>Bank of America Henrico</t>
  </si>
  <si>
    <t>8011 Villa Park Dr, Richmond, Virginia 23228, USA</t>
  </si>
  <si>
    <t>Henrico County</t>
  </si>
  <si>
    <t>Lakeside</t>
  </si>
  <si>
    <t>23228</t>
  </si>
  <si>
    <t>BA3KAG</t>
  </si>
  <si>
    <t>06ca716c08bc2a0ad9d51cfd7f1a0ef289b32845e1250961e0736ec9df29d06e</t>
  </si>
  <si>
    <t>Batavia DC Corp</t>
  </si>
  <si>
    <t>Batavia Data Center (Hut 8)</t>
  </si>
  <si>
    <t>Self-build HPC</t>
  </si>
  <si>
    <t>1780 Hubbard Ave. Batavia, Illinois 60510</t>
  </si>
  <si>
    <t>Kane County</t>
  </si>
  <si>
    <t>Batavia</t>
  </si>
  <si>
    <t>60510</t>
  </si>
  <si>
    <t>Batavia Township</t>
  </si>
  <si>
    <t>BAg0yG</t>
  </si>
  <si>
    <t>65489279f9941340de6d6768e684fec8cfd16cea30e3b12da87a748101bdc92b</t>
  </si>
  <si>
    <t>Beale Infrastructure</t>
  </si>
  <si>
    <t>Project Blue</t>
  </si>
  <si>
    <t>S Houghton Rd &amp; E Brekke Rd, Arizona 85747</t>
  </si>
  <si>
    <t>85747</t>
  </si>
  <si>
    <t>BPdldB</t>
  </si>
  <si>
    <t>05d32c563f194cbd8a871afb11571406db47fec156827067999817a12592ec18</t>
  </si>
  <si>
    <t>Project Clydesdale</t>
  </si>
  <si>
    <t>Section 27, T-21-N, R-13-E, Indian Meridian, Tulsa County East 86th Street North</t>
  </si>
  <si>
    <t>Oklahoma</t>
  </si>
  <si>
    <t>OK</t>
  </si>
  <si>
    <t>Tulsa County</t>
  </si>
  <si>
    <t>Tulsa</t>
  </si>
  <si>
    <t>74073</t>
  </si>
  <si>
    <t>Gz70jw</t>
  </si>
  <si>
    <t>ff552d6318887eab95a36f5cc841b5e8e33688b7e14304bc94be95d9e6113b77</t>
  </si>
  <si>
    <t>BestLine Communications</t>
  </si>
  <si>
    <t>1122 Colorado Street (Suite 110), Austin, Texas 78701, USA</t>
  </si>
  <si>
    <t>78701</t>
  </si>
  <si>
    <t>BA3paG</t>
  </si>
  <si>
    <t>9554d9c7d3ac3cafa4395097ea119ee39298d98d829ec044f68bd33c80efc7fa</t>
  </si>
  <si>
    <t>Big Sky Digital Infrastructure</t>
  </si>
  <si>
    <t>Big Sky Campus</t>
  </si>
  <si>
    <t>Montana</t>
  </si>
  <si>
    <t>MT</t>
  </si>
  <si>
    <t>Yellowstone County</t>
  </si>
  <si>
    <t>Broadview</t>
  </si>
  <si>
    <t>59002</t>
  </si>
  <si>
    <t>BPdolB</t>
  </si>
  <si>
    <t>67f7fc961401582e8debac80e99660a4d62f182803b1ecc86ebcd4820ab45c89</t>
  </si>
  <si>
    <t>Binary Net</t>
  </si>
  <si>
    <t>Sharp Annex</t>
  </si>
  <si>
    <t>200 S 13th Street, Lincoln, NE 68508, USA</t>
  </si>
  <si>
    <t>Lancaster County</t>
  </si>
  <si>
    <t>Lincoln</t>
  </si>
  <si>
    <t>68509</t>
  </si>
  <si>
    <t>Original Lincoln</t>
  </si>
  <si>
    <t>BJrM8B</t>
  </si>
  <si>
    <t>391cdb6a05524c786fc37945e53f89c3c1a5e59f69435bc4e32f51466bef0e30</t>
  </si>
  <si>
    <t>The Vault</t>
  </si>
  <si>
    <t>134 S. 13th St. Ste. 301, Lincoln, NE 68508, USA</t>
  </si>
  <si>
    <t>Rp7N5B</t>
  </si>
  <si>
    <t>ec7703496089961e8a1b2ab411be2878d2bf2eae63c8f63350fc559431c55c9d</t>
  </si>
  <si>
    <t>Bit Digital</t>
  </si>
  <si>
    <t>805 Island Dr, Madison, NC 27025</t>
  </si>
  <si>
    <t>Rockingham County</t>
  </si>
  <si>
    <t>27025</t>
  </si>
  <si>
    <t>Gy4JbR</t>
  </si>
  <si>
    <t>7aa0e15c3a2ff992944d25d405df3955f2078564b2ddc381977d8c3c6b7231e3</t>
  </si>
  <si>
    <t>BlackChamber Group</t>
  </si>
  <si>
    <t>6895 Wellington Road</t>
  </si>
  <si>
    <t>6895 Wellington Rd, Gainesville, VA 20156</t>
  </si>
  <si>
    <t>GDK4DR</t>
  </si>
  <si>
    <t>f00ab1494503ffd2efdbc5219a1a005e6fed37c1a349fc3d1d0228976edf2dd2</t>
  </si>
  <si>
    <t>Dulles 28 Technology Park</t>
  </si>
  <si>
    <t>45870 &amp; 45955 Memphis Plaza Sterling, Virginia 20166</t>
  </si>
  <si>
    <t>BX6Q1G</t>
  </si>
  <si>
    <t>dce24e2efca215e31aa2e2d951c6248cb14872403ed90d7c22d43cc552660769</t>
  </si>
  <si>
    <t>John Marshall Commons Tech Park</t>
  </si>
  <si>
    <t>Catharpin Rd &amp; John Marshall Hwy, Gainesville, VA 20155</t>
  </si>
  <si>
    <t>B72LJw</t>
  </si>
  <si>
    <t>66a8bbe03882e1bed4eedd7436b794724712873f1a01ca531420ce82a5ba9ef4</t>
  </si>
  <si>
    <t>Tech Park at Brambleton</t>
  </si>
  <si>
    <t>23844 Belmont Ridge Rd, Ashburn, VA 20148</t>
  </si>
  <si>
    <t>BEW0YG</t>
  </si>
  <si>
    <t>50f014d713e8b19737a3e54beae99c6501030f3bcd93dbafd44ba30b3f5e8330</t>
  </si>
  <si>
    <t>Tuscarora Land Bay 3</t>
  </si>
  <si>
    <t>19560 Crosstrail Blvd, Leesburg, Virginia 20175</t>
  </si>
  <si>
    <t>Rp7rAB</t>
  </si>
  <si>
    <t>67d0b69ad8e753aa0982c360287b7fe401f3a68ac15aa7f4f55788277f53864d</t>
  </si>
  <si>
    <t>Blue Cross and Blue Shield of Alabama</t>
  </si>
  <si>
    <t>Data Center</t>
  </si>
  <si>
    <t>2601 Venice Rd, Birmingham, AL 35211, USA</t>
  </si>
  <si>
    <t>Alabama</t>
  </si>
  <si>
    <t>AL</t>
  </si>
  <si>
    <t>Jefferson County</t>
  </si>
  <si>
    <t>Birmingham</t>
  </si>
  <si>
    <t>35211</t>
  </si>
  <si>
    <t>BJr5zB</t>
  </si>
  <si>
    <t>f21d6328b8486988ab1a76155d65f0f3249816a7c8c3e59de3b096a7cef48361</t>
  </si>
  <si>
    <t>Bluebird Network</t>
  </si>
  <si>
    <t>BlueBird Quad Cities</t>
  </si>
  <si>
    <t>2701 Devils Glen Rd, Bettendorf, IA 52722, United States</t>
  </si>
  <si>
    <t>Scott County</t>
  </si>
  <si>
    <t>Bettendorf</t>
  </si>
  <si>
    <t>52722</t>
  </si>
  <si>
    <t>BA3deG</t>
  </si>
  <si>
    <t>46d78315b0603054ce156c5841cf936bcb30f12299c697efcf8e7458d36ab979</t>
  </si>
  <si>
    <t>Bluebird Underground</t>
  </si>
  <si>
    <t>1904 N LeCompte 65802 Springfield Missouri, USA</t>
  </si>
  <si>
    <t>Missouri</t>
  </si>
  <si>
    <t>MO</t>
  </si>
  <si>
    <t>Greene County</t>
  </si>
  <si>
    <t>65802</t>
  </si>
  <si>
    <t>Springfield Township</t>
  </si>
  <si>
    <t>R8L74R</t>
  </si>
  <si>
    <t>bf721730b5803ae27b905e86db6dc28b33a4911f2374a98288871e8ba1a8b56a</t>
  </si>
  <si>
    <t>BlueBridge Networks</t>
  </si>
  <si>
    <t>Sterling Building</t>
  </si>
  <si>
    <t>1255 Euclid Ave, Cleveland, OH 44115</t>
  </si>
  <si>
    <t>Cleveland</t>
  </si>
  <si>
    <t>44115</t>
  </si>
  <si>
    <t>Downtown Cleveland</t>
  </si>
  <si>
    <t>RKZJPB</t>
  </si>
  <si>
    <t>688b9e55982152a7f56d0280c2b4a84e2b47f00a9289f695dcc438341607a0b9</t>
  </si>
  <si>
    <t>BluegrassNet</t>
  </si>
  <si>
    <t>321 East Breckinridge Street</t>
  </si>
  <si>
    <t>321 East Breckinridge Street 40203 Louisville Kentucky, USA</t>
  </si>
  <si>
    <t>Kentucky</t>
  </si>
  <si>
    <t>KY</t>
  </si>
  <si>
    <t>Louisville</t>
  </si>
  <si>
    <t>40203</t>
  </si>
  <si>
    <t>Smoketown</t>
  </si>
  <si>
    <t>BPJ3pG</t>
  </si>
  <si>
    <t>3ebb37e4c1584e1fb6c7278cb0603a8b8e4c49fe19df23ceb22378dcc5b8cb59</t>
  </si>
  <si>
    <t>Blueprint Data Centers</t>
  </si>
  <si>
    <t>Georgetown</t>
  </si>
  <si>
    <t>1201 Westinghouse Road, Georgetown, Texas, 78626</t>
  </si>
  <si>
    <t>78626</t>
  </si>
  <si>
    <t>GLDLbG</t>
  </si>
  <si>
    <t>4b1e1329c18e735454a4cdcf2113f44c501650b57118d845c8b4389b2ae51f1f</t>
  </si>
  <si>
    <t>Taylor</t>
  </si>
  <si>
    <t>1601 Martin Luther King Jr., Blvd, Taylor, TX 76574</t>
  </si>
  <si>
    <t>76574</t>
  </si>
  <si>
    <t>BqgY0G</t>
  </si>
  <si>
    <t>7ea685c5ef846a50e7610ea4245178652aa4c2bde9b77fcce754e59ec2ebe0be</t>
  </si>
  <si>
    <t>BluSky AI</t>
  </si>
  <si>
    <t>1 CO-69, Walsenburg, CO 81089</t>
  </si>
  <si>
    <t>Huerfano County</t>
  </si>
  <si>
    <t>81089</t>
  </si>
  <si>
    <t>Gl4O7G</t>
  </si>
  <si>
    <t>b2f080dd1a1b12ee1f02d6763bd1e8e2a4bbf7dca6853819a7e7cdccab275337</t>
  </si>
  <si>
    <t>Bohler Places LLC</t>
  </si>
  <si>
    <t>Fort Meade</t>
  </si>
  <si>
    <t>West of U.S. 17/98</t>
  </si>
  <si>
    <t>33861</t>
  </si>
  <si>
    <t>R0lKpR</t>
  </si>
  <si>
    <t>d84426f2e9a6b9050778995b0f2544560c8762b54138b0d3ea5ff080936ae2e7</t>
  </si>
  <si>
    <t>BP</t>
  </si>
  <si>
    <t>Center for High-Performance Computing</t>
  </si>
  <si>
    <t>225 Westlake Park Blvd, Houston, TX 77079, USA</t>
  </si>
  <si>
    <t>Harris County</t>
  </si>
  <si>
    <t>Houston</t>
  </si>
  <si>
    <t>77077</t>
  </si>
  <si>
    <t>GdA7rw</t>
  </si>
  <si>
    <t>58d119775bc362a1f4c33bc076e5f4ca3e37183f9c23f699163bfa53470a2a3e</t>
  </si>
  <si>
    <t>Brownrice Internet</t>
  </si>
  <si>
    <t>Taos Data Center</t>
  </si>
  <si>
    <t>201 Camino de la Merced 87571 Taos, New Mexico, USA</t>
  </si>
  <si>
    <t>New Mexico</t>
  </si>
  <si>
    <t>NM</t>
  </si>
  <si>
    <t>Taos County</t>
  </si>
  <si>
    <t>Taos</t>
  </si>
  <si>
    <t>87571</t>
  </si>
  <si>
    <t>G6EmNR</t>
  </si>
  <si>
    <t>18260c97042080eda54fd53afa9e221717ced02746c02f62df641f3adee73b49</t>
  </si>
  <si>
    <t>Business Communications, Inc.</t>
  </si>
  <si>
    <t>BCI Data Center</t>
  </si>
  <si>
    <t>442 Highland Colony Pkwy, Ridgeland, MS 39157, USA</t>
  </si>
  <si>
    <t>Ridgeland</t>
  </si>
  <si>
    <t>39157</t>
  </si>
  <si>
    <t>Gn4xaB</t>
  </si>
  <si>
    <t>6ab3318e059132a457017f757db23fb538c63b037e6129764cb048ca06845317</t>
  </si>
  <si>
    <t>C Spire</t>
  </si>
  <si>
    <t>Hattiesburg</t>
  </si>
  <si>
    <t>6184 US-98, Hattiesburg, MS 39402, USA</t>
  </si>
  <si>
    <t>Forrest County</t>
  </si>
  <si>
    <t>39402</t>
  </si>
  <si>
    <t>GDoZpR</t>
  </si>
  <si>
    <t>7684a72665ba7abb55fed30f95a8f6624ceda56b52c30f0661ac0f1c5b8adc59</t>
  </si>
  <si>
    <t>MSU Thad Cochran Research Park</t>
  </si>
  <si>
    <t>401 Research Blvd, Starkville, MS 39759, USA</t>
  </si>
  <si>
    <t>Oktibbeha County</t>
  </si>
  <si>
    <t>Starkville</t>
  </si>
  <si>
    <t>39762</t>
  </si>
  <si>
    <t>weNmNB</t>
  </si>
  <si>
    <t>f9b1a00cb3de0bba42b7c8e2fa9da26f5b658ac043f0ed159f81d9d283bee0ef</t>
  </si>
  <si>
    <t>1018 Highland Colony Pkwy, Ridgeland, MS 39157, United States</t>
  </si>
  <si>
    <t>RKZNzB</t>
  </si>
  <si>
    <t>1f7376e63560d98677e387dd807f6f73e165e89e809bd4ce499e5c322d81e6ab</t>
  </si>
  <si>
    <t>CalEthos</t>
  </si>
  <si>
    <t>Lithium Valley</t>
  </si>
  <si>
    <t xml:space="preserve">  Gentry Rd, Calipatria, CA 92233, United States</t>
  </si>
  <si>
    <t>Imperial County</t>
  </si>
  <si>
    <t>Calipatria</t>
  </si>
  <si>
    <t>92233</t>
  </si>
  <si>
    <t>GZZAnG</t>
  </si>
  <si>
    <t>225c84ce8c9811563b8f223582b3948a01f77dc8bf8434fb59f1b17939746326</t>
  </si>
  <si>
    <t>Calpine Corporation</t>
  </si>
  <si>
    <t>Calpine Data Center</t>
  </si>
  <si>
    <t>Peach Bottom Atomic Power Station, 1848 Lay Rd, Delta, PA 17314</t>
  </si>
  <si>
    <t>York County</t>
  </si>
  <si>
    <t>Peach Bottom Township</t>
  </si>
  <si>
    <t>17314</t>
  </si>
  <si>
    <t>BE1KLB</t>
  </si>
  <si>
    <t>ca6e7c088f931964e29311dd1f2d9785d45755ba1a8b81153026d25570393db7</t>
  </si>
  <si>
    <t>Calvano Development</t>
  </si>
  <si>
    <t>Wichita Falls</t>
  </si>
  <si>
    <t>Kiel Lane, City View Drive and Northwest Freeway</t>
  </si>
  <si>
    <t>Wichita County</t>
  </si>
  <si>
    <t>76305</t>
  </si>
  <si>
    <t>w9q6pw</t>
  </si>
  <si>
    <t>588d7b9018d2573b85cbb95ec40688e3b5919c6125f2e583a4313e52cee3f20a</t>
  </si>
  <si>
    <t>Cambridge Network Solutions</t>
  </si>
  <si>
    <t>35 McGrath Hwy</t>
  </si>
  <si>
    <t>35 McGrath Hwy, Somerville, MA 02143, United States</t>
  </si>
  <si>
    <t>Somerville</t>
  </si>
  <si>
    <t>Brickbottom</t>
  </si>
  <si>
    <t>BqWEyG</t>
  </si>
  <si>
    <t>4bc3bdbc2c092ccae2aef4328c619194a56bfcebd18fc9801674b3c6a39148d1</t>
  </si>
  <si>
    <t>CARI.net</t>
  </si>
  <si>
    <t>San Diego</t>
  </si>
  <si>
    <t>8929 Complex Dr, San Diego, CA 92123</t>
  </si>
  <si>
    <t>San Diego County</t>
  </si>
  <si>
    <t>92123</t>
  </si>
  <si>
    <t>Kearny Mesa</t>
  </si>
  <si>
    <t>BXpjWB</t>
  </si>
  <si>
    <t>dd88deae8cb99722d135f420fc1898902125e4360f9e884041a9ce7e2c2b22ee</t>
  </si>
  <si>
    <t>Cawley Partners</t>
  </si>
  <si>
    <t>South Creek</t>
  </si>
  <si>
    <t>75125</t>
  </si>
  <si>
    <t>BPdklB</t>
  </si>
  <si>
    <t>b94cf424eea8b4aac5bdb7ef86b055bfdbeb6baee763737b17e7ce25a0e2fb2e</t>
  </si>
  <si>
    <t>CBTS</t>
  </si>
  <si>
    <t>CBTS - Indianapolis, IN</t>
  </si>
  <si>
    <t>510 E 96th St #150, Indianapolis, IN 46240, USA</t>
  </si>
  <si>
    <t>Hamilton County</t>
  </si>
  <si>
    <t>Indianapolis</t>
  </si>
  <si>
    <t>46240</t>
  </si>
  <si>
    <t>R0Zlpw</t>
  </si>
  <si>
    <t>5307bffa09e87a6671945a521e851281089f90f343f5e0579b7223895b347eda</t>
  </si>
  <si>
    <t>10333 Richmond Ave. Suite 402, Houston, Texas 77042, USA</t>
  </si>
  <si>
    <t>77042</t>
  </si>
  <si>
    <t>Westchase</t>
  </si>
  <si>
    <t>BXZJPG</t>
  </si>
  <si>
    <t>9fad4996b56acc9096b3d228ce8ff70e026bd6ec8397506b1b7d7890a9b9c0ad</t>
  </si>
  <si>
    <t>Celito Communications</t>
  </si>
  <si>
    <t>Raleigh Data Center</t>
  </si>
  <si>
    <t>1400 Sunday Dr, NC 27607, United States</t>
  </si>
  <si>
    <t>Westover</t>
  </si>
  <si>
    <t>GmxvJR</t>
  </si>
  <si>
    <t>3b8d603d24450fed193e6effaef5012e55744669c413ab1e549dc250554f1c97</t>
  </si>
  <si>
    <t>Centeris Data Centers</t>
  </si>
  <si>
    <t>South Hill SH1</t>
  </si>
  <si>
    <t>1111 39th Ave SE, Puyallup, WA 98374, USA</t>
  </si>
  <si>
    <t>Pierce County</t>
  </si>
  <si>
    <t>Puyallup</t>
  </si>
  <si>
    <t>98374</t>
  </si>
  <si>
    <t>RYyQdR</t>
  </si>
  <si>
    <t>a22dc71290e67ec2eb7950e4e2b521ba1f484d98ce29dba177a5e0e43154017c</t>
  </si>
  <si>
    <t>South Hill SH2</t>
  </si>
  <si>
    <t>1015 39th Ave SE, Puyallup, WA 98374, USA</t>
  </si>
  <si>
    <t>GaDL9R</t>
  </si>
  <si>
    <t>e1612f14220c746dcc50c67310f1252d2d8b10747b6dc6d79efa64e07f1642a0</t>
  </si>
  <si>
    <t>Centersquare</t>
  </si>
  <si>
    <t>400 Holger Way</t>
  </si>
  <si>
    <t>400 Holger Way, San Jose, USA 9513</t>
  </si>
  <si>
    <t>San Jose</t>
  </si>
  <si>
    <t>95134</t>
  </si>
  <si>
    <t>North San Jose</t>
  </si>
  <si>
    <t>Westwinds</t>
  </si>
  <si>
    <t>YBg4OR</t>
  </si>
  <si>
    <t>7f4e71bd5fa7855a808200c304c63b67e85120a8794297cfa3e335b7a7fd1981</t>
  </si>
  <si>
    <t>ABQ1</t>
  </si>
  <si>
    <t>400 Tijeras Ave NW, Alburquerque, New Mexico, 87102, USA</t>
  </si>
  <si>
    <t>Bernalillo County</t>
  </si>
  <si>
    <t>Albuquerque</t>
  </si>
  <si>
    <t>87102</t>
  </si>
  <si>
    <t>Downtown Albuquerque</t>
  </si>
  <si>
    <t>mG3kxG</t>
  </si>
  <si>
    <t>8ddcbde963268dede313f69d7ab48be6f38d67394217cadf34fd1f7c2bf95b39</t>
  </si>
  <si>
    <t>Allen</t>
  </si>
  <si>
    <t>900 Guardians Way, Allen, Texas 75013, USA</t>
  </si>
  <si>
    <t>75013</t>
  </si>
  <si>
    <t>Watters Creek</t>
  </si>
  <si>
    <t>RYKAdw</t>
  </si>
  <si>
    <t>a9237a6214673fe38a166eb94de31c22b0c9234d4d66f4e70dbc0ceffd4b7ae4</t>
  </si>
  <si>
    <t>ATL1</t>
  </si>
  <si>
    <t>375 Riverside Parkway, Suite 150, Lithia Springs, GA 30122</t>
  </si>
  <si>
    <t>Lithia Springs</t>
  </si>
  <si>
    <t>30122</t>
  </si>
  <si>
    <t>qR0yKG</t>
  </si>
  <si>
    <t>c89bb9325bf8a3ae852d24eed820829a1fd13d2d32763993c1c0005d0fc1f95e</t>
  </si>
  <si>
    <t>BOS1 Campus</t>
  </si>
  <si>
    <t>115 2nd Avenue, Waltham, Boston, MA, 02451, United States of America</t>
  </si>
  <si>
    <t>Waltham</t>
  </si>
  <si>
    <t>02451</t>
  </si>
  <si>
    <t>Prospectville</t>
  </si>
  <si>
    <t>2RpPqR</t>
  </si>
  <si>
    <t>7b623d14828ce54a1535da30e26a7d86ac37e530708128bfbd8cfe6cd73592da</t>
  </si>
  <si>
    <t>BOS4</t>
  </si>
  <si>
    <t>486 Arsenal Way, Watertown, MA, USA</t>
  </si>
  <si>
    <t>Watertown</t>
  </si>
  <si>
    <t>20478</t>
  </si>
  <si>
    <t>East Watertown</t>
  </si>
  <si>
    <t>dGZr3G</t>
  </si>
  <si>
    <t>5acf9899cce46119a550b45ae03c93b8f9a2ccbf8c082c86ecec927902903207</t>
  </si>
  <si>
    <t>CMH1 - Cyxtera</t>
  </si>
  <si>
    <t>8180 Green Meadows Drive North, Lewis Center, Columbus, OH, 43035, United States of America</t>
  </si>
  <si>
    <t>Lewis Center</t>
  </si>
  <si>
    <t>43035</t>
  </si>
  <si>
    <t>Orange Township</t>
  </si>
  <si>
    <t>XRjnnR</t>
  </si>
  <si>
    <t>8df7738fa683a79860611f513b1d230c754f8d390a92b8d6cc0404cd551ef0ed</t>
  </si>
  <si>
    <t>DA2</t>
  </si>
  <si>
    <t>11830 Webb Chapel Rd, Dallas, Texas 75234, USA</t>
  </si>
  <si>
    <t>Dallas</t>
  </si>
  <si>
    <t>75234</t>
  </si>
  <si>
    <t>GamW9G</t>
  </si>
  <si>
    <t>a40ae75c41c764051f644dc3345c72f4dbe1de2403deb992932f242658ab3258</t>
  </si>
  <si>
    <t>DEN1</t>
  </si>
  <si>
    <t>9180 Commerce Center Circle, Highlands Ranch, Denver, Colorado 80129, USA</t>
  </si>
  <si>
    <t>Highlands Ranch</t>
  </si>
  <si>
    <t>80129</t>
  </si>
  <si>
    <t>QwVN9w</t>
  </si>
  <si>
    <t>b3d0d548d4e4ebb5633e995e92814387e1b5d05628feb114082a0d0f69cc6426</t>
  </si>
  <si>
    <t>DEN2</t>
  </si>
  <si>
    <t>8534 Concord Center Drive, Englewood, Denver, Colorado 80112, USA</t>
  </si>
  <si>
    <t>Englewood</t>
  </si>
  <si>
    <t>80112</t>
  </si>
  <si>
    <t>gweZLB</t>
  </si>
  <si>
    <t>1ff9ee370c777ff1c04cecab9e774a1f332a8468f69b462e9f569a66d4692429</t>
  </si>
  <si>
    <t>DFW1 Campus</t>
  </si>
  <si>
    <t>14901 FAA Blvd, Fort Worth, Texas 76155, USA</t>
  </si>
  <si>
    <t>Fort Worth</t>
  </si>
  <si>
    <t>76155</t>
  </si>
  <si>
    <t>2RpPdR</t>
  </si>
  <si>
    <t>22db77bd034c290ea68a1ba9c3650892900c29e7dab6795927b3a17326c5df52</t>
  </si>
  <si>
    <t>EWR1</t>
  </si>
  <si>
    <t>210 Hudson St, Jersey City, New Jersey 07302</t>
  </si>
  <si>
    <t>Hudson County</t>
  </si>
  <si>
    <t>Jersey City</t>
  </si>
  <si>
    <t>07311</t>
  </si>
  <si>
    <t>Downtown Jersey City</t>
  </si>
  <si>
    <t>w9xNpG</t>
  </si>
  <si>
    <t>f31bfd5901954f06d7aa673c65c39300faeab335874f24b39e8e4391d78cccbf</t>
  </si>
  <si>
    <t>EWR2</t>
  </si>
  <si>
    <t>300 JFK Boulevard East, Weehawken, NJ, US</t>
  </si>
  <si>
    <t>Weehawken</t>
  </si>
  <si>
    <t>07086</t>
  </si>
  <si>
    <t>Lincoln Harbor</t>
  </si>
  <si>
    <t>Gkx85w</t>
  </si>
  <si>
    <t>26e20bd90e4f23599d4898d48df6740f965a9b86fd44077972675aa455239de7</t>
  </si>
  <si>
    <t>EWR3</t>
  </si>
  <si>
    <t>3 Corporate Place, Piscataway Township, NJ, US</t>
  </si>
  <si>
    <t>Piscataway Township</t>
  </si>
  <si>
    <t>08854</t>
  </si>
  <si>
    <t>mGrp8B</t>
  </si>
  <si>
    <t>d1402257324bd9175626e1b1a5b542f3a625fb6f17a70001b6455f6e76962cfa</t>
  </si>
  <si>
    <t>EWR5</t>
  </si>
  <si>
    <t>15 Enterprise Ave, North Secaucus, USA</t>
  </si>
  <si>
    <t>Secaucus</t>
  </si>
  <si>
    <t>07094</t>
  </si>
  <si>
    <t>zwO6ZG</t>
  </si>
  <si>
    <t>39c9f870ac83166201571dfb94ebb2f51d0a688eb4f0c4ed08c5a7f88205d4e8</t>
  </si>
  <si>
    <t>IAD1 - 21110 Ridgetop Circle</t>
  </si>
  <si>
    <t>21110 Ridgetop Circle, Sterling, VA, 20166, United States of America</t>
  </si>
  <si>
    <t>2Gd78R</t>
  </si>
  <si>
    <t>8592d210d9744cce770ac217e8a025336f1f9a366c471f56b0d4fd45988acae5</t>
  </si>
  <si>
    <t>IAD1 - 45845 Nokes Boulevard</t>
  </si>
  <si>
    <t>45845 Nokes Blvd., Sterling, VA, 20166</t>
  </si>
  <si>
    <t>PGypWR</t>
  </si>
  <si>
    <t>f94fcef6974c3d0f64bffaac93000887a6f36c4e925c8a74fcb2a47b221a2c47</t>
  </si>
  <si>
    <t>IAD1 - 45901 Nokes Boulevard</t>
  </si>
  <si>
    <t>45901 Nokes Blvd., Sterling, VA, 20166</t>
  </si>
  <si>
    <t>ARNq0B</t>
  </si>
  <si>
    <t>7c955b6cb71419919a2f8aeef8a123eabcbec2b78e52b29f12ae046bdd070e3f</t>
  </si>
  <si>
    <t>IAD2 - 22810 International Drive</t>
  </si>
  <si>
    <t>22810 International Drive, Sterling, VA, 20166, United States of America</t>
  </si>
  <si>
    <t>jBEprw</t>
  </si>
  <si>
    <t>2a2aa90d215f670f45dcdd0fb1c8eccfde350a1a2649ee9f6653ad428248bbfb</t>
  </si>
  <si>
    <t>IAD2 - 22860 International Drive</t>
  </si>
  <si>
    <t>22860 International Drive, Sterling, VA, 20166, United States of America</t>
  </si>
  <si>
    <t>bBX2jG</t>
  </si>
  <si>
    <t>bff43bc2e33322411547db7b4dacfc0827f2525b173b8fe1f6652511987352af</t>
  </si>
  <si>
    <t>IAD3 - 22995 Wilder Court</t>
  </si>
  <si>
    <t>22995 Wilder Court, Sterling, VA, 20166, United States of America</t>
  </si>
  <si>
    <t>gB7WeB</t>
  </si>
  <si>
    <t>2135921cfab53d8f84b617745eb6e5a776cf7ed43ba994189e5cca7a96cba281</t>
  </si>
  <si>
    <t>IAD4</t>
  </si>
  <si>
    <t>21571 Beaumeade Circle, Ashburn, VA, US</t>
  </si>
  <si>
    <t>rGkaWB</t>
  </si>
  <si>
    <t>8bf85dbf9361b4f5504205e333464329723b7e23d9c25614dd75e612f5893ba5</t>
  </si>
  <si>
    <t>LAX3</t>
  </si>
  <si>
    <t>17836 Gillette Ave., Irvine, CA, 92614, United States of America</t>
  </si>
  <si>
    <t>WRQm1R</t>
  </si>
  <si>
    <t>ec34f6194d1fb78878629a94d9cc25dba33c4057354b50996c12c7d7f601800c</t>
  </si>
  <si>
    <t>LAX4</t>
  </si>
  <si>
    <t>2301 W 120th St, Hawthorne, California 90250, USA</t>
  </si>
  <si>
    <t>Hawthorne</t>
  </si>
  <si>
    <t>90250</t>
  </si>
  <si>
    <t>3RxdKR</t>
  </si>
  <si>
    <t>567bcaf0388de2f5b71164a4e997c705fc41fed12aa421a3098ec1fa53dc9dd1</t>
  </si>
  <si>
    <t>LAX5</t>
  </si>
  <si>
    <t>2681 Kelvin Ave, Irvine, CA 92614</t>
  </si>
  <si>
    <t>VwMM4w</t>
  </si>
  <si>
    <t>daad7652a0443ce63a5fe470756be660c9307caf4660ab72baaf09deb2cf62b6</t>
  </si>
  <si>
    <t>MSP1</t>
  </si>
  <si>
    <t>4450 Dean Lakes Blvd., Shakopee, Minneapolis, MN, 55379, United States of America</t>
  </si>
  <si>
    <t>Shakopee</t>
  </si>
  <si>
    <t>55379</t>
  </si>
  <si>
    <t>qBJ7mR</t>
  </si>
  <si>
    <t>99c95ee6c1c7a48ea1cc742a21f34a18bd35477836502f0bfa94112b4fe81a11</t>
  </si>
  <si>
    <t>ORD2</t>
  </si>
  <si>
    <t>2425 Busse Road, Elk Grove Village, Chicago, IL, 60007, United States of America</t>
  </si>
  <si>
    <t>DuPage County</t>
  </si>
  <si>
    <t>60007</t>
  </si>
  <si>
    <t>pGDEew</t>
  </si>
  <si>
    <t>ebd626d263c89e65a909c460ea5ddd9802eff8db51a9fbc3c142bb67a7d2fa81</t>
  </si>
  <si>
    <t>ORD4</t>
  </si>
  <si>
    <t>4513 Western Ave, Lisle, IL, USA</t>
  </si>
  <si>
    <t>Lisle</t>
  </si>
  <si>
    <t>60532</t>
  </si>
  <si>
    <t>PGyEJG</t>
  </si>
  <si>
    <t>ea0bb2c97649406e1335b5929a6adaaa336bd1cb473b7ca858c9b1a0d99e8ca7</t>
  </si>
  <si>
    <t>PHX1-Mesa</t>
  </si>
  <si>
    <t>1301 West University Drive, Mesa, AZ, USA</t>
  </si>
  <si>
    <t>85201</t>
  </si>
  <si>
    <t>EG6ANR</t>
  </si>
  <si>
    <t>ceb85f8287482c56faedae55af60ef77628e0bd5595f49dba6ccb86340a332c3</t>
  </si>
  <si>
    <t>SEA2</t>
  </si>
  <si>
    <t>6101 S. 180th Street, Tukwila, WA, 98188, United States of America</t>
  </si>
  <si>
    <t>King County</t>
  </si>
  <si>
    <t>Tukwila</t>
  </si>
  <si>
    <t>98188</t>
  </si>
  <si>
    <t>ARNLdw</t>
  </si>
  <si>
    <t>69bb59c85d7879b7d823bd761228bb7d58e3f44d6bbfce45636c45f34c10d019</t>
  </si>
  <si>
    <t>SEA3</t>
  </si>
  <si>
    <t>17300 Highway 99, Lynnwood, USA</t>
  </si>
  <si>
    <t>Snohomish County</t>
  </si>
  <si>
    <t>Lynnwood</t>
  </si>
  <si>
    <t>98037</t>
  </si>
  <si>
    <t>qB1lVw</t>
  </si>
  <si>
    <t>c390eefcdcd673379dae3ccda9d028b40eb3a18a33be98d45ed07a8ea7240f77</t>
  </si>
  <si>
    <t>SFO2</t>
  </si>
  <si>
    <t>4650 &amp; 4700 Old Ironsides Drive, Santa Clara, CA, 95054, United States of America</t>
  </si>
  <si>
    <t>95054-1805</t>
  </si>
  <si>
    <t>QBb7jR</t>
  </si>
  <si>
    <t>e6672b55f679d8138bb7e75d57758fa1fa06f47149fb3684479f1ba74674b6cf</t>
  </si>
  <si>
    <t>SFO3</t>
  </si>
  <si>
    <t>1400 Kifer Road, Sunnyvale, CA, 94086, United States of America</t>
  </si>
  <si>
    <t>Sunnyvale</t>
  </si>
  <si>
    <t>94086-5306</t>
  </si>
  <si>
    <t>PGyq9G</t>
  </si>
  <si>
    <t>4de1d74765ef06ab83a218236e3d8db55ecaa81011cf8c9dfc31d44062abf93b</t>
  </si>
  <si>
    <t>TPA</t>
  </si>
  <si>
    <t>9310 Florida Palm Drive, Tampa, FL, 33619, United States of America</t>
  </si>
  <si>
    <t>33619</t>
  </si>
  <si>
    <t>yGlNYB</t>
  </si>
  <si>
    <t>9413e8f3e5aeb7809f5d2c6e4f07aec4f22a0eda52f5b782dd465eb40f42088d</t>
  </si>
  <si>
    <t>CENTRA</t>
  </si>
  <si>
    <t>340 Cumberland Content Hotel</t>
  </si>
  <si>
    <t>340 Cumberland Ave, Portland, ME 04101</t>
  </si>
  <si>
    <t>Maine</t>
  </si>
  <si>
    <t>ME</t>
  </si>
  <si>
    <t>04101</t>
  </si>
  <si>
    <t>BPJnbG</t>
  </si>
  <si>
    <t>0b155781bfd949fa6681ebfd64658f895b3479896d8c1c1fa93790489e4b94f0</t>
  </si>
  <si>
    <t>701 East Trade ST</t>
  </si>
  <si>
    <t>701 E Trade St, Charlotte, NC 28202, USA</t>
  </si>
  <si>
    <t>Mecklenburg County</t>
  </si>
  <si>
    <t>Charlotte</t>
  </si>
  <si>
    <t>28202</t>
  </si>
  <si>
    <t>First Ward</t>
  </si>
  <si>
    <t>BJr4NB</t>
  </si>
  <si>
    <t>e63ab0e769d3121ff7ce39d12d681da98a7a0102e623b90ba9d296b4b8711179</t>
  </si>
  <si>
    <t>610 Opperman Dr, Eagan, MN 55123</t>
  </si>
  <si>
    <t>Dakota County</t>
  </si>
  <si>
    <t>Eagan</t>
  </si>
  <si>
    <t>55123</t>
  </si>
  <si>
    <t>RpOErB</t>
  </si>
  <si>
    <t>796ecdefe42092e8b1e4e4a2b13a66d6c2816a881746e977ef2a9fba4c8f2a83</t>
  </si>
  <si>
    <t>Centrilogic</t>
  </si>
  <si>
    <t>Buffalo, New York Data Center</t>
  </si>
  <si>
    <t>350 Main St, Buffalo, NY 14202</t>
  </si>
  <si>
    <t>w5AX3w</t>
  </si>
  <si>
    <t>fcb028ecbf4d99b312223c23170eea02243cd53140408516d98f2dbf4931ca56</t>
  </si>
  <si>
    <t>Lenoir North Carolina</t>
  </si>
  <si>
    <t>801 N Main St, Lenoir, NC 28645, United States</t>
  </si>
  <si>
    <t>Caldwell County</t>
  </si>
  <si>
    <t>Lenoir</t>
  </si>
  <si>
    <t>28645</t>
  </si>
  <si>
    <t>w9EY2w</t>
  </si>
  <si>
    <t>dcddaeb4925159d07dfa4fdb2230c00ab14b990fe5802104387b3bdf1545a34a</t>
  </si>
  <si>
    <t>Rochester New York Data Centre</t>
  </si>
  <si>
    <t>28 Mansfield St, Rochester, NY 14606</t>
  </si>
  <si>
    <t>Monroe County</t>
  </si>
  <si>
    <t>City of Rochester</t>
  </si>
  <si>
    <t>14606</t>
  </si>
  <si>
    <t>GyY5ZG</t>
  </si>
  <si>
    <t>a9460a1144f5b9e1a3acab6d7c37b5da60359c81788578714c1026342324c56a</t>
  </si>
  <si>
    <t>CenturyLink</t>
  </si>
  <si>
    <t>10 Airline Drive</t>
  </si>
  <si>
    <t>10 Airline Dr, Albany, NY 12205</t>
  </si>
  <si>
    <t>Albany County</t>
  </si>
  <si>
    <t>Town of Colonie</t>
  </si>
  <si>
    <t>12205</t>
  </si>
  <si>
    <t>GaAm2G</t>
  </si>
  <si>
    <t>169203797f57d62527460e2d691dcdb7d0001d327acbe5a702af9a972c53a884</t>
  </si>
  <si>
    <t>144 Henry Street</t>
  </si>
  <si>
    <t>144 Henry St, Binghamton, NY 13901</t>
  </si>
  <si>
    <t>Broome County</t>
  </si>
  <si>
    <t>City of Binghamton</t>
  </si>
  <si>
    <t>13901</t>
  </si>
  <si>
    <t>Downtown Binghamton</t>
  </si>
  <si>
    <t>BbAlaw</t>
  </si>
  <si>
    <t>424e8f6c74fde7d365123c3002da4c89abb72ef23ec3ad09b102d5d4ae9d141a</t>
  </si>
  <si>
    <t>1755-1757 Old Meadow Road</t>
  </si>
  <si>
    <t>1755-1757 Old Meadow Rd, McLean, VA 22102</t>
  </si>
  <si>
    <t>McLean</t>
  </si>
  <si>
    <t>22102</t>
  </si>
  <si>
    <t>BAQLOB</t>
  </si>
  <si>
    <t>c2dd245a25b0041a44237491abef695747f1a74f890c6d909bdbae6e74d4f74d</t>
  </si>
  <si>
    <t>200 Technology Drive</t>
  </si>
  <si>
    <t>200 Technology Dr, Pittsburgh, PA 15219</t>
  </si>
  <si>
    <t>15219</t>
  </si>
  <si>
    <t>South Oakland</t>
  </si>
  <si>
    <t>GDoaYR</t>
  </si>
  <si>
    <t>4353de8290b0642ae80a489f26cbb56d3bb4ade6e3e37ab7a7222b8440bd754e</t>
  </si>
  <si>
    <t>3944 E Silvestri Lane</t>
  </si>
  <si>
    <t>3944 Silvestri Ln, Las Vegas, NV 89120, USA</t>
  </si>
  <si>
    <t>Paradise</t>
  </si>
  <si>
    <t>89120</t>
  </si>
  <si>
    <t>GWpNmw</t>
  </si>
  <si>
    <t>09021274daa549f4b61a851a98ef428a18106e449057ce6a74838caa0b94dd66</t>
  </si>
  <si>
    <t>44633 Guilford Drive</t>
  </si>
  <si>
    <t>44633 Guilford Dr, Ashburn, VA 20147</t>
  </si>
  <si>
    <t>RQLNpB</t>
  </si>
  <si>
    <t>bef1e916d915147fae68ea253d476111b2193a1ce16879b3fd5121e9ee25ce5d</t>
  </si>
  <si>
    <t>8145 Staples Mill Road</t>
  </si>
  <si>
    <t>8145 Staples Mill Rd, Richmond, VA 23228</t>
  </si>
  <si>
    <t>Richmond</t>
  </si>
  <si>
    <t>232282751</t>
  </si>
  <si>
    <t>R2LLew</t>
  </si>
  <si>
    <t>297908d4e41718de39ad00b76b0cbf5840a0f2eea4bf548b067867a2bc7a6ee3</t>
  </si>
  <si>
    <t>Bandon Data Center</t>
  </si>
  <si>
    <t>96614 Wickizer Way Bandon, OR 97411</t>
  </si>
  <si>
    <t>Coos County</t>
  </si>
  <si>
    <t>Bandon</t>
  </si>
  <si>
    <t>97411.0</t>
  </si>
  <si>
    <t>B1Xy6w</t>
  </si>
  <si>
    <t>dfed6f096cec13fa7f315709a3290b71b560e6bb7b933c4386d9931f23afe72c</t>
  </si>
  <si>
    <t>Eugene Data Center</t>
  </si>
  <si>
    <t>90470 Prairie Road  Eugene, OR 97402, USA</t>
  </si>
  <si>
    <t>Lane County</t>
  </si>
  <si>
    <t>Eugene</t>
  </si>
  <si>
    <t>97402</t>
  </si>
  <si>
    <t>Irving</t>
  </si>
  <si>
    <t>BgAPxG</t>
  </si>
  <si>
    <t>03b3d3db830ac7377124da07a02747df99e3cc98560d34efd7b8e4cbde0b6b77</t>
  </si>
  <si>
    <t>Phoenix AZ</t>
  </si>
  <si>
    <t>811 South 16th Street, Phoenix, Arizona, 85034, USA</t>
  </si>
  <si>
    <t>85034</t>
  </si>
  <si>
    <t>Central City</t>
  </si>
  <si>
    <t>Grj7gG</t>
  </si>
  <si>
    <t>761292e4cd76fec04769118759f21748c0a93f58cbc9fa7e65d680076620d890</t>
  </si>
  <si>
    <t>Charah Solutions</t>
  </si>
  <si>
    <t>Tarentum Data Center</t>
  </si>
  <si>
    <t>198 Butler St, Tarentum, PA 15084</t>
  </si>
  <si>
    <t>Springdale Township</t>
  </si>
  <si>
    <t>15144</t>
  </si>
  <si>
    <t>Allegheny Energy Units 3 4 &amp; 5</t>
  </si>
  <si>
    <t>RKLq5G</t>
  </si>
  <si>
    <t>f905574eb9a41d2998ab86cc2af4d6e655551b81bde1654b0687e0d557f7b10b</t>
  </si>
  <si>
    <t>Charles Schwab</t>
  </si>
  <si>
    <t>CS Roanoke</t>
  </si>
  <si>
    <t>1050 Republic Dr, Roanoke, TX 76262, USA</t>
  </si>
  <si>
    <t>Denton County</t>
  </si>
  <si>
    <t>76262</t>
  </si>
  <si>
    <t>Alliance Gateway North</t>
  </si>
  <si>
    <t>wMAMxw</t>
  </si>
  <si>
    <t>da7ddfd2a0bdb538bcefcb8d2050b59687345eb86728c8d153b8f9144cc62d75</t>
  </si>
  <si>
    <t>South Mountain Campus</t>
  </si>
  <si>
    <t>4701 E Francisco DrPhoenix, AZ 85044, USA</t>
  </si>
  <si>
    <t>85044</t>
  </si>
  <si>
    <t>GZZr8G</t>
  </si>
  <si>
    <t>98b42c20edbeca3c3b94e3a8bc80d1bb6fef9c861950e572bfa77bcb39cc5124</t>
  </si>
  <si>
    <t>Charter Communications</t>
  </si>
  <si>
    <t>213 N Harrington St</t>
  </si>
  <si>
    <t>213 N Harrington St, Raleigh, NC 27603, USA</t>
  </si>
  <si>
    <t>27603</t>
  </si>
  <si>
    <t>Glenwood South</t>
  </si>
  <si>
    <t>B72nLw</t>
  </si>
  <si>
    <t>453185b831b41343558aed258b6403f377a42a05e87376968913125ec4c1fa0d</t>
  </si>
  <si>
    <t>301 S Elm St</t>
  </si>
  <si>
    <t>301 S Elm St, Greensboro, NC 27401, USA</t>
  </si>
  <si>
    <t>Greensboro</t>
  </si>
  <si>
    <t>27401</t>
  </si>
  <si>
    <t>BX6mVG</t>
  </si>
  <si>
    <t>fd7a6a551b88dfd3e77bd8cee0a94a396ca41285dc9a36aed56cb5f8d43c3ef2</t>
  </si>
  <si>
    <t>8730 Green Ridge Dr</t>
  </si>
  <si>
    <t>8730 Green Ridge Dr, Charlotte, NC 28217, USA</t>
  </si>
  <si>
    <t>28217</t>
  </si>
  <si>
    <t>Crescent Ridge</t>
  </si>
  <si>
    <t>wOLogB</t>
  </si>
  <si>
    <t>4ef17ab3b65e8224b519319939d599198357aa1ddef94f3f3dfd15165601cb07</t>
  </si>
  <si>
    <t>ChimeNet</t>
  </si>
  <si>
    <t>110 Barnes Rd, Wallingford, CT 06492</t>
  </si>
  <si>
    <t>South Central Connecticut Planning Region</t>
  </si>
  <si>
    <t>Wallingford</t>
  </si>
  <si>
    <t>06492</t>
  </si>
  <si>
    <t>Barnes Industrial Park North</t>
  </si>
  <si>
    <t>wMAm5w</t>
  </si>
  <si>
    <t>065106905c193469576fc815a1264b37346f4147862ca444751cfb830405b1e4</t>
  </si>
  <si>
    <t>Chirisa Technology Parks</t>
  </si>
  <si>
    <t>182 Northpointe</t>
  </si>
  <si>
    <t>182 Northpointe Blvd, Freeport, PA 16229</t>
  </si>
  <si>
    <t>16229</t>
  </si>
  <si>
    <t>wMAJrw</t>
  </si>
  <si>
    <t>d7818aa9edf57971e114be7d69a48e58b358a62b4cda6ca6d3cbe7d4fd43552a</t>
  </si>
  <si>
    <t>CTP Campus</t>
  </si>
  <si>
    <t>1401 Meadowville Technology Pkwy, Chester, VA 23836</t>
  </si>
  <si>
    <t>Chesterfield County</t>
  </si>
  <si>
    <t>Meadowville</t>
  </si>
  <si>
    <t>23836</t>
  </si>
  <si>
    <t>GDog4R</t>
  </si>
  <si>
    <t>7b025b99d8b1b9d75b57e2fb53661ecf2bfb7853130c9d3566b8a1ef295f09b8</t>
  </si>
  <si>
    <t>Choctaw Nation of Oklahoma</t>
  </si>
  <si>
    <t>Durant</t>
  </si>
  <si>
    <t>2053 Chukka Hina Dr, Durant, Oklahoma 74701, USA</t>
  </si>
  <si>
    <t>Bryan County</t>
  </si>
  <si>
    <t>74701</t>
  </si>
  <si>
    <t>R4kQPB</t>
  </si>
  <si>
    <t>e2b670049b5a17be32b4f280758473dd79e3ee3eb4f476815a05c81863426d3b</t>
  </si>
  <si>
    <t>Cielo Digital Infrastructure</t>
  </si>
  <si>
    <t>Gaffney</t>
  </si>
  <si>
    <t>000 Ford Rd, Gaffney, SC 29340</t>
  </si>
  <si>
    <t>South Carolina</t>
  </si>
  <si>
    <t>SC</t>
  </si>
  <si>
    <t>East Gaffney</t>
  </si>
  <si>
    <t>29340</t>
  </si>
  <si>
    <t>B1jEQR</t>
  </si>
  <si>
    <t>5120daf0c2cd4e495fab214c6255b51af8b4e4d2005e552035a92c98edb17293</t>
  </si>
  <si>
    <t>Cigna Healthcare</t>
  </si>
  <si>
    <t>9 Griffin Road</t>
  </si>
  <si>
    <t>9 Griffin Rd N, Windsor, CT 06095</t>
  </si>
  <si>
    <t>Hartford County</t>
  </si>
  <si>
    <t>Windsor Locks</t>
  </si>
  <si>
    <t>06095</t>
  </si>
  <si>
    <t>Windsor</t>
  </si>
  <si>
    <t>B1jKyR</t>
  </si>
  <si>
    <t>c2c521055dd366824e58474afa6554ffdbeeb2c6420cead506adc7866a0581c0</t>
  </si>
  <si>
    <t>Cipher Mining</t>
  </si>
  <si>
    <t>Barber Lake</t>
  </si>
  <si>
    <t>1077 Co Rd 204, Colorado City, TX 79512</t>
  </si>
  <si>
    <t>Mitchell County</t>
  </si>
  <si>
    <t>Colorado City</t>
  </si>
  <si>
    <t>79512</t>
  </si>
  <si>
    <t>GDK5bR</t>
  </si>
  <si>
    <t>76d091ec2a5ebfc6c24703cc83e101bbb41a347883ae8199fc996da6467fd328</t>
  </si>
  <si>
    <t>Cisco Systems</t>
  </si>
  <si>
    <t>2260 Chelsea Blvd, Allen, Texas 75013, USA</t>
  </si>
  <si>
    <t>75003</t>
  </si>
  <si>
    <t>GmxWLR</t>
  </si>
  <si>
    <t>6aff8ac2b0b27d7797a6409df9d94c625a56e9ddb32d0460c367ed4c56d3662c</t>
  </si>
  <si>
    <t>Cisco Raleigh</t>
  </si>
  <si>
    <t>7025-1 Kit Creek Rd, Durham, NC 27709</t>
  </si>
  <si>
    <t>Morrisville</t>
  </si>
  <si>
    <t>27560</t>
  </si>
  <si>
    <t>Research Triangle Park</t>
  </si>
  <si>
    <t>B1Xk8w</t>
  </si>
  <si>
    <t>72501b73b7b3383ddbdea312c31c7b85f15bb191129bac758a722619e7e3b9ec</t>
  </si>
  <si>
    <t>RCDN9</t>
  </si>
  <si>
    <t>2300 E President George Bush Hwy, Richardson, Texas 75082, USA</t>
  </si>
  <si>
    <t>75082</t>
  </si>
  <si>
    <t>RKZV2B</t>
  </si>
  <si>
    <t>f4bd417d12fefe74d6bb650ab029ccf3d574adcd7f027f1a0a04cf1e16c7e75a</t>
  </si>
  <si>
    <t>7100 Kit Creek Rd, Morrisville, NC 27560, United States</t>
  </si>
  <si>
    <t>Gn4gnB</t>
  </si>
  <si>
    <t>575ea7ce7ed6437a20486a17e8b6cdca6952a3226042a8898f0263f6ce9f5945</t>
  </si>
  <si>
    <t>CISP</t>
  </si>
  <si>
    <t>3035 Moffat 43615 Toledo Ohio, USA</t>
  </si>
  <si>
    <t>Lucas County</t>
  </si>
  <si>
    <t>Toledo</t>
  </si>
  <si>
    <t>43615</t>
  </si>
  <si>
    <t>Sylvania Township</t>
  </si>
  <si>
    <t>GlPVnG</t>
  </si>
  <si>
    <t>0d1dd923f0a23fc21f94eca59fb4771e760f634ac13c41e6a4d3c300bf9e0a45</t>
  </si>
  <si>
    <t>Citibank</t>
  </si>
  <si>
    <t>Georgetown DC</t>
  </si>
  <si>
    <t>201 Blue Ridge Drive Georgetown, TX 78626</t>
  </si>
  <si>
    <t>G33rxG</t>
  </si>
  <si>
    <t>ffaf00ebc57d0a00094265ae717f271aeba2b20cbe6d5141e9d79ec2b5078ce7</t>
  </si>
  <si>
    <t>South West Data Center</t>
  </si>
  <si>
    <t>931 Litsey Rd, Roanoke, TX 76262</t>
  </si>
  <si>
    <t>Roanoke</t>
  </si>
  <si>
    <t>RpZ5dw</t>
  </si>
  <si>
    <t>cc3592cb7edf41d85d11b1e8528e4dff3e6d65c11c8c3852d5f7de3d1b379848</t>
  </si>
  <si>
    <t>CityNet Telecom</t>
  </si>
  <si>
    <t>Citynet Bridgeport, WV</t>
  </si>
  <si>
    <t>100 Platinum Dr, Bridgeport, WV 26330</t>
  </si>
  <si>
    <t>Harrison County</t>
  </si>
  <si>
    <t>Bridgeport</t>
  </si>
  <si>
    <t>26330</t>
  </si>
  <si>
    <t>wMrnzB</t>
  </si>
  <si>
    <t>a8d4f3d9f2731c3f9d4b075701611201c3479a69095283833d3fb0f845946fac</t>
  </si>
  <si>
    <t>Citynet Charleston, WV</t>
  </si>
  <si>
    <t xml:space="preserve"> 99 Truslow St, Charleston, WV 25301</t>
  </si>
  <si>
    <t>Charleston</t>
  </si>
  <si>
    <t>25301</t>
  </si>
  <si>
    <t>G6Ey1R</t>
  </si>
  <si>
    <t>b5104a8954964b9cc790e3513caa6fb29bacbc51c01ebd086956ca336912397f</t>
  </si>
  <si>
    <t>CleanArc Data Centers</t>
  </si>
  <si>
    <t>VA1 Campus</t>
  </si>
  <si>
    <t>RYMnaR</t>
  </si>
  <si>
    <t>0a4272e937a7be9b7adb151687fcaeffcb7e90bc6ead08f803884e02bf893620</t>
  </si>
  <si>
    <t>ClearBearing</t>
  </si>
  <si>
    <t>ClearBearing Burlington</t>
  </si>
  <si>
    <t>1 Market Pl #22, Essex Junction, VT 05452</t>
  </si>
  <si>
    <t>Vermont</t>
  </si>
  <si>
    <t>VT</t>
  </si>
  <si>
    <t>Chittenden County</t>
  </si>
  <si>
    <t>Essex Junction</t>
  </si>
  <si>
    <t>05439</t>
  </si>
  <si>
    <t>Essex</t>
  </si>
  <si>
    <t>R8mDWG</t>
  </si>
  <si>
    <t>f57893d78ef954a4d62a0de43fe850be99adac9b494c26e5e3145d07be3326b1</t>
  </si>
  <si>
    <t>CloudBurst</t>
  </si>
  <si>
    <t>Texas Data Center</t>
  </si>
  <si>
    <t>San Marcos, TX</t>
  </si>
  <si>
    <t>Hays County</t>
  </si>
  <si>
    <t>San Marcos</t>
  </si>
  <si>
    <t>78666</t>
  </si>
  <si>
    <t>RNa9VB</t>
  </si>
  <si>
    <t>f77a01807dd78d0328e2891cddfb314136f257cef3a88d8eddc6d1e1be5ef5f3</t>
  </si>
  <si>
    <t>CloudHQ</t>
  </si>
  <si>
    <t>14100 Business Ctr Dr</t>
  </si>
  <si>
    <t>14100 Business Ctr Dr NW, Elk River, MN 55330, USA</t>
  </si>
  <si>
    <t>Elk River</t>
  </si>
  <si>
    <t>55330</t>
  </si>
  <si>
    <t>R0ZJWw</t>
  </si>
  <si>
    <t>a7fde77a30bf624d21624e8e8a7a9e54426635fcc7bffb70433cd53c29b03560</t>
  </si>
  <si>
    <t>Cloud HQ Chaska</t>
  </si>
  <si>
    <t>2007 Schoolmaster Dr, Chaska, MN 55318, USA</t>
  </si>
  <si>
    <t>Carver County</t>
  </si>
  <si>
    <t>Chaska</t>
  </si>
  <si>
    <t>55318</t>
  </si>
  <si>
    <t>Gz34Aw</t>
  </si>
  <si>
    <t>377bb892fad5a5b6c2b3c6c7faeb5e28fec01a21c2bbe5628da72dbe45e9eafd</t>
  </si>
  <si>
    <t>CloudHQ CLP Campus</t>
  </si>
  <si>
    <t>McDevitt Drive and Frank Turnage Drive, Culpepper, Virginia 22701</t>
  </si>
  <si>
    <t>22701</t>
  </si>
  <si>
    <t>Rp76LB</t>
  </si>
  <si>
    <t>20843c46a89dc10a76f686efcc44dccbf969357b642977084d9ad6bea13afdbb</t>
  </si>
  <si>
    <t>DC-6</t>
  </si>
  <si>
    <t>9651 Hornbaker Rd, Manassas, VA 20109</t>
  </si>
  <si>
    <t>weX2VG</t>
  </si>
  <si>
    <t>0d7655afcc0186b066a0c677b3ecd5999070111c05a55bb3ee9f2924af787da2</t>
  </si>
  <si>
    <t>LC Campus</t>
  </si>
  <si>
    <t>21955 Loudoun County Pkwy, Ashburn, VA 20147</t>
  </si>
  <si>
    <t>B1XVOw</t>
  </si>
  <si>
    <t>83e4b3afa85332699790ffbda993f1675af8a2d3edf7709de923bb73e9da36ce</t>
  </si>
  <si>
    <t>MCC Campus</t>
  </si>
  <si>
    <t>10880 Airman Ave, Manassas, Virginia , 20112, United States</t>
  </si>
  <si>
    <t>22136</t>
  </si>
  <si>
    <t>Chevalle</t>
  </si>
  <si>
    <t>BEoy3G</t>
  </si>
  <si>
    <t>2e293c1257ef39153c3f53155d4e3db2e5318d28171114ff18f97ccb8a67b83d</t>
  </si>
  <si>
    <t>MDC Campus</t>
  </si>
  <si>
    <t>10450 HARRY J PARRISH BLVD MANASSAS, VA 20110</t>
  </si>
  <si>
    <t>BX4AdB</t>
  </si>
  <si>
    <t>ee944ba60f949779150a88c29d7ef5d4ddaf1ba0200ef8751519d701fcdfc917</t>
  </si>
  <si>
    <t>Mount Prospect Technology Center</t>
  </si>
  <si>
    <t>1200 E Algonquin Road. Mount Prospect, IL 60005</t>
  </si>
  <si>
    <t>Mount Prospect</t>
  </si>
  <si>
    <t>60056</t>
  </si>
  <si>
    <t>R8mQ3G</t>
  </si>
  <si>
    <t>abd51751ea3b27cc62cb76fa3cb0c315c68e9f905cabf703c67fdd118990d042</t>
  </si>
  <si>
    <t>CloudSmart</t>
  </si>
  <si>
    <t>4 Pin Oak Dr, Branford, CT 06405</t>
  </si>
  <si>
    <t>Branford</t>
  </si>
  <si>
    <t>06405</t>
  </si>
  <si>
    <t>RxYZeG</t>
  </si>
  <si>
    <t>4cd257aaccc9cd2cd97ef69a5e2148cabf53ff29969316cbc55fe960c1aea4dc</t>
  </si>
  <si>
    <t>Cogent Communications</t>
  </si>
  <si>
    <t>300 S Harbor Blvd, Anaheim, CA 92805</t>
  </si>
  <si>
    <t>92805</t>
  </si>
  <si>
    <t>B7Q9eG</t>
  </si>
  <si>
    <t>a463d4d4b0dae082ad92e1763aa6cac45b91230ad77f334c132cbdad549e8680</t>
  </si>
  <si>
    <t>7301 Metro Center Drive, Suite 100, Austin, TX 78744</t>
  </si>
  <si>
    <t>78742</t>
  </si>
  <si>
    <t>MetCenter</t>
  </si>
  <si>
    <t>GyY9bG</t>
  </si>
  <si>
    <t>40abfc19ad46d1fa3a5915e24d4527260f1653b0d73dcddfcca51a5cb1f51873</t>
  </si>
  <si>
    <t>Cogent Oakland Data Centre</t>
  </si>
  <si>
    <t>1624 Franklin St, Oakland, CA 94612</t>
  </si>
  <si>
    <t>Alameda County</t>
  </si>
  <si>
    <t>Oakland</t>
  </si>
  <si>
    <t>94612</t>
  </si>
  <si>
    <t>Rv4Mgw</t>
  </si>
  <si>
    <t>725fa1db285e5dd7fe27f8f965fe1ad4adc43e246183558d8fc70865e9189add</t>
  </si>
  <si>
    <t>240 N 5th St, Ste 210 Columbus, OH 43215</t>
  </si>
  <si>
    <t>43215</t>
  </si>
  <si>
    <t>Uptown District</t>
  </si>
  <si>
    <t>BqWMaG</t>
  </si>
  <si>
    <t>2e9313e1675bdbf89865699d78737f1d7ec1960e47ec2fe31121c93e90e5daed</t>
  </si>
  <si>
    <t>Denver, CO</t>
  </si>
  <si>
    <t>4643 S Ulster St, Denver, CO 80237</t>
  </si>
  <si>
    <t>80237</t>
  </si>
  <si>
    <t>Denver Tech Center</t>
  </si>
  <si>
    <t>Hampden South</t>
  </si>
  <si>
    <t>RxnoZw</t>
  </si>
  <si>
    <t>226b11572646ea4624f8ffbeb515a609b54c07da19e13019033f5f4560961791</t>
  </si>
  <si>
    <t>La Mirada</t>
  </si>
  <si>
    <t>16680 Valley View Ave La Mirada, CA 90638</t>
  </si>
  <si>
    <t>90638</t>
  </si>
  <si>
    <t>wMme9w</t>
  </si>
  <si>
    <t>8c5c92f52d5d46b23448a7430b99fd411d41172ce4fe67c6cc97f2d11833ffb5</t>
  </si>
  <si>
    <t>New Orleans</t>
  </si>
  <si>
    <t>650 Poydras St, New Orleans, LA 70130, USA</t>
  </si>
  <si>
    <t>Louisiana</t>
  </si>
  <si>
    <t>LA</t>
  </si>
  <si>
    <t>Orleans Parish</t>
  </si>
  <si>
    <t>70130</t>
  </si>
  <si>
    <t>Storyville</t>
  </si>
  <si>
    <t>R4JrVw</t>
  </si>
  <si>
    <t>4487aa4ff4b4c4717b0fc15376fcbffc7c3ef28102a5caa70d0e83e0a21adbf0</t>
  </si>
  <si>
    <t>New York Office &amp; Data Center</t>
  </si>
  <si>
    <t>25 Broadway 6th floor, New York, NY 10004</t>
  </si>
  <si>
    <t>10004</t>
  </si>
  <si>
    <t>Financial District</t>
  </si>
  <si>
    <t>RQZEJG</t>
  </si>
  <si>
    <t>1e7fc10aa850db75fbf4b11f2981905a3fcae2dae011121b1cc2a690a199a2f2</t>
  </si>
  <si>
    <t>Pasadena</t>
  </si>
  <si>
    <t>2947 Bradley St, Ste 100, 1st Floor Pasadena, CA 91107</t>
  </si>
  <si>
    <t>91107</t>
  </si>
  <si>
    <t>North East</t>
  </si>
  <si>
    <t>GdJ38B</t>
  </si>
  <si>
    <t>6eda891cdfd66eef0595c2f32404fff0dd0e3843bf6669262c93426c086f4275</t>
  </si>
  <si>
    <t>San Diego  Data Centre</t>
  </si>
  <si>
    <t>525 B St, San Diego, CA 92101</t>
  </si>
  <si>
    <t>92101</t>
  </si>
  <si>
    <t>Core-Columbia</t>
  </si>
  <si>
    <t>Banker's Hill</t>
  </si>
  <si>
    <t>BXp1jB</t>
  </si>
  <si>
    <t>182db0e98a74f9c7b7a4a88d3582beb19a20dbf4a1472a011275845a1e4a85df</t>
  </si>
  <si>
    <t>San Diego Towne Center</t>
  </si>
  <si>
    <t>9530 Towne Centre Drive, San Diego, CA 92121</t>
  </si>
  <si>
    <t>92121</t>
  </si>
  <si>
    <t>BE8Drw</t>
  </si>
  <si>
    <t>103c0abb7f3a6d4432400fbcf7927a0e7002f74449d8f7d5406b478133953c1c</t>
  </si>
  <si>
    <t>Vienna</t>
  </si>
  <si>
    <t>1921 Gallows Rd Suite 100, Vienna, VA 22182</t>
  </si>
  <si>
    <t>Tysons</t>
  </si>
  <si>
    <t>22182</t>
  </si>
  <si>
    <t>Howard</t>
  </si>
  <si>
    <t>BqZWlR</t>
  </si>
  <si>
    <t>5b254e8f79811c0f4f9607590da57a00bc7dc930041df178354885febf27c0e4</t>
  </si>
  <si>
    <t>100 5th Ave #1030, Waltham, MA 02451</t>
  </si>
  <si>
    <t>College Farm</t>
  </si>
  <si>
    <t>GagomB</t>
  </si>
  <si>
    <t>55ed6f9f383116340dc36fd5aa8ad0b50f62de9d9bbbd1b6a7dd7ece09c66156</t>
  </si>
  <si>
    <t>West Jackson</t>
  </si>
  <si>
    <t>216 West Jackson Blvd, Ste 1040 Chicago, IL 60606</t>
  </si>
  <si>
    <t>60606</t>
  </si>
  <si>
    <t>RYqXaR</t>
  </si>
  <si>
    <t>8470c2d34018633afc03d0ae036f80f544dbb2e277efed0a890269f4f162b4ca</t>
  </si>
  <si>
    <t>Colocation America</t>
  </si>
  <si>
    <t>LADC2</t>
  </si>
  <si>
    <t>707 Wilshire Blvd Suite 400, Los Angeles, CA 90017</t>
  </si>
  <si>
    <t>Downtown Los Angeles</t>
  </si>
  <si>
    <t>Rv4jgw</t>
  </si>
  <si>
    <t>34cb73991a09990b3a5180788b7fec84b40ad309a2ca97baad022a928dfa62a5</t>
  </si>
  <si>
    <t>NYDC1</t>
  </si>
  <si>
    <t>60 HUDSON ST, 9TH FLOOR, NEW YORK, NY 10013</t>
  </si>
  <si>
    <t>10014</t>
  </si>
  <si>
    <t>BA7XOG</t>
  </si>
  <si>
    <t>1a61aeb772ff5dd4197ba228e5b49217db77851c9b8cc92f898236b53116388c</t>
  </si>
  <si>
    <t>NYDC2</t>
  </si>
  <si>
    <t>111 8TH AVE, FLOOR 16, NEW YORK, NY 10011</t>
  </si>
  <si>
    <t>10011</t>
  </si>
  <si>
    <t>Chelsea District</t>
  </si>
  <si>
    <t>GLjAbB</t>
  </si>
  <si>
    <t>7c4f18b4eb33a48f38e9e2b2b06ddd39c7dc4304f1b2b7bc685fcaccbd27fa3e</t>
  </si>
  <si>
    <t>Colocation Northwest</t>
  </si>
  <si>
    <t>Bellevue</t>
  </si>
  <si>
    <t>15400 SE 30th Pl Bellevue, WA 98007 USA</t>
  </si>
  <si>
    <t>98007</t>
  </si>
  <si>
    <t>w9xm8G</t>
  </si>
  <si>
    <t>0e98d172af37c34926eaf4259dc44b813326b394aaa7d2362dedde3afb68118c</t>
  </si>
  <si>
    <t>Redmond</t>
  </si>
  <si>
    <t>2457 152nd Avenue NE, Redmond, WA 98052, USA</t>
  </si>
  <si>
    <t>Gkx10w</t>
  </si>
  <si>
    <t>bcb46f8ddb59850afa64756becba695146f10c8fcf8b1d8eae0d030271c1e60d</t>
  </si>
  <si>
    <t>Tacoma</t>
  </si>
  <si>
    <t>1101 A Street, Suite 200, Tacoma, WA 98402, USA</t>
  </si>
  <si>
    <t>98402</t>
  </si>
  <si>
    <t>Downtown Tacoma</t>
  </si>
  <si>
    <t>R4a5XG</t>
  </si>
  <si>
    <t>15dfddbaa4823f893495c15a4356fa21cc0305eae7e0754362e04b5f055515d4</t>
  </si>
  <si>
    <t>ColoCrossing</t>
  </si>
  <si>
    <t>BUF1</t>
  </si>
  <si>
    <t>325 Delaware Ave #302, Buffalo, NY 14202</t>
  </si>
  <si>
    <t>Theatre District</t>
  </si>
  <si>
    <t>Bqvl0R</t>
  </si>
  <si>
    <t>55b2990225bbaf86d0455d6ce90f4bd42d0c70bcba6012225422b0149484a5c5</t>
  </si>
  <si>
    <t>Cologix</t>
  </si>
  <si>
    <t>Ashburn, VA</t>
  </si>
  <si>
    <t>21745 Beaumeade Circle, Ashburn, Virginia, 20147, USA</t>
  </si>
  <si>
    <t>R2b96R</t>
  </si>
  <si>
    <t>1acb02c1f858b25b4a79d022874456519866e99dc729f13a102bd618b709ac18</t>
  </si>
  <si>
    <t>COL1</t>
  </si>
  <si>
    <t>555 Scherers Court, Columbus, OH, USA</t>
  </si>
  <si>
    <t>Worthington</t>
  </si>
  <si>
    <t>43085</t>
  </si>
  <si>
    <t>kGaxLR</t>
  </si>
  <si>
    <t>7b44ceff49d3d976436542843cc2eaefb6ea8825f3ccf370ac9d83dff77413fe</t>
  </si>
  <si>
    <t>COL2</t>
  </si>
  <si>
    <t>QBbyWw</t>
  </si>
  <si>
    <t>80188f86fe8358880c0a47532e5ed47983ad08df7aeaab15d9dc02fff522b49d</t>
  </si>
  <si>
    <t>COL3</t>
  </si>
  <si>
    <t>585 Scherers Court, Columbus, OH, USA</t>
  </si>
  <si>
    <t>8RvyyB</t>
  </si>
  <si>
    <t>bbfa6e86d2c6e571257c6f1db4b780e3ab05c745aa723bf75b4c10f0c5f2d5b8</t>
  </si>
  <si>
    <t>COL4</t>
  </si>
  <si>
    <t>7500 Alta View Blvd, Columbus, OH 43085, USA</t>
  </si>
  <si>
    <t>BPJzVG</t>
  </si>
  <si>
    <t>21457738ef8a5d361432f27bfd9501a2299dafba72ae077b60b92aa05caea4ed</t>
  </si>
  <si>
    <t>Cologix COL5 (&amp; COL6)</t>
  </si>
  <si>
    <t>6787 Green Meadows Drive, Columbus, Ohio. 43035</t>
  </si>
  <si>
    <t>G6a9gR</t>
  </si>
  <si>
    <t>08f977e6ab0fa12a0518bf77a4fded0414bad1aa0360299b600d9acc70b81bbe</t>
  </si>
  <si>
    <t>Cologix Johnstown</t>
  </si>
  <si>
    <t xml:space="preserve">12017 Duncan Plains Road, Johnstown, OH 43031				</t>
  </si>
  <si>
    <t>GaAa3G</t>
  </si>
  <si>
    <t>e6df60afcf3fe6a8a13066fc5e0511c570c030b1ba36b788d12ecddaffecd0ce</t>
  </si>
  <si>
    <t>DAL1</t>
  </si>
  <si>
    <t>1950 North Stemmons Freeway, Suite 1032, Dallas, Texas 75207, USA</t>
  </si>
  <si>
    <t>75207</t>
  </si>
  <si>
    <t>dGZ0gB</t>
  </si>
  <si>
    <t>fb034fa56a2676d1d3fb1068cb3a6f850758d494dad5409d3caa19ed139223e1</t>
  </si>
  <si>
    <t>DAL2</t>
  </si>
  <si>
    <t>1950 North Stemmons Freeway Suite 1032, Dallas, Texas 75207, USA</t>
  </si>
  <si>
    <t>GDr5nB</t>
  </si>
  <si>
    <t>78e4acb8bbd50c43929a53889fe10e942a1d2a6102f87014aa2f74aa75ec3716</t>
  </si>
  <si>
    <t>1950 North Stemmons, Freeway Suite 1032, Dallas, Texas 75207, USA</t>
  </si>
  <si>
    <t>Gm5WJG</t>
  </si>
  <si>
    <t>8af4f4635866f30fa3ca1966b8357aaffa0fdd0b0ce1a104f4b5ab285e69834c</t>
  </si>
  <si>
    <t>JAX1</t>
  </si>
  <si>
    <t>421 West Church St, Jacksonville, FL, USA, 32202</t>
  </si>
  <si>
    <t>Duval County</t>
  </si>
  <si>
    <t>Jacksonville</t>
  </si>
  <si>
    <t>32202</t>
  </si>
  <si>
    <t>LaVilla</t>
  </si>
  <si>
    <t>jBEYyB</t>
  </si>
  <si>
    <t>b8ed98ea443d128fe4d8b3a8045f6d8ef1bd7b5429e0b2e2adb8865377049218</t>
  </si>
  <si>
    <t>JAX2</t>
  </si>
  <si>
    <t>4800 Spring Park Rd, Jacksonville, FL 32207, United States</t>
  </si>
  <si>
    <t>32207</t>
  </si>
  <si>
    <t>bBX0PB</t>
  </si>
  <si>
    <t>84821948640b3bfc88716ecb875caa7754f59954e1681212216deee9d2eb5ea6</t>
  </si>
  <si>
    <t>LAK1</t>
  </si>
  <si>
    <t>2850 Interstate Drive, Lakeland, FL, USa</t>
  </si>
  <si>
    <t>Lakeland</t>
  </si>
  <si>
    <t>33805</t>
  </si>
  <si>
    <t>gB7DnR</t>
  </si>
  <si>
    <t>7983a5b3079f9cbadb9417d2a8c34f1c1bb390dce665caf95ca5eeb43d097393</t>
  </si>
  <si>
    <t>MIN1</t>
  </si>
  <si>
    <t>511 11th Avenue South, Minneapolis, MN, USA</t>
  </si>
  <si>
    <t>Hennepin County</t>
  </si>
  <si>
    <t>Minneapolis</t>
  </si>
  <si>
    <t>55415</t>
  </si>
  <si>
    <t>qGL0AG</t>
  </si>
  <si>
    <t>ba697746e4b5e6918868e2ccd7023b7ba6557579dbd8b7fb361aa7cc302c586a</t>
  </si>
  <si>
    <t>MIN2</t>
  </si>
  <si>
    <t>YBqy7B</t>
  </si>
  <si>
    <t>4f57c166db3003460648cb1305096fc30ef3f337efc1c602cae0405b208109b9</t>
  </si>
  <si>
    <t>MIN3</t>
  </si>
  <si>
    <t>bGzKVw</t>
  </si>
  <si>
    <t>99a3b7dac0e97c042970b37aa504ef11d8232302919ef808e34001743bb83a44</t>
  </si>
  <si>
    <t>MIN4</t>
  </si>
  <si>
    <t>511 11th Ave S 55415 Minneapolis Minnesota, USA</t>
  </si>
  <si>
    <t>R0mVAG</t>
  </si>
  <si>
    <t>f45223d6d290f671816b823491277b68c0944a2ccf2eaacaea64b4d1183d4161</t>
  </si>
  <si>
    <t>MIN5</t>
  </si>
  <si>
    <t>GnqvoR</t>
  </si>
  <si>
    <t>d3afc871b026996d7090b1f87dba7a58ca1ff822abfaf384de3fd358c0bc305e</t>
  </si>
  <si>
    <t>NNJ1</t>
  </si>
  <si>
    <t>1719 NJ Route 10 #111, Parsippany, NJ, USA</t>
  </si>
  <si>
    <t>Morris County</t>
  </si>
  <si>
    <t>Parsippany-Troy Hills</t>
  </si>
  <si>
    <t>07054</t>
  </si>
  <si>
    <t>JGmdgR</t>
  </si>
  <si>
    <t>cc2ab179427daaa200f0b10276853da729466865531abb1a6de14139e269e8a9</t>
  </si>
  <si>
    <t>NNJ2</t>
  </si>
  <si>
    <t>9 Wing Drive, Cedar Knolls, NJ, USA</t>
  </si>
  <si>
    <t>Cedar Knolls</t>
  </si>
  <si>
    <t>07927</t>
  </si>
  <si>
    <t>Hanover Township</t>
  </si>
  <si>
    <t>4RKo3R</t>
  </si>
  <si>
    <t>d717b3e7a6cc03e19bf397e41928d844dfee553eb6bbb2515271cacc69e704de</t>
  </si>
  <si>
    <t>NNJ3</t>
  </si>
  <si>
    <t>200 Webro Road , Parsippany, NJ, 07054, USA</t>
  </si>
  <si>
    <t>qB1oQG</t>
  </si>
  <si>
    <t>a701992193fef26e1031d54c1bd26539d70c70d52a799cd49b1155c10e3c006e</t>
  </si>
  <si>
    <t>NNJ4</t>
  </si>
  <si>
    <t>16 Wing Dr, Cedar Knolls, NJ, USA</t>
  </si>
  <si>
    <t>zwOPQB</t>
  </si>
  <si>
    <t>14497c9ace61a4f74215c6f7a9989672abc4a58d1478b5cc2efc4b1eb3106530</t>
  </si>
  <si>
    <t>SV1</t>
  </si>
  <si>
    <t>2050 Martin Ave, Santa Clara, CA 95050</t>
  </si>
  <si>
    <t>woQpKR</t>
  </si>
  <si>
    <t>f4fa0627f009eec3d53768b84e38cc01de023cd9c14b8634b5910bbfc5fe3fed</t>
  </si>
  <si>
    <t>Colostore</t>
  </si>
  <si>
    <t>746 S Arnold St, South Bend, IN 46619</t>
  </si>
  <si>
    <t>46619</t>
  </si>
  <si>
    <t>w5AV0w</t>
  </si>
  <si>
    <t>2740a01f2b362bcd349b7fd0bdd1bdfd833a9bec914f63163229cd3b2eee6238</t>
  </si>
  <si>
    <t>Colovore</t>
  </si>
  <si>
    <t>RN01</t>
  </si>
  <si>
    <t>100 Italy Drive, Sparks, Nevada, 89437</t>
  </si>
  <si>
    <t>Storey County</t>
  </si>
  <si>
    <t>Sparks</t>
  </si>
  <si>
    <t>89434</t>
  </si>
  <si>
    <t>Gz7Zow</t>
  </si>
  <si>
    <t>849737a7047c70aa0cbb49d5edf44bb12e108009d2fead8dd4ae80cf5482688c</t>
  </si>
  <si>
    <t>SJC01</t>
  </si>
  <si>
    <t>1101 Space Park Dr, Santa Clara, CA 95054</t>
  </si>
  <si>
    <t>95054-3432</t>
  </si>
  <si>
    <t>RYqOAR</t>
  </si>
  <si>
    <t>63c55f81903276009c504b25828dfc846f3cf0d7b52abfeff02d55503912fdb1</t>
  </si>
  <si>
    <t>SJC02</t>
  </si>
  <si>
    <t>3060 Raymond St, Santa Clara, CA 95054</t>
  </si>
  <si>
    <t>95054-3430</t>
  </si>
  <si>
    <t>GagnvB</t>
  </si>
  <si>
    <t>a5a9f3af3dc0973108757abda5321a21abbce5f19ee26c843250ee9fd41cd620</t>
  </si>
  <si>
    <t>Comarch</t>
  </si>
  <si>
    <t>3223 S Ellsworth Rd, Mesa, AZ 85212, USA</t>
  </si>
  <si>
    <t>BA72aG</t>
  </si>
  <si>
    <t>855cc18f0461d7a5c3aece152572a893270b696d94dadc274aa80ddeae45d102</t>
  </si>
  <si>
    <t>Comcast</t>
  </si>
  <si>
    <t>1354 Boot Road</t>
  </si>
  <si>
    <t>1354 Boot Rd, West Chester, PA 19380</t>
  </si>
  <si>
    <t>West Chester</t>
  </si>
  <si>
    <t>19380</t>
  </si>
  <si>
    <t>East Goshen Township</t>
  </si>
  <si>
    <t>BgJAxw</t>
  </si>
  <si>
    <t>af5ee027d199b8cede0c19302ff7e9ca2d3333462d940a4992fb2d85c263e6b6</t>
  </si>
  <si>
    <t>650 Centerton Road</t>
  </si>
  <si>
    <t>650 Centerton Rd, Moorestown, NJ 08057</t>
  </si>
  <si>
    <t>Burlington County</t>
  </si>
  <si>
    <t>Moorestown Township</t>
  </si>
  <si>
    <t>08057</t>
  </si>
  <si>
    <t>Laurel Creek Office Park</t>
  </si>
  <si>
    <t>w5A7Ew</t>
  </si>
  <si>
    <t>ea85ea255213f3ace448605eded102682bbc7abd8c5b004cd1c1cfdac8200963</t>
  </si>
  <si>
    <t>7059 S Potomac St.</t>
  </si>
  <si>
    <t>7059 S Potomac St, Centennial, CO 80112</t>
  </si>
  <si>
    <t>Arapahoe County</t>
  </si>
  <si>
    <t>Centennial</t>
  </si>
  <si>
    <t>wM27rB</t>
  </si>
  <si>
    <t>d596b66d07e5b22fe941faf3142e09ee9fcdd0fc5648171d450b93ee267c88f7</t>
  </si>
  <si>
    <t>Compass Datacenters</t>
  </si>
  <si>
    <t>Compass Hoffman Estates</t>
  </si>
  <si>
    <t>3333 Beverly Rd, Hoffman Estates, IL 60179, USA</t>
  </si>
  <si>
    <t>Hoffman Estates</t>
  </si>
  <si>
    <t>60192</t>
  </si>
  <si>
    <t>Schaumburg Township</t>
  </si>
  <si>
    <t>R8mXZG</t>
  </si>
  <si>
    <t>64b44889deea8430b34b2e0c10cc78c3f66bf29a0b635045ea9aa11280c61cb0</t>
  </si>
  <si>
    <t>Compass PHX II</t>
  </si>
  <si>
    <t>W Joe R Ramirez Rd, El Mirage, AZ 85335, USA</t>
  </si>
  <si>
    <t>El Mirage</t>
  </si>
  <si>
    <t>85335</t>
  </si>
  <si>
    <t>GWZJmR</t>
  </si>
  <si>
    <t>51f75c5a74710ac7c7809960c062f68cad8b58eb60ae8fe1c076211f4918f19b</t>
  </si>
  <si>
    <t>Goodyear Phoenix Campus</t>
  </si>
  <si>
    <t>400 South Bullard Ave, Goodyear, Arizona, 85338, USA</t>
  </si>
  <si>
    <t>85338</t>
  </si>
  <si>
    <t>pGDaYw</t>
  </si>
  <si>
    <t>8264689e80013f8931d132a26b09fec1f6655a4fe1b7ff690ecc8125798f7d93</t>
  </si>
  <si>
    <t>Loudoun County Campus</t>
  </si>
  <si>
    <t>42247 Thunderball Dr, Leesburg, VA 20175</t>
  </si>
  <si>
    <t>lR8p4R</t>
  </si>
  <si>
    <t>8e5f849a6fd5d199e1a35ae2e84b65275768c7a04fa378fa4f37347af2a5890b</t>
  </si>
  <si>
    <t>Meridian</t>
  </si>
  <si>
    <t>290 Sweet Gum Bottom Rd, Meridian, MS 39301</t>
  </si>
  <si>
    <t>Lauderdale County</t>
  </si>
  <si>
    <t>39342</t>
  </si>
  <si>
    <t>Key Brothers Industrial Park</t>
  </si>
  <si>
    <t>RNanYB</t>
  </si>
  <si>
    <t>610e1a79ee3fca330fd49cb25817d7c02250afff09855a167ae7a5a4f68b4a68</t>
  </si>
  <si>
    <t>Nashville Data Center</t>
  </si>
  <si>
    <t>311 Eddy Ln, Franklin, TN 37064, USA</t>
  </si>
  <si>
    <t>Franklin</t>
  </si>
  <si>
    <t>37064</t>
  </si>
  <si>
    <t>GagyrB</t>
  </si>
  <si>
    <t>ac3fce2b3ae840d7ccbe503bdf26b501219dae0c397d95ff06832981320508df</t>
  </si>
  <si>
    <t>Red Oak Campus</t>
  </si>
  <si>
    <t>300 Houston School Road, Red Oak, Texas 75154, USA</t>
  </si>
  <si>
    <t>Ellis County</t>
  </si>
  <si>
    <t>Red Oak</t>
  </si>
  <si>
    <t>75154</t>
  </si>
  <si>
    <t>RjJdMR</t>
  </si>
  <si>
    <t>81c6942d538e6dbbb57528fa5d2a6ef35219a7297d5f7839db4a8b8809002221</t>
  </si>
  <si>
    <t>Statesville</t>
  </si>
  <si>
    <t>255 Stamey Farm Rd., Statesville, NC 28677</t>
  </si>
  <si>
    <t>Iredell County</t>
  </si>
  <si>
    <t>28677</t>
  </si>
  <si>
    <t>RNaAnB</t>
  </si>
  <si>
    <t>b92cf6b18e5d28934cac41c982c02d6134c950266d99891ba63dd097e00a2685</t>
  </si>
  <si>
    <t>Compugen</t>
  </si>
  <si>
    <t>7000 Souder Rd, New Albany, OH 43054, USA</t>
  </si>
  <si>
    <t>BqvE1R</t>
  </si>
  <si>
    <t>1f37b5285ba13adc9099dab013bf654d59b13511b14c522179e7952681be36ff</t>
  </si>
  <si>
    <t>COMSAT</t>
  </si>
  <si>
    <t>7000 Pine Grove Road Teleport</t>
  </si>
  <si>
    <t>7000 Pine Grove Rd, Santa Paula, CA 93060</t>
  </si>
  <si>
    <t>Ventura County</t>
  </si>
  <si>
    <t>Santa Paula</t>
  </si>
  <si>
    <t>93060</t>
  </si>
  <si>
    <t>BEL8Yw</t>
  </si>
  <si>
    <t>e888162d77ad556adf045c9a55839ba4b01f8ea28aebc275fbc6cc51a3237648</t>
  </si>
  <si>
    <t>Conscious Data Centers</t>
  </si>
  <si>
    <t>Concious Data Center Rancho Cordova</t>
  </si>
  <si>
    <t>3141 Data Dr, Rancho Cordova, CA 95670</t>
  </si>
  <si>
    <t>RjPOJw</t>
  </si>
  <si>
    <t>e8892515caec35e50fa77bc2ffce8ddc18a49ef66284c709238638652c583af8</t>
  </si>
  <si>
    <t>Consolidated Business Services</t>
  </si>
  <si>
    <t>207 Southwest Columbia Street, Bend</t>
  </si>
  <si>
    <t>207 Southwest Columbia Street, Bend, OR 97702, USA</t>
  </si>
  <si>
    <t>Deschutes County</t>
  </si>
  <si>
    <t>Bend</t>
  </si>
  <si>
    <t>97702</t>
  </si>
  <si>
    <t>G6ELPR</t>
  </si>
  <si>
    <t>c80cdbab33e6d6df54055cb59aa062ef60e4204f21391b1ccde8d0f656bb9e33</t>
  </si>
  <si>
    <t>Consolidated Communications</t>
  </si>
  <si>
    <t>Consolidated Communications Burlington</t>
  </si>
  <si>
    <t>266 Main St, Burlington, VT 05401</t>
  </si>
  <si>
    <t>Burlington</t>
  </si>
  <si>
    <t>05401</t>
  </si>
  <si>
    <t>Gk3m0G</t>
  </si>
  <si>
    <t>85b29aaa5079f9e264b908a2cef706954f871ca395a1b42673e77db1effa3615</t>
  </si>
  <si>
    <t>Consolidated Communications Citrus Heights</t>
  </si>
  <si>
    <t>7656 Old Auburn Rd, Citrus Heights, CA 95610</t>
  </si>
  <si>
    <t>Citrus Heights</t>
  </si>
  <si>
    <t>95610</t>
  </si>
  <si>
    <t>BXpzaB</t>
  </si>
  <si>
    <t>0d38e60ba9e7ca7172ed9479f331a96aac18482ff4e59bf42041f1e718091763</t>
  </si>
  <si>
    <t>Consolidated Communications Laconia</t>
  </si>
  <si>
    <t>762 N Main St, Laconia, NH 03246</t>
  </si>
  <si>
    <t>New Hampshire</t>
  </si>
  <si>
    <t>NH</t>
  </si>
  <si>
    <t>Belknap County</t>
  </si>
  <si>
    <t>Laconia</t>
  </si>
  <si>
    <t>03246</t>
  </si>
  <si>
    <t>RQLdJB</t>
  </si>
  <si>
    <t>2a6556f9b15414e6f2fb74d599ee9ccd89db88de259fbbc4d10b78e368f6ca36</t>
  </si>
  <si>
    <t>Consolidated Communications Manchester</t>
  </si>
  <si>
    <t>770 Elm St, Manchester, NH 03101</t>
  </si>
  <si>
    <t>Manchester</t>
  </si>
  <si>
    <t>03101</t>
  </si>
  <si>
    <t>R2rj4R</t>
  </si>
  <si>
    <t>b432073f146c3e2e2b8340bcd25a28f531a3a8bc883636a307d0d05f1cc2d334</t>
  </si>
  <si>
    <t>Consolidated Communications McClellan</t>
  </si>
  <si>
    <t>5115 Arnold Ave, McClellan Park, CA 95652</t>
  </si>
  <si>
    <t>95652</t>
  </si>
  <si>
    <t>BE8zdw</t>
  </si>
  <si>
    <t>dbc7b3613ce6ee9e949760ad570faed187b11668352f77afac46b0e2ce714b7e</t>
  </si>
  <si>
    <t>Fargo Data Center</t>
  </si>
  <si>
    <t>3312 42nd St S, Fargo, ND 58104, USA</t>
  </si>
  <si>
    <t>58104</t>
  </si>
  <si>
    <t>Pointe West</t>
  </si>
  <si>
    <t>Gk3L5G</t>
  </si>
  <si>
    <t>1e25c9e33d8a5a999b1ce825842b09164793e9b5318306332d31a682604a509a</t>
  </si>
  <si>
    <t>Convergent VA LLC</t>
  </si>
  <si>
    <t>Convergent Technology Park</t>
  </si>
  <si>
    <t>James Madison St &amp; James Madison Hwy, Remington, VA 22734</t>
  </si>
  <si>
    <t>Mandleys Corner</t>
  </si>
  <si>
    <t>22734</t>
  </si>
  <si>
    <t>Perrowville</t>
  </si>
  <si>
    <t>GaAl2G</t>
  </si>
  <si>
    <t>7beda6add919b17fb59b1602466d83cef0ec1b0902dc0dfeef197c181d1c92ac</t>
  </si>
  <si>
    <t>Copia Power Devco</t>
  </si>
  <si>
    <t>Monarch Data Center</t>
  </si>
  <si>
    <t>150 Penrose Ln, Yerington, NV 89447</t>
  </si>
  <si>
    <t>Lyon</t>
  </si>
  <si>
    <t>we8LLG</t>
  </si>
  <si>
    <t>76c56176abdf08e643e5d772c712b35c0fac6c79cc099a8c2edd22aff00029cc</t>
  </si>
  <si>
    <t>COPT</t>
  </si>
  <si>
    <t>COPT Iowa</t>
  </si>
  <si>
    <t>Adel</t>
  </si>
  <si>
    <t>50003</t>
  </si>
  <si>
    <t>RKL8DG</t>
  </si>
  <si>
    <t>eff5c4a505e3ca7362efd064f369de24db6778f0a8d8fee97dc660c42be00a61</t>
  </si>
  <si>
    <t>COPT Southpoint</t>
  </si>
  <si>
    <t>8300 Buckeye Timber Dr, Manassas, VA 20109</t>
  </si>
  <si>
    <t>RKv44B</t>
  </si>
  <si>
    <t>9dd646c4970cac1c7b28afca4a59e70d574a324c057245a44b774d5cb8b71b18</t>
  </si>
  <si>
    <t>Maries Tech Park</t>
  </si>
  <si>
    <t>45761 &amp; 45771 Maries Road, Sterling, VA 20166</t>
  </si>
  <si>
    <t>B7VAvw</t>
  </si>
  <si>
    <t>c3b87652f0c1dc1fc1dd2217dd4dc88ca7850a0484deefaa4833e3560fbf1693</t>
  </si>
  <si>
    <t>Parkstone Tech Park</t>
  </si>
  <si>
    <t>5140 PARKSTONE DR, CHANTILLY VA 20151</t>
  </si>
  <si>
    <t>B132xG</t>
  </si>
  <si>
    <t>0beee376cb8ea73b5e7b53cb9af305908168955cc7f71c12b625bd414804feef</t>
  </si>
  <si>
    <t>Core Scientific</t>
  </si>
  <si>
    <t>Auburn 1</t>
  </si>
  <si>
    <t>1571 W Samford Ave, Auburn, AL 36832</t>
  </si>
  <si>
    <t>Lee County</t>
  </si>
  <si>
    <t>Auburn</t>
  </si>
  <si>
    <t>36832</t>
  </si>
  <si>
    <t>GWnLNR</t>
  </si>
  <si>
    <t>3b2c0d34e8c71efb086ce92ed7b1965c3eab72bc8fc8e2bcbc65178e82c169c3</t>
  </si>
  <si>
    <t>Austin, Texas Data Center (Austin 1)</t>
  </si>
  <si>
    <t>3301 Hibbetts Rd, Austin, TX 78725</t>
  </si>
  <si>
    <t>78725</t>
  </si>
  <si>
    <t>MLK-183</t>
  </si>
  <si>
    <t>Johnston Terrace</t>
  </si>
  <si>
    <t>Gk4gDw</t>
  </si>
  <si>
    <t>97922ec9bea16d8ee43564b434cec76b78a76b6734aff8ffd65e82f66100dd3d</t>
  </si>
  <si>
    <t>Dalton 4</t>
  </si>
  <si>
    <t>Old Tilton Rd. SE, Dalton, GA 30721</t>
  </si>
  <si>
    <t>Whitfield County</t>
  </si>
  <si>
    <t>30721</t>
  </si>
  <si>
    <t>w5Va3B</t>
  </si>
  <si>
    <t>7724ac91542dc5d9568b51d54301d155e717d26461f0fd32f2caef8f6e228916</t>
  </si>
  <si>
    <t>Denton 1</t>
  </si>
  <si>
    <t>8171 Jim Christal Rd, Denton, TX 76207</t>
  </si>
  <si>
    <t>Denton</t>
  </si>
  <si>
    <t>76207</t>
  </si>
  <si>
    <t>wo1ZpR</t>
  </si>
  <si>
    <t>35c4876cd882bf568ec5fb554085840b738527e3f3737097143927e997e956ce</t>
  </si>
  <si>
    <t>Grand Forks 1</t>
  </si>
  <si>
    <t>5601 11th Ave S, Grand Forks, ND 58201, USA</t>
  </si>
  <si>
    <t>Grand Forks County</t>
  </si>
  <si>
    <t>Grand Forks</t>
  </si>
  <si>
    <t>58201</t>
  </si>
  <si>
    <t>RYqW4R</t>
  </si>
  <si>
    <t>e65ed7ff17fd72ac6500129c39add943855730e5161d80b93853d70ca2075792</t>
  </si>
  <si>
    <t>Marble North Carolina</t>
  </si>
  <si>
    <t>155 Palmer Ln, Marble, NC 28905, United States</t>
  </si>
  <si>
    <t>28905</t>
  </si>
  <si>
    <t>GmxJrR</t>
  </si>
  <si>
    <t>70b9955ee9a26f5d20d03d43862fe3144ee33bf4686cc005488be422f4006697</t>
  </si>
  <si>
    <t>Port Muskogee</t>
  </si>
  <si>
    <t>4901 Harold Scoggins Dr, Muskogee, OK 74403</t>
  </si>
  <si>
    <t>Muskogee County</t>
  </si>
  <si>
    <t>74401</t>
  </si>
  <si>
    <t>GLvaNB</t>
  </si>
  <si>
    <t>98285bca8a62aaff1ac3306f0c63d07041ea0882cbd6b309c113a11a479264c3</t>
  </si>
  <si>
    <t>CoreSite</t>
  </si>
  <si>
    <t>215 County Avenue</t>
  </si>
  <si>
    <t>215 County Ave, Secaucus, NJ 07094</t>
  </si>
  <si>
    <t>R0ZjKw</t>
  </si>
  <si>
    <t>0808106c3a3f71638fd57050420c5df0c91e6db6858a30441dc6e35a53c5b405</t>
  </si>
  <si>
    <t>BO1</t>
  </si>
  <si>
    <t>70 Inner Belt Road, Somerville, Massachusetts, 02143, USA</t>
  </si>
  <si>
    <t>02143</t>
  </si>
  <si>
    <t>Inner Belt</t>
  </si>
  <si>
    <t>BX49WB</t>
  </si>
  <si>
    <t>788ec25fa6c287c1a845f4b6ece6405202d8b6cde15857eaae7bbfbb431bd6b0</t>
  </si>
  <si>
    <t>CH1</t>
  </si>
  <si>
    <t>427 S LaSalle St, Chicago, Illinois, 60605, USA</t>
  </si>
  <si>
    <t>60605</t>
  </si>
  <si>
    <t>B7ov8B</t>
  </si>
  <si>
    <t>da320928d6abb7af97cfc9ce966262ee643190053a24d79eb5312b5e1eaf597c</t>
  </si>
  <si>
    <t>CH2</t>
  </si>
  <si>
    <t>1432 S. Clinton St., Chicago, IL 60607</t>
  </si>
  <si>
    <t>Near West Side</t>
  </si>
  <si>
    <t>BqlAEw</t>
  </si>
  <si>
    <t>fc1afcdd5642f74255d8df77d5dda0df64175bb1874c227babb935dd83604178</t>
  </si>
  <si>
    <t>1275 K St NW Suite 700, Washington, District of Columbia, 20005, USA</t>
  </si>
  <si>
    <t>District of Columbia</t>
  </si>
  <si>
    <t>DC</t>
  </si>
  <si>
    <t>20005</t>
  </si>
  <si>
    <t>RjmOQB</t>
  </si>
  <si>
    <t>265271228fe8f4525fdb629f4f2b64fb5246f09ce0b7027a72931cb88b50bdb2</t>
  </si>
  <si>
    <t>1099 14th Street, Washington, District of Columbia, 20005, USA</t>
  </si>
  <si>
    <t>Ward 2</t>
  </si>
  <si>
    <t>Grjn4G</t>
  </si>
  <si>
    <t>9d95a9b6d777e8aeb363a7c5da0edbed0dc21cae9572854ce6f535ae4ecdfb72</t>
  </si>
  <si>
    <t>DE1</t>
  </si>
  <si>
    <t>910 15th St #740, Denver, Colorado, 80202, USA</t>
  </si>
  <si>
    <t>80202</t>
  </si>
  <si>
    <t>Central Business District</t>
  </si>
  <si>
    <t>Gz9PpR</t>
  </si>
  <si>
    <t>5fdb9e9a786d538c9c269566949c2b668715282ef41c67ebd187b36f9c1bc5e0</t>
  </si>
  <si>
    <t>DE2</t>
  </si>
  <si>
    <t>639 E 18th Avenue, Denver, Colorado 80203, USA</t>
  </si>
  <si>
    <t>80203</t>
  </si>
  <si>
    <t>North Capitol Hill</t>
  </si>
  <si>
    <t>GmKj9B</t>
  </si>
  <si>
    <t>33b7151098088d46c591bbe061f4fa4cffbeeaac9eb11370be1362d6172039c5</t>
  </si>
  <si>
    <t>DE3</t>
  </si>
  <si>
    <t>4900 N. Race St, Denver, CO 80216</t>
  </si>
  <si>
    <t>Elyria Swansea</t>
  </si>
  <si>
    <t>GnqQVR</t>
  </si>
  <si>
    <t>154bdd2f07d64389a25e424d85f82db309c1562a2c683ab5b0084d24a6b2bb15</t>
  </si>
  <si>
    <t>LA1</t>
  </si>
  <si>
    <t>624 S. Grand Ave., Los Angeles, CA 90017</t>
  </si>
  <si>
    <t>Jewelry District</t>
  </si>
  <si>
    <t>RKaA4w</t>
  </si>
  <si>
    <t>2d8b0ba299ef6f45021ba4cfdfd2de2b07e4ad9cddc71aee140cfc552dca38ca</t>
  </si>
  <si>
    <t>LA2</t>
  </si>
  <si>
    <t>900 N Alameda St, Los Angeles, 90012, USA</t>
  </si>
  <si>
    <t>90012</t>
  </si>
  <si>
    <t>New Chinatown</t>
  </si>
  <si>
    <t>B1QvxB</t>
  </si>
  <si>
    <t>beac007fbf20763a18b79f46405f34b301b998207255f833554d90d78e44a4cf</t>
  </si>
  <si>
    <t>LA3</t>
  </si>
  <si>
    <t>200 Bauchet St., Los Angeles, CA 90012</t>
  </si>
  <si>
    <t>BE8J3w</t>
  </si>
  <si>
    <t>593a09e2a48e49cd7fdeb428b1ab69b9c223373defed3bfb71eeaae4af3f2c7f</t>
  </si>
  <si>
    <t>Manhattan (NY1)</t>
  </si>
  <si>
    <t>32 6th Ave, New York, NY 10013</t>
  </si>
  <si>
    <t>10013</t>
  </si>
  <si>
    <t>RjPjQw</t>
  </si>
  <si>
    <t>5f2c7155487e09700074153c926932723fd575ed30d23d0b6d990277de161a62</t>
  </si>
  <si>
    <t>MI1</t>
  </si>
  <si>
    <t>2115 NW 22nd St, Miami, Florida, 33142, USA</t>
  </si>
  <si>
    <t>Miami</t>
  </si>
  <si>
    <t>33142</t>
  </si>
  <si>
    <t>wOp3kB</t>
  </si>
  <si>
    <t>294f594ea191de2c0899b36c53c0c19e5920cfb911e9c66ef75054d2cde25413</t>
  </si>
  <si>
    <t>MI2</t>
  </si>
  <si>
    <t>2100 NW 84th Ave, Doral, FL 33122, USA</t>
  </si>
  <si>
    <t>Doral</t>
  </si>
  <si>
    <t>33122-1517</t>
  </si>
  <si>
    <t>Miami Free Zone</t>
  </si>
  <si>
    <t>wMrbZB</t>
  </si>
  <si>
    <t>5479a76b587e73e4815416d0dbd9bfb446d10a5cbececc825862e724a3d80a09</t>
  </si>
  <si>
    <t>New Jersey NY2 &amp; NY3</t>
  </si>
  <si>
    <t>2 Emerson Ln, Secaucus, NJ 07094</t>
  </si>
  <si>
    <t>GrZm4G</t>
  </si>
  <si>
    <t>4e643c6cd29427687edfd5fc0c7ebbb6133cf5a7e4680d25c14bfaabf1eb16b0</t>
  </si>
  <si>
    <t>OR1</t>
  </si>
  <si>
    <t>9701 S. John Young Parkway, Orlando, FL 32819, USA</t>
  </si>
  <si>
    <t>Orlando</t>
  </si>
  <si>
    <t>32819</t>
  </si>
  <si>
    <t>R2LVLw</t>
  </si>
  <si>
    <t>92d6e3314149531172a1fbda2740d858e1b87d89e8dd356185d23650d44c57a9</t>
  </si>
  <si>
    <t>Santa Clara Campus-SV9</t>
  </si>
  <si>
    <t>2915 Stender Way, Santa Clara, CA 95054</t>
  </si>
  <si>
    <t>95054</t>
  </si>
  <si>
    <t>wMmZnw</t>
  </si>
  <si>
    <t>00044a4c7c781113116473fb52f09ae1237ad3367a6cbbc9c0af3fe3b544f715</t>
  </si>
  <si>
    <t>55 S Market St #104, San Jose, California, 95113, USA</t>
  </si>
  <si>
    <t>95113</t>
  </si>
  <si>
    <t>Downtown Historic District</t>
  </si>
  <si>
    <t>GDPOpG</t>
  </si>
  <si>
    <t>fc376b38b52166fd932e2ebf4793e0457edaba59698ef9f69ccf3182989d34a3</t>
  </si>
  <si>
    <t>SV2</t>
  </si>
  <si>
    <t>1656 McCarthy Blvd, Milpitas, California, 95035, USA</t>
  </si>
  <si>
    <t>Milpitas</t>
  </si>
  <si>
    <t>95035</t>
  </si>
  <si>
    <t>BAyvPB</t>
  </si>
  <si>
    <t>f181715b26e3d32e0a8539bceda25f753a61cdbe6bbbe868cfe5fd34d2199961</t>
  </si>
  <si>
    <t>VA1</t>
  </si>
  <si>
    <t>12100 Sunrise Valley Drive, Reston, VA 20191</t>
  </si>
  <si>
    <t>Reston</t>
  </si>
  <si>
    <t>20192</t>
  </si>
  <si>
    <t>R8LvMR</t>
  </si>
  <si>
    <t>0fd16cc0162d4487caef1a10889ef83fc487f461b8db71b440c4710afbb11025</t>
  </si>
  <si>
    <t>VA2</t>
  </si>
  <si>
    <t>12098 Sunrise Valley Drive, Reston, VA</t>
  </si>
  <si>
    <t>GLPa5G</t>
  </si>
  <si>
    <t>16ed410bef00274efbc7962c2e010764dc9f2e22865e21bc4c263ad4381530f5</t>
  </si>
  <si>
    <t>VA3 Campus</t>
  </si>
  <si>
    <t>12379 Sunrise Valley Dr, Reston, VA 20191</t>
  </si>
  <si>
    <t>20191</t>
  </si>
  <si>
    <t>BqXpaw</t>
  </si>
  <si>
    <t>75990c5910922a24476a0c247309a49fb34d29f91cdb863e9a2328742776ff9f</t>
  </si>
  <si>
    <t>CoreSpace</t>
  </si>
  <si>
    <t>7505 John W. Carpenter Fwy, Dallas, Texas 75247, USA</t>
  </si>
  <si>
    <t>75247</t>
  </si>
  <si>
    <t>RYqQ3R</t>
  </si>
  <si>
    <t>a8e543c9dc06a3e4d0126233ad419f70d222c5bc7186dc92365e04fe3794f629</t>
  </si>
  <si>
    <t>CoreWeave</t>
  </si>
  <si>
    <t>1000 Coit Road</t>
  </si>
  <si>
    <t>1000 Coit Road, Plano, Texas 75075, USA</t>
  </si>
  <si>
    <t>75075</t>
  </si>
  <si>
    <t>GrV25G</t>
  </si>
  <si>
    <t>1a0a0cabf210b6b5577ce22fdb3d300ff9f8e8930dc29010e10b8ae73a273bb7</t>
  </si>
  <si>
    <t>11 NEST</t>
  </si>
  <si>
    <t>2000 Galloping Hill Rd, Kenilworth, NJ 07033</t>
  </si>
  <si>
    <t>Union County</t>
  </si>
  <si>
    <t>Kenilworth</t>
  </si>
  <si>
    <t>07033</t>
  </si>
  <si>
    <t>weJWLB</t>
  </si>
  <si>
    <t>f8f047a175313037ab0c6265b766566e1f3970489b9cb192414ad3673e1efc19</t>
  </si>
  <si>
    <t>1375 Harrisburg Pike</t>
  </si>
  <si>
    <t>1375 Harrisburg Pike, Lancaster, PA 17601</t>
  </si>
  <si>
    <t>Lancaster</t>
  </si>
  <si>
    <t>17601</t>
  </si>
  <si>
    <t>Gk4Y0w</t>
  </si>
  <si>
    <t>2ace28be87255053960dee8152b30824a3a574cb04982b628c9e000429304553</t>
  </si>
  <si>
    <t>216 Greenfield Road</t>
  </si>
  <si>
    <t>216 Greenfield Rd, Lancaster, PA 17601</t>
  </si>
  <si>
    <t>RYNKdG</t>
  </si>
  <si>
    <t>c374fed6716a266d7183d23c693b63676c974bb0ed7d55f9c724ce87d6dd7a20</t>
  </si>
  <si>
    <t>CorScale</t>
  </si>
  <si>
    <t>Gainesville Crossing</t>
  </si>
  <si>
    <t>13760 University Blvd, Gainesville, VA 20155</t>
  </si>
  <si>
    <t>RYKV3w</t>
  </si>
  <si>
    <t>c648b277189c5ede9a2b9b713252e6021d83f7b5def4acf45bfb6a276ded157b</t>
  </si>
  <si>
    <t>Kincora</t>
  </si>
  <si>
    <t>Kincora Drive, Sterling, VA 20166</t>
  </si>
  <si>
    <t>GkYNqB</t>
  </si>
  <si>
    <t>b84d997cc7c02577c433e2edfa970d2d2a67a71dbfe54d0a929dd88fcb14c48f</t>
  </si>
  <si>
    <t>Corserva</t>
  </si>
  <si>
    <t>Corserva Connecticut</t>
  </si>
  <si>
    <t>100 Technology Dr, Trumbull, CT 06611</t>
  </si>
  <si>
    <t>06468</t>
  </si>
  <si>
    <t>GLvjzB</t>
  </si>
  <si>
    <t>3cbef57e72b8233c3af48ee4ca3f667a4ab16b1367f2642cf2df615e810e4be7</t>
  </si>
  <si>
    <t>CR1/Culpeper LLC and CR2/Culpeper LLC</t>
  </si>
  <si>
    <t>Copper Ridge Data Centre Campus</t>
  </si>
  <si>
    <t>Culpeper, VA 22701</t>
  </si>
  <si>
    <t>Culpeper</t>
  </si>
  <si>
    <t>GZZJ9G</t>
  </si>
  <si>
    <t>0b45a8291f5148ca32ff562a4660883d17a2321c1eb598e7c6a034ea531ea7ea</t>
  </si>
  <si>
    <t>Crane Data Centers</t>
  </si>
  <si>
    <t>Portland Metro Data Center Campus</t>
  </si>
  <si>
    <t>3975 Heather St, Forest Grove, OR 97116, USA</t>
  </si>
  <si>
    <t>Forest Grove</t>
  </si>
  <si>
    <t>97116</t>
  </si>
  <si>
    <t>B1Xm3w</t>
  </si>
  <si>
    <t>75dae18475093d9cede8e686749ff2e5765df3ffb522644409c01fa37455bc44</t>
  </si>
  <si>
    <t>Crown Castle</t>
  </si>
  <si>
    <t>1 Federal Street</t>
  </si>
  <si>
    <t>1 Federal St, Springfield, MA 01105</t>
  </si>
  <si>
    <t>Hampden County</t>
  </si>
  <si>
    <t>01109</t>
  </si>
  <si>
    <t>BX6jdG</t>
  </si>
  <si>
    <t>75ebf879c6227569124c3974d7ffbc59a55619b53d7bdd0af00e69da118cea67</t>
  </si>
  <si>
    <t>101 East Town Street</t>
  </si>
  <si>
    <t>101 East Town Street, Columbus, OH</t>
  </si>
  <si>
    <t>Mile on High</t>
  </si>
  <si>
    <t>BX6vdG</t>
  </si>
  <si>
    <t>4d5d4316c1be6cb41eda7062ddba54bd85d8b9cac30388ab732abff3cd2e6ccf</t>
  </si>
  <si>
    <t>300 Carpenter St</t>
  </si>
  <si>
    <t>300 Carpenter St, Providence, RI 02909</t>
  </si>
  <si>
    <t>Rhode Island</t>
  </si>
  <si>
    <t>RI</t>
  </si>
  <si>
    <t>Providence County</t>
  </si>
  <si>
    <t>Providence</t>
  </si>
  <si>
    <t>02909</t>
  </si>
  <si>
    <t>Federal Hill</t>
  </si>
  <si>
    <t>GlPL7G</t>
  </si>
  <si>
    <t>a2a2044ac5915865bfd057388c508ad755f12258d535c0124a273f6165555e93</t>
  </si>
  <si>
    <t>34 St. Martin Drive</t>
  </si>
  <si>
    <t>34 St Martin Dr, Marlborough, MA 01752</t>
  </si>
  <si>
    <t>RNevZB</t>
  </si>
  <si>
    <t>ca56a87b7c87c36c473805670db13d356f9d48bc76a328a967421c636d3ed798</t>
  </si>
  <si>
    <t>474 Main Street</t>
  </si>
  <si>
    <t>474 Main St, Worcester, MA 01608</t>
  </si>
  <si>
    <t>Worcester</t>
  </si>
  <si>
    <t>01608</t>
  </si>
  <si>
    <t>B72Ovw</t>
  </si>
  <si>
    <t>cf7aecabdef1643ec956562953515f1f220d4df93aee1ecf1f79a8d5bbf26fce</t>
  </si>
  <si>
    <t>5 Central Street</t>
  </si>
  <si>
    <t>5 Central St, Providence, RI 02907</t>
  </si>
  <si>
    <t>02907</t>
  </si>
  <si>
    <t>Upper South Providence</t>
  </si>
  <si>
    <t>GrvJ1G</t>
  </si>
  <si>
    <t>1649c5ecf78c855422f5ec48d2f2a8f49000eb1b20b3969524ab65eca3c42df3</t>
  </si>
  <si>
    <t>5 Landmark Square</t>
  </si>
  <si>
    <t>5 Landmark Square, Stamford, Connecticut 06901</t>
  </si>
  <si>
    <t>06901</t>
  </si>
  <si>
    <t>GZq0gR</t>
  </si>
  <si>
    <t>841ce8244d9a14816d71a5d4357d7508b39ee688f1580011a8df4984c883bc26</t>
  </si>
  <si>
    <t>960 Main Street</t>
  </si>
  <si>
    <t>960 Main St, Hartford, Connecticut 06103</t>
  </si>
  <si>
    <t>Hartford</t>
  </si>
  <si>
    <t>06103</t>
  </si>
  <si>
    <t>Department Store Historic District</t>
  </si>
  <si>
    <t>Downtown Hartford</t>
  </si>
  <si>
    <t>RvPyyw</t>
  </si>
  <si>
    <t>6f13eca40063c48851ff23c56869b1f11e6ab4722364fae56e939e3a9e897f05</t>
  </si>
  <si>
    <t>Crusoe</t>
  </si>
  <si>
    <t>Project Goodnight</t>
  </si>
  <si>
    <t xml:space="preserve"> 10001 Lima Rd, Claude, TX 79019</t>
  </si>
  <si>
    <t>79019</t>
  </si>
  <si>
    <t>w9DXgG</t>
  </si>
  <si>
    <t>ce276bf8407642b17bf80f22f1c10869c59722013fd10427772cf4ba005a3c6d</t>
  </si>
  <si>
    <t>Project Jade</t>
  </si>
  <si>
    <t>Wyoming</t>
  </si>
  <si>
    <t>WY</t>
  </si>
  <si>
    <t>Laramie</t>
  </si>
  <si>
    <t>BAgA6G</t>
  </si>
  <si>
    <t>718cf1cd6ff272a1c79e5af8253ab346456f111e1bee52eb90d9031246c23f5b</t>
  </si>
  <si>
    <t>Stargate Site 1 (Abilene Clean Campus)</t>
  </si>
  <si>
    <t>5502 Spinks Rd, Abilene, TX 79601</t>
  </si>
  <si>
    <t>Taylor County</t>
  </si>
  <si>
    <t>Abilene</t>
  </si>
  <si>
    <t>G6nb1G</t>
  </si>
  <si>
    <t>ac0f0a744af14984a9c2e7c1b77c5dc0f49c0235293d2cf780e7d809cb61f1e0</t>
  </si>
  <si>
    <t>CSX Corporation</t>
  </si>
  <si>
    <t>ColoCSX</t>
  </si>
  <si>
    <t>6425 Southpoint Pkwy, Jacksonville, FL 32216, USA</t>
  </si>
  <si>
    <t>32216</t>
  </si>
  <si>
    <t>Southpoint</t>
  </si>
  <si>
    <t>B13V6G</t>
  </si>
  <si>
    <t>457063b5421f35e648e5363e1dc8823a8663894d2f152c0ab998f7d8491584a6</t>
  </si>
  <si>
    <t>CyberOne Data</t>
  </si>
  <si>
    <t>141 Market Ave, Port Edwards, WI 54469, USA</t>
  </si>
  <si>
    <t>Port Edwards</t>
  </si>
  <si>
    <t>54469</t>
  </si>
  <si>
    <t>R2LZLw</t>
  </si>
  <si>
    <t>cb5814dede2782a58c2ce88a36b150b8a3fbc8dc0789c778697f5896f8ab5b88</t>
  </si>
  <si>
    <t>CyrusOne</t>
  </si>
  <si>
    <t>ABX-1</t>
  </si>
  <si>
    <t>21529 Beaumeade Cir, Ashburn, VA 20147</t>
  </si>
  <si>
    <t>Bg0a6R</t>
  </si>
  <si>
    <t>5dbb661af50fd17d6b208fdaeb0c84a6f7c742e6de717f66fc328bc3fadeca04</t>
  </si>
  <si>
    <t>AUS2</t>
  </si>
  <si>
    <t>7301 Metropolis Drive, Bldg #6 Austin, Texas 78744, USA</t>
  </si>
  <si>
    <t>78744</t>
  </si>
  <si>
    <t>lR8v9w</t>
  </si>
  <si>
    <t>dfbe1ef5cde8f0999c6dc95090002ecf1c0d75240c4a85be7be501c3b8f51b80</t>
  </si>
  <si>
    <t>Austin III</t>
  </si>
  <si>
    <t>7100 Metropolis Drive Austin, Texas 78744, USA</t>
  </si>
  <si>
    <t>DGnrnG</t>
  </si>
  <si>
    <t>055b5d6bd0dcc9a0e3bb529b5d3e8b27953bfda4fdd105e2980cf09237755e19</t>
  </si>
  <si>
    <t>CHI1</t>
  </si>
  <si>
    <t>2905 Diehl Road, Aurora, IL 60502</t>
  </si>
  <si>
    <t>60502</t>
  </si>
  <si>
    <t>Aurora Township</t>
  </si>
  <si>
    <t>pGDO4R</t>
  </si>
  <si>
    <t>20345a940514d5ba5ae153bb851440a4d961b50ea851b5dd4134582f5d017022</t>
  </si>
  <si>
    <t>CHI2</t>
  </si>
  <si>
    <t>2805 Diehl Road, Aurora, IL 60502</t>
  </si>
  <si>
    <t>2RpDDR</t>
  </si>
  <si>
    <t>00ecb8f340da29aad3bcbc2e4f5b118b11a4ba8f761ee4cc8cbc393a37857e12</t>
  </si>
  <si>
    <t>CHI5</t>
  </si>
  <si>
    <t>1850 Springer Dr, Lombard, IL 60148, USA</t>
  </si>
  <si>
    <t>Lombard</t>
  </si>
  <si>
    <t>60148</t>
  </si>
  <si>
    <t>Bg0m0R</t>
  </si>
  <si>
    <t>fcad181ff594dcb077a1dd4fd8a8401506150c0d710be9a9c5371ad39aeb2f8f</t>
  </si>
  <si>
    <t>CIN2 (7th Street)</t>
  </si>
  <si>
    <t>229 West 7th St. Cincinnati, OH 45202</t>
  </si>
  <si>
    <t>Cincinnati</t>
  </si>
  <si>
    <t>45202</t>
  </si>
  <si>
    <t>Betts-Longworth Historic District</t>
  </si>
  <si>
    <t>West End</t>
  </si>
  <si>
    <t>zwO3gw</t>
  </si>
  <si>
    <t>1e2d3b85ae55230e2c06fa9c2211da4cf2927cf6f2d9044e623f95082ee2a4d9</t>
  </si>
  <si>
    <t>CIN3 (Mason)</t>
  </si>
  <si>
    <t>4800 Parkway Dr. Mason, OH 45040</t>
  </si>
  <si>
    <t>Warren County</t>
  </si>
  <si>
    <t>Deerfield</t>
  </si>
  <si>
    <t>45040</t>
  </si>
  <si>
    <t>Deerfield Township</t>
  </si>
  <si>
    <t>Governor’s Pointe Office Park</t>
  </si>
  <si>
    <t>DBAvAR</t>
  </si>
  <si>
    <t>45f6977aeff71116b8c3faef3912b31f935cc074a2068e99ddc13e269039e0f0</t>
  </si>
  <si>
    <t>CIN4 (Hamilton)</t>
  </si>
  <si>
    <t>103 Knightsbridge Drive Hamilton, OH 45011</t>
  </si>
  <si>
    <t>Butler County</t>
  </si>
  <si>
    <t>Hamilton</t>
  </si>
  <si>
    <t>45011</t>
  </si>
  <si>
    <t>RYMkNR</t>
  </si>
  <si>
    <t>987570945ee798f1c143d367367829beffe2a97891e9e1b5da637a2bad3ae7cf</t>
  </si>
  <si>
    <t>CIN6</t>
  </si>
  <si>
    <t>7190-7200 Industrial Road Florence, KY 41042</t>
  </si>
  <si>
    <t>Boone County</t>
  </si>
  <si>
    <t>Florence</t>
  </si>
  <si>
    <t>41042</t>
  </si>
  <si>
    <t>qGLnoB</t>
  </si>
  <si>
    <t>6d030d09dd93439a909d51f6a3db8821c07a6dffdc45535c4f6609e697c01b77</t>
  </si>
  <si>
    <t>CIN97 (Blue Ash)</t>
  </si>
  <si>
    <t>4600 McAuley Place, 4th Floor Cincinnati, OH 45242</t>
  </si>
  <si>
    <t>Blue Ash</t>
  </si>
  <si>
    <t>45242</t>
  </si>
  <si>
    <t>w9q7Ew</t>
  </si>
  <si>
    <t>4a0c53349bcabd201ad97d854e6b5701003d7b59a47c3995d0dd31b71481243f</t>
  </si>
  <si>
    <t>CyrusOne CHI3 (Aurora 3)</t>
  </si>
  <si>
    <t>2725 Bilter Rd, Aurora, IL 60502</t>
  </si>
  <si>
    <t>BJv3oB</t>
  </si>
  <si>
    <t>eda5b4e4cbf98591e359f20f5dc2091f40d50369d6ab0cd9f1586b233374e994</t>
  </si>
  <si>
    <t>CyrusOne COL1</t>
  </si>
  <si>
    <t>12181 Jug St, Johnstown, OH 43031, USA</t>
  </si>
  <si>
    <t>wV6zOw</t>
  </si>
  <si>
    <t>1c1450775e2a8805cd2ede0f5ad27deb3bb8623a3e9bb9d5cd5daaecf7fad7ab</t>
  </si>
  <si>
    <t>CyrusOne Lebanon (CIN5 &amp; CIN7)</t>
  </si>
  <si>
    <t>401 Kingsview Dr Lebanon, OH 45036</t>
  </si>
  <si>
    <t>Lebanon</t>
  </si>
  <si>
    <t>45065</t>
  </si>
  <si>
    <t>mG3vyR</t>
  </si>
  <si>
    <t>bb8d7077b78b8907279e75b3d30affe81d7f7e7bb5b48ae460f223b09f8327ea</t>
  </si>
  <si>
    <t>CyrusOne Wood Dale (CHI6)</t>
  </si>
  <si>
    <t>Bryn Mawr Ave &amp; Pine Ave 60106 Wood Dale Illinois, USA</t>
  </si>
  <si>
    <t>Bensenville</t>
  </si>
  <si>
    <t>60106</t>
  </si>
  <si>
    <t>Addison Township</t>
  </si>
  <si>
    <t>woWbxw</t>
  </si>
  <si>
    <t>5fb450706c947cedd885d2a4742cbe40ef1fbf1236fba0dd3bd1e6439c01330f</t>
  </si>
  <si>
    <t>CyrusOne Yorkville</t>
  </si>
  <si>
    <t>2622 Beecher Road Yorkville, Illinois 60560 (Land 2 Adress)</t>
  </si>
  <si>
    <t>Kendall County</t>
  </si>
  <si>
    <t>Yorkville</t>
  </si>
  <si>
    <t>60560</t>
  </si>
  <si>
    <t>Bristol Township</t>
  </si>
  <si>
    <t>wVqvoG</t>
  </si>
  <si>
    <t>2cf449e3db65ebdbcc2319b3e4520e2e078b72523d5cbf04fe1419e727fe0341</t>
  </si>
  <si>
    <t>DFW I</t>
  </si>
  <si>
    <t>1649 West Frankford Rd. Carrollton, Texas 75007, USA</t>
  </si>
  <si>
    <t>Carrollton</t>
  </si>
  <si>
    <t>75007</t>
  </si>
  <si>
    <t>qBJDNG</t>
  </si>
  <si>
    <t>8b2f29bc4d932f566ebeae347005577b14f5261b1bc22380692e8e477d0bbd9b</t>
  </si>
  <si>
    <t>DFW10</t>
  </si>
  <si>
    <t>557 County Rd 3610A, Whitney, TX 76692</t>
  </si>
  <si>
    <t>Bosque County</t>
  </si>
  <si>
    <t>76644</t>
  </si>
  <si>
    <t>Bosque Energy Center</t>
  </si>
  <si>
    <t>BE1krB</t>
  </si>
  <si>
    <t>a66c6e2049de3deb066c7023a04e136ef20798cbd01790f69d0dd2b6c11f2366</t>
  </si>
  <si>
    <t>DFW3-DFW5</t>
  </si>
  <si>
    <t>2300 Chelsea Boulevard, Allen, Texas 75013, USA</t>
  </si>
  <si>
    <t>GkYXWB</t>
  </si>
  <si>
    <t>4a7a44e4ce33e8de9c3eb78cbd83da406484fa628280a051322764629152b469</t>
  </si>
  <si>
    <t>DFW6</t>
  </si>
  <si>
    <t>1510 Lookout Dr. Richardson, TX 75082</t>
  </si>
  <si>
    <t>RN8WLw</t>
  </si>
  <si>
    <t>12b6f0d31b6b2f9261b8b8dc70f8e4ef22f26eb6cea0ca4c7ada859470a28b88</t>
  </si>
  <si>
    <t>DFW7</t>
  </si>
  <si>
    <t>1 Asphalt Dr. Fort Worth, TX 76179</t>
  </si>
  <si>
    <t>Lake Country</t>
  </si>
  <si>
    <t>weJq4B</t>
  </si>
  <si>
    <t>48be2a0f8ce1d5364f9b2cb03675c5eaf8a5ba80bbfa5c22f639135dc29a64f7</t>
  </si>
  <si>
    <t>DUR1</t>
  </si>
  <si>
    <t>2223 NE Creek Pkwy, Durham, NC 27713</t>
  </si>
  <si>
    <t>27713</t>
  </si>
  <si>
    <t>yGllrG</t>
  </si>
  <si>
    <t>e23810419a6d277623984c7ae78a12187941d231ffad8f8171fa0cc53898686c</t>
  </si>
  <si>
    <t>Manor</t>
  </si>
  <si>
    <t>78653</t>
  </si>
  <si>
    <t>Walter e Long Lake</t>
  </si>
  <si>
    <t>wMAeqw</t>
  </si>
  <si>
    <t>21e53e7c6fdfa2286d2d96be06843dbf4c7ae368a1780fa8a9b7b7097e598bfd</t>
  </si>
  <si>
    <t>Mesa Campus</t>
  </si>
  <si>
    <t>RKv5zB</t>
  </si>
  <si>
    <t>9153a472f1df341a3e3ef0c76ba12044c3184519089923784b4e392a90cfd277</t>
  </si>
  <si>
    <t>NVA1-NVA3</t>
  </si>
  <si>
    <t>21111 Ridgetop Circle Sterling, VA 20166</t>
  </si>
  <si>
    <t>QBb9rw</t>
  </si>
  <si>
    <t>331db61a6e6195e8a5d4f726b477f7565880e9c9d96263908ae818d77fdf12f9</t>
  </si>
  <si>
    <t>NVA4</t>
  </si>
  <si>
    <t>22811 International Drive Sterling, VA 20116</t>
  </si>
  <si>
    <t>dGZ2nG</t>
  </si>
  <si>
    <t>6b5d49225804344b396f4cfaf13e13ef1ba9b1d6830d9bac256a7f8105c61616</t>
  </si>
  <si>
    <t>NVA5-NVA7</t>
  </si>
  <si>
    <t>21350 Pacific Blvd, Sterling, VA 20166</t>
  </si>
  <si>
    <t>Gz3rDw</t>
  </si>
  <si>
    <t>908ed96cb155c28433b94329d0215357a44cfc6a8bfff9b446b5f99e01bca2c3</t>
  </si>
  <si>
    <t>NVA8</t>
  </si>
  <si>
    <t>45905 Maries Rd, Sterling, VA 20166</t>
  </si>
  <si>
    <t>BPvv8G</t>
  </si>
  <si>
    <t>9c9248ca5e161febca01023cd7cfd7c597f88a47d125d6fadd6200c5516b9134</t>
  </si>
  <si>
    <t>NVA9</t>
  </si>
  <si>
    <t>43290 Old Ox Rd, Sterling, VA 20166</t>
  </si>
  <si>
    <t>R8QxpG</t>
  </si>
  <si>
    <t>ab89af046991f18aa64f4db6df697bb898acfe973309f1fee16d53894358ab8f</t>
  </si>
  <si>
    <t>NY1</t>
  </si>
  <si>
    <t>800 Cottontail Ln. Somerset, NJ 08873</t>
  </si>
  <si>
    <t>Somerset</t>
  </si>
  <si>
    <t>08873</t>
  </si>
  <si>
    <t>qB1vMR</t>
  </si>
  <si>
    <t>73003f4692459cfdbf6701a063a22efb0cfef515fe6d4708f58cf297e12928d6</t>
  </si>
  <si>
    <t>NYM10</t>
  </si>
  <si>
    <t>10 Riverbend Dr S, Stamford CT 06907</t>
  </si>
  <si>
    <t>YBgmKG</t>
  </si>
  <si>
    <t>f539a5c39054058d313a83f0dd8693d3318bb0bd0e4058bb07c7e6ca0fd24fc1</t>
  </si>
  <si>
    <t>NYM2</t>
  </si>
  <si>
    <t>50 Madison Road Totowa, NJ 07512</t>
  </si>
  <si>
    <t>Passaic County</t>
  </si>
  <si>
    <t>Totowa</t>
  </si>
  <si>
    <t>07512</t>
  </si>
  <si>
    <t>JGmjVw</t>
  </si>
  <si>
    <t>4da871299f0c14fde3daa159bd905a057d7ac30f8ee53e86f80a10d0b394dd8c</t>
  </si>
  <si>
    <t>NYM5</t>
  </si>
  <si>
    <t>6 Norden Place Norwalk, CT 06855</t>
  </si>
  <si>
    <t>Fairfield County</t>
  </si>
  <si>
    <t>Norwalk</t>
  </si>
  <si>
    <t>4RKAqw</t>
  </si>
  <si>
    <t>e92d7edcc27db668108db795721b5ef3170db5c7b9288dd01c7594c5c6d81ff1</t>
  </si>
  <si>
    <t>NYM7</t>
  </si>
  <si>
    <t>155 Myers Corners Rd, Wappingers Falls, NY 12590</t>
  </si>
  <si>
    <t>Dutchess County</t>
  </si>
  <si>
    <t>Village of Wappingers Falls</t>
  </si>
  <si>
    <t>12590</t>
  </si>
  <si>
    <t>bGzP7B</t>
  </si>
  <si>
    <t>a948206d85ff1105d5ecc77c24c4cd38dd2880cdd04e6ed9b7bca9b9f66f7262</t>
  </si>
  <si>
    <t>OCB1-Omaha-Council Bluffs</t>
  </si>
  <si>
    <t>4700 Gifford Rd. Council Bluffs IA 51501</t>
  </si>
  <si>
    <t>Pottawattamie County</t>
  </si>
  <si>
    <t>Council Bluffs</t>
  </si>
  <si>
    <t>51501</t>
  </si>
  <si>
    <t>RKZdZB</t>
  </si>
  <si>
    <t>80d1c9eecd05ee8dbb5e72d1e8669258aa7c2775c3dd829d15f175d6eb0fb16a</t>
  </si>
  <si>
    <t>Phoenix Campus</t>
  </si>
  <si>
    <t>2335 S Ellis St, Chandler, AZ 85286</t>
  </si>
  <si>
    <t>Continuum</t>
  </si>
  <si>
    <t>jBEgoG</t>
  </si>
  <si>
    <t>11e1fe719e8d2e6c5784ed704ed44e746e39f21754919f6d74c4ceb413b5799c</t>
  </si>
  <si>
    <t>Quincy</t>
  </si>
  <si>
    <t>1025 D Street NW, Quincy, WA 98848</t>
  </si>
  <si>
    <t>Grant County</t>
  </si>
  <si>
    <t>98848</t>
  </si>
  <si>
    <t>4RKOVR</t>
  </si>
  <si>
    <t>981c398f0d326cfe339a660baf8bcd36b4946cb40ae11390f3edbf79be70e3b5</t>
  </si>
  <si>
    <t>San Antonio I</t>
  </si>
  <si>
    <t>9999 Westover Hills Blvd San Antonio, Texas 78251, USA</t>
  </si>
  <si>
    <t>78251</t>
  </si>
  <si>
    <t>Westover Hills</t>
  </si>
  <si>
    <t>PBPo4w</t>
  </si>
  <si>
    <t>f1e063c93a1740672f86e3f5ca01eedbbcc00f08a594622576956892b6a29aba</t>
  </si>
  <si>
    <t>San Antonio II-IV</t>
  </si>
  <si>
    <t>9554 Westover Hills Blvd, San Antonio, Texas 78251, USA</t>
  </si>
  <si>
    <t>DR4LAR</t>
  </si>
  <si>
    <t>22ac8020ce3811130521772eeb57d89d0ba74b9cb617c2677bdba6c7b023e15c</t>
  </si>
  <si>
    <t>San Antonio V-XI</t>
  </si>
  <si>
    <t>14719 Omicron Dr, San Antonio, Texas 78245, USA</t>
  </si>
  <si>
    <t>Gn4eQB</t>
  </si>
  <si>
    <t>8051b59cb4f846ba8fe975bef4647f0b0cc42213c2b4d887638aa60bd8eb403e</t>
  </si>
  <si>
    <t>2600 De La Cruz Blvd. Santa Clara, CA 95050</t>
  </si>
  <si>
    <t>GD9N1w</t>
  </si>
  <si>
    <t>0631046c67c00b77145efd466de4be39de7efc9893c3d52013d88661bb0879ae</t>
  </si>
  <si>
    <t>Sterling Campus</t>
  </si>
  <si>
    <t>Sterling, Virginia 20166</t>
  </si>
  <si>
    <t>Broadlands</t>
  </si>
  <si>
    <t>20148</t>
  </si>
  <si>
    <t>BELLyw</t>
  </si>
  <si>
    <t>d09a4ffe518c4897760b3ff756a49e51b3f4a4adc5c4255d69ddacea22a14e09</t>
  </si>
  <si>
    <t>Vint Hill Campus</t>
  </si>
  <si>
    <t>Cedar Run District, VA 20187</t>
  </si>
  <si>
    <t>20187</t>
  </si>
  <si>
    <t>wVq0oG</t>
  </si>
  <si>
    <t>421fe4d967af93e03492f33ddb3b590daa45dbdcdfd3cad5af8bc84d9e07f48a</t>
  </si>
  <si>
    <t>Dakota Carrier Network</t>
  </si>
  <si>
    <t>4202 Coleman St, Bismarck, ND 58503, USA</t>
  </si>
  <si>
    <t>58503</t>
  </si>
  <si>
    <t>R4JVVw</t>
  </si>
  <si>
    <t>d4875e4c349db2e08c0e03590bf884296ffcc66c421633e1cf67911451e528ff</t>
  </si>
  <si>
    <t>3901 Great Plains Dr S, Fargo, ND 58104, USA</t>
  </si>
  <si>
    <t>BPJDKG</t>
  </si>
  <si>
    <t>3222ef0082b7bfe3ec5b173ace648e9594bec095cc6daf7a7fedf26cde9b44fc</t>
  </si>
  <si>
    <t>DartPoints</t>
  </si>
  <si>
    <t>Asheville</t>
  </si>
  <si>
    <t>100 Technology Dr Ste C, Asheville, NC 28803, United States</t>
  </si>
  <si>
    <t>Buncombe County</t>
  </si>
  <si>
    <t>28803</t>
  </si>
  <si>
    <t>RvPprw</t>
  </si>
  <si>
    <t>907a2d0a7c7acba32b83a9ae1e76822941948faf5d9da53a2edcc1d74e8b908e</t>
  </si>
  <si>
    <t>Baton Rouge, LA1</t>
  </si>
  <si>
    <t>7127 Florida Blvd, Baton Rouge, LA 70806, USA</t>
  </si>
  <si>
    <t>East Baton Rouge Parish</t>
  </si>
  <si>
    <t>Baton Rouge</t>
  </si>
  <si>
    <t>70806</t>
  </si>
  <si>
    <t>GLo6NR</t>
  </si>
  <si>
    <t>bb6c2be523d977aeced77ca0c6c0f2199f9ce5bdb35b44e896233e813f86284a</t>
  </si>
  <si>
    <t>Baton Rouge, LA2</t>
  </si>
  <si>
    <t>7127 Florida Blvd, Baton Rouge, LA 70806, United States</t>
  </si>
  <si>
    <t>GDLE5G</t>
  </si>
  <si>
    <t>16b7734563044a9c8c8b9ed9052e6fb367c4988b68f65d8271d03a0844446b98</t>
  </si>
  <si>
    <t>Cincinnati, OH</t>
  </si>
  <si>
    <t>302 West Third St, Suite 400 Cincinnati, OH 45202</t>
  </si>
  <si>
    <t>West Fourth Street Historic District</t>
  </si>
  <si>
    <t>GyPKOR</t>
  </si>
  <si>
    <t>3988414a3908b7a84278bef5f12696a14012008085f9c50392d94cd21cd1220c</t>
  </si>
  <si>
    <t>Colombus</t>
  </si>
  <si>
    <t>2425 Technology Blvd, Columbus, IN 47201, USA</t>
  </si>
  <si>
    <t>Bartholomew County</t>
  </si>
  <si>
    <t>GrVq5G</t>
  </si>
  <si>
    <t>d10d1c0ba9e5648cc229c8e959ffb165025881de680fb89023e5035be2c9c532</t>
  </si>
  <si>
    <t>Columbia</t>
  </si>
  <si>
    <t>1000 Catawba St #180, Columbia, SC 29201</t>
  </si>
  <si>
    <t>Richland County</t>
  </si>
  <si>
    <t>29201</t>
  </si>
  <si>
    <t>Hollywood</t>
  </si>
  <si>
    <t>w9EN0w</t>
  </si>
  <si>
    <t>cb976492fccbbff2724f2189107e4f5a171d1f787d344da29f873a9716b1fc11</t>
  </si>
  <si>
    <t>Dartpoint CMH01</t>
  </si>
  <si>
    <t>565 Metro Pl S #300 Dublin, Ohio 43017</t>
  </si>
  <si>
    <t>43017</t>
  </si>
  <si>
    <t>w534aR</t>
  </si>
  <si>
    <t>1466658c385e7ae4e2ba709143a95c45cff2418b514a5cae434cedcb1620cccf</t>
  </si>
  <si>
    <t>Eastgate Cincinnati</t>
  </si>
  <si>
    <t>4270 Ivy Pointe Blvd Cincinnati, OH 45245</t>
  </si>
  <si>
    <t>Clermont County</t>
  </si>
  <si>
    <t>Union</t>
  </si>
  <si>
    <t>Union Township</t>
  </si>
  <si>
    <t>RQLPjB</t>
  </si>
  <si>
    <t>522c5e963fca92908a88e4807bcf13025030a8f368f73c20cf441b5cd4f39e5d</t>
  </si>
  <si>
    <t>Greenville</t>
  </si>
  <si>
    <t>78 Global Dr #100, Greenville, SC 29607, USA</t>
  </si>
  <si>
    <t>Greenville County</t>
  </si>
  <si>
    <t>29607</t>
  </si>
  <si>
    <t>RYqdmR</t>
  </si>
  <si>
    <t>924d335d07ce13a26674bbbd3f6d4452a9d762cfbbf488094de4523b14d69a17</t>
  </si>
  <si>
    <t>North Charleston</t>
  </si>
  <si>
    <t>8480 Palmetto Commerce Pkwy, Ladson, SC 29456</t>
  </si>
  <si>
    <t>Charleston County</t>
  </si>
  <si>
    <t>29456</t>
  </si>
  <si>
    <t>RxP7dR</t>
  </si>
  <si>
    <t>bf47afad982542967e7e0540cfd0cc0893c31e7d4b8e7c877b12c1b06bbb9d02</t>
  </si>
  <si>
    <t>Shreveport</t>
  </si>
  <si>
    <t>601 Milam St, Shreveport, LA 71101</t>
  </si>
  <si>
    <t>Caddo Parish</t>
  </si>
  <si>
    <t>71101</t>
  </si>
  <si>
    <t>GZqmvR</t>
  </si>
  <si>
    <t>dbeadfec28176d1ff49b534f42810175ccf723e40ed788c68245193f6ff2abf0</t>
  </si>
  <si>
    <t>Spartanburg</t>
  </si>
  <si>
    <t>5700 N Blackstock Rd, Spartanburg, SC 29303</t>
  </si>
  <si>
    <t>Spartanburg County</t>
  </si>
  <si>
    <t>29303</t>
  </si>
  <si>
    <t>wMrknB</t>
  </si>
  <si>
    <t>99db1f4183d3b6641888a80ac169b7bcdcbfc53f50a10378c0405ac15d19ec43</t>
  </si>
  <si>
    <t>DāSTOR</t>
  </si>
  <si>
    <t>1201 North Market Street – Wilmington, DE</t>
  </si>
  <si>
    <t>1201 N Market St, Wilmington, DE 19801</t>
  </si>
  <si>
    <t>Delaware</t>
  </si>
  <si>
    <t>DE</t>
  </si>
  <si>
    <t>New Castle County</t>
  </si>
  <si>
    <t>Wilmington</t>
  </si>
  <si>
    <t>19801</t>
  </si>
  <si>
    <t>Midtown Brandywine</t>
  </si>
  <si>
    <t>GDoZYR</t>
  </si>
  <si>
    <t>687373d6b1322fee4df9c9184fc373f82e71316f8c45353f2d09813a8b7e5982</t>
  </si>
  <si>
    <t>3 Boulden Circle – New Castle, DE</t>
  </si>
  <si>
    <t>3 Boulden Cir, New Castle, DE 19720</t>
  </si>
  <si>
    <t>New Castle</t>
  </si>
  <si>
    <t>19720.0</t>
  </si>
  <si>
    <t>BAQzMB</t>
  </si>
  <si>
    <t>31560840018bf70c52920504cdb75938db1a27100e8f1f928f37e5d5c23f69a4</t>
  </si>
  <si>
    <t>3400 Horizon Drive – King of Prussia, Pennsylvania</t>
  </si>
  <si>
    <t>3400 Horizon Dr, King of Prussia, PA 19406</t>
  </si>
  <si>
    <t>Montgomery County</t>
  </si>
  <si>
    <t>King of Prussia</t>
  </si>
  <si>
    <t>19406</t>
  </si>
  <si>
    <t>Upper Merion Township</t>
  </si>
  <si>
    <t>RjWyEG</t>
  </si>
  <si>
    <t>1829ab988767735562bbe2abcad97c6c4abaaa470540b852ddd57764b8617b58</t>
  </si>
  <si>
    <t>411 Swedeland Road – King of Prussia, Pennsylvania</t>
  </si>
  <si>
    <t>411 Swedeland Rd, King of Prussia, PA 19406</t>
  </si>
  <si>
    <t>Conshohocken</t>
  </si>
  <si>
    <t>19428</t>
  </si>
  <si>
    <t>R8Jo4w</t>
  </si>
  <si>
    <t>94a4783c38985e8f8ab46e0be20f0994a0ee16089eb4a1dde99159283812f009</t>
  </si>
  <si>
    <t>Data Canopy</t>
  </si>
  <si>
    <t>Newark Data Center</t>
  </si>
  <si>
    <t>650 Pencader Dr, Newark, DE 19702</t>
  </si>
  <si>
    <t>19702.0</t>
  </si>
  <si>
    <t>wOLKkB</t>
  </si>
  <si>
    <t>9f7054996419d0bc2824abeef72d0eb7448e5d427b707a14e2079e664a60523f</t>
  </si>
  <si>
    <t>San Francisco, CA</t>
  </si>
  <si>
    <t>630 3rd St, San Francisco, CA 94107</t>
  </si>
  <si>
    <t>San Francisco County</t>
  </si>
  <si>
    <t>San Francisco</t>
  </si>
  <si>
    <t>94107.0</t>
  </si>
  <si>
    <t>South of Market</t>
  </si>
  <si>
    <t>weXeDG</t>
  </si>
  <si>
    <t>8ca838a2d092d8ef770f4f91f8764d3268497e2312071b8243193ddd2bcc92a8</t>
  </si>
  <si>
    <t>Data Foundry</t>
  </si>
  <si>
    <t>Data Ranch</t>
  </si>
  <si>
    <t>4100 Smith School Rd Austin, TX 78744</t>
  </si>
  <si>
    <t>Martinshore</t>
  </si>
  <si>
    <t>Mckinney</t>
  </si>
  <si>
    <t>B7EWZG</t>
  </si>
  <si>
    <t>6bed539e23959b8846b1a34eaf199e88f836ba117c482f9b780f7f9e68c4fcfe</t>
  </si>
  <si>
    <t>Houston 1</t>
  </si>
  <si>
    <t>5555 San Felipe St, Houston, Texas 77056, USA</t>
  </si>
  <si>
    <t>77056</t>
  </si>
  <si>
    <t>Uptown</t>
  </si>
  <si>
    <t>Greater Uptown</t>
  </si>
  <si>
    <t>GlP4zG</t>
  </si>
  <si>
    <t>3749e1b8fc386bdac7f4a4ee356072afb9b93da731214f28ce13e6307c3ee021</t>
  </si>
  <si>
    <t>Houston 2</t>
  </si>
  <si>
    <t>660 Greens Pkwy, Houston, Texas 77067, USA</t>
  </si>
  <si>
    <t>77067</t>
  </si>
  <si>
    <t>BgA54G</t>
  </si>
  <si>
    <t>e1a1ef977e3cff3f5cd2d012c69b8c051e19b8efb68583cccdf683697dca2f9c</t>
  </si>
  <si>
    <t>Data Holdings</t>
  </si>
  <si>
    <t>3135 W Highland Blvd, Milwaukee, WI 53208, United States</t>
  </si>
  <si>
    <t>53208</t>
  </si>
  <si>
    <t>Concordia</t>
  </si>
  <si>
    <t>GL254B</t>
  </si>
  <si>
    <t>4e1d1392b81c3bfa11ce54c207cf4ddf03f98f9b076db9fbba824ecd1fd30857</t>
  </si>
  <si>
    <t>Data Journey</t>
  </si>
  <si>
    <t>2436 Penny Rd</t>
  </si>
  <si>
    <t>2436 Penny Rd, Claremont, NC 28610, USA</t>
  </si>
  <si>
    <t>Claremont</t>
  </si>
  <si>
    <t>28610</t>
  </si>
  <si>
    <t>RjWq8G</t>
  </si>
  <si>
    <t>940d4537a33099a4b410a2effbf9dbc994fb44f2dba62ca458e9676a8cba2b2f</t>
  </si>
  <si>
    <t>300 Jones Rd., Spartanburg, South Carolina 29307</t>
  </si>
  <si>
    <t>29307</t>
  </si>
  <si>
    <t>B13JVG</t>
  </si>
  <si>
    <t>03df3248cbef00c7ffbd3292c91d566acb15b514c0733ce5086df6f0270579e8</t>
  </si>
  <si>
    <t>Data Suites</t>
  </si>
  <si>
    <t>Murfreesboro</t>
  </si>
  <si>
    <t>1020 W College St, Murfreesboro, TN 37129, United States</t>
  </si>
  <si>
    <t>Rutherford County</t>
  </si>
  <si>
    <t>37129</t>
  </si>
  <si>
    <t>w53kER</t>
  </si>
  <si>
    <t>77e61f8320d793bc0c9993b5672b7d0c59127adb93fa09ba106d014db4b8d395</t>
  </si>
  <si>
    <t>DataBank</t>
  </si>
  <si>
    <t>(DEN4) Westminster</t>
  </si>
  <si>
    <t>7579 W 103rd Ave #4071, Westminster, Colorado 80021, USA</t>
  </si>
  <si>
    <t>wVM6bG</t>
  </si>
  <si>
    <t>a30b1c508d7a4fc073db4ada703602ce07559a92dd5d33a7e6ef9461c85d1283</t>
  </si>
  <si>
    <t>(MSP1)  West Twin Cities</t>
  </si>
  <si>
    <t xml:space="preserve"> 7700 France Ave S - Edina, MN 55435</t>
  </si>
  <si>
    <t>Edina</t>
  </si>
  <si>
    <t>55435</t>
  </si>
  <si>
    <t>Pentagon Park</t>
  </si>
  <si>
    <t>GdrZDB</t>
  </si>
  <si>
    <t>59362989011924a483ed79552b9d016e3ab8e05b1c1d08a4fe470f6d61335956</t>
  </si>
  <si>
    <t>(MSP2) East Twin Cities</t>
  </si>
  <si>
    <t xml:space="preserve"> 3255 Neil Armstrong Blvd - Eagan, MN 55121</t>
  </si>
  <si>
    <t>55121</t>
  </si>
  <si>
    <t>Nicols</t>
  </si>
  <si>
    <t>BEWd6G</t>
  </si>
  <si>
    <t>901afddc3db305a69782f3ee9a9345ecd01066ec4a80f3a09a89d1d33180fe7b</t>
  </si>
  <si>
    <t>(MSP3) Brooklyn Park</t>
  </si>
  <si>
    <t xml:space="preserve"> 8111 Oxbow Creek N - Brooklyn Park, MN 55445</t>
  </si>
  <si>
    <t>Brooklyn Park</t>
  </si>
  <si>
    <t>55445</t>
  </si>
  <si>
    <t>BX6oDG</t>
  </si>
  <si>
    <t>9bdb0eb461a754d047f306ac4bfcaed12b07cc1bde980bfc10b244d4c0dbf273</t>
  </si>
  <si>
    <t>(ORD2) Canal Street</t>
  </si>
  <si>
    <t>840 S Canal St, Chicago, IL 60607, United States</t>
  </si>
  <si>
    <t>BPbJpG</t>
  </si>
  <si>
    <t>6432dc7be1277971b2e35952953e0dac9c7a019fe0b5779db6618195d15bd5bf</t>
  </si>
  <si>
    <t>(ORD3) Mount Prospect</t>
  </si>
  <si>
    <t>800 E Business Center Dr, Mt Prospect, IL 60056, United States</t>
  </si>
  <si>
    <t>w9LE8G</t>
  </si>
  <si>
    <t>c439b143fedc853bdffa36e307d2ded16bb812aeb1eeb8642e223360f768ae2a</t>
  </si>
  <si>
    <t>(ORD4) Oak Brook</t>
  </si>
  <si>
    <t>1808 Swift Dr C, Oak Brook, IL 60523, United States</t>
  </si>
  <si>
    <t>Oak Brook</t>
  </si>
  <si>
    <t>60523</t>
  </si>
  <si>
    <t>York Township</t>
  </si>
  <si>
    <t>Gkp30w</t>
  </si>
  <si>
    <t>90b640b18f32bfe9b2bc38ddd553b79214d10d0aadf6e13bae31c6dc9bc42a83</t>
  </si>
  <si>
    <t>ACT1</t>
  </si>
  <si>
    <t>700 Austin Ave, Waco, Texas 76701, USA</t>
  </si>
  <si>
    <t>McLennan County</t>
  </si>
  <si>
    <t>Waco</t>
  </si>
  <si>
    <t>76701</t>
  </si>
  <si>
    <t>R8JmZw</t>
  </si>
  <si>
    <t>ebe60f321651b844fbe44b9e4538d2d893f41bac74398c8e7c367e3b616bb2fe</t>
  </si>
  <si>
    <t>760 W Peachtree St NW, Atlanta, GA</t>
  </si>
  <si>
    <t>30308</t>
  </si>
  <si>
    <t>Midtown</t>
  </si>
  <si>
    <t>G33zXG</t>
  </si>
  <si>
    <t>922e878adb531e84d05ebb509002f9d6dea268f3d443eecaa7f6874e247ced29</t>
  </si>
  <si>
    <t>ATL2 - Atlanta West End</t>
  </si>
  <si>
    <t>1100  White St SW, Atlanta, GA 30310, US</t>
  </si>
  <si>
    <t>30310</t>
  </si>
  <si>
    <t>GLPjQG</t>
  </si>
  <si>
    <t>98a527efbe1fca1c295e05afdfcc18ceb6ecd828ee5d5f720ebb18cf693eba7a</t>
  </si>
  <si>
    <t>ATL3 - Atlanta West End</t>
  </si>
  <si>
    <t>1150 White St SW, Atlanta, GA 30310, US</t>
  </si>
  <si>
    <t>RjJkzR</t>
  </si>
  <si>
    <t>e3a32d16e82c2c132f15f0ab60cebda2b222bde2cb093ee3cf2ee5a7f647be04</t>
  </si>
  <si>
    <t>ATL4</t>
  </si>
  <si>
    <t>200 Selig Dr SW Atlanta, GA 30336, US</t>
  </si>
  <si>
    <t>30336</t>
  </si>
  <si>
    <t>Gmx7JR</t>
  </si>
  <si>
    <t>f8db0dec018a282deef39b924a72e1123b0c16fc02b405ef822ec5163efb7454</t>
  </si>
  <si>
    <t>AUS1</t>
  </si>
  <si>
    <t>7218 McNeil Dr. Ste #300, Austin, Texas 78729, USA</t>
  </si>
  <si>
    <t>78729</t>
  </si>
  <si>
    <t>GlPWzG</t>
  </si>
  <si>
    <t>8b4418375b7bfe30dc6399d011c340af6dae82b8d1d9d7b71427b112d828f458</t>
  </si>
  <si>
    <t>Centennial Campus (DEN2 &amp; DEN5)</t>
  </si>
  <si>
    <t>6900 South Peoria Street - Centennial, CO 80112</t>
  </si>
  <si>
    <t>Gz7ydw</t>
  </si>
  <si>
    <t>74fd1418f3c0a3f5b7fbd884070f38f5e8fc5a653638fa8922dbb81a0dacac17</t>
  </si>
  <si>
    <t>CLE1</t>
  </si>
  <si>
    <t>Gk3bxG</t>
  </si>
  <si>
    <t>76c5c68ed838117a579e2a6bd4764b7bbb99560d41788381709663428e8fb223</t>
  </si>
  <si>
    <t>Culpeper Campus Data Center (IAD5)</t>
  </si>
  <si>
    <t>14601 Germanna Hwy, Culpeper, VA 22701</t>
  </si>
  <si>
    <t>RjJ3yR</t>
  </si>
  <si>
    <t>09efcac4824b6bcd9d40e4ee77b1e3f59c54a02211dc2f75519350777ac84170</t>
  </si>
  <si>
    <t>Culpeper Campus Data Center (IAD6)</t>
  </si>
  <si>
    <t>14601 Germanna Hwy - Culpeper, VA 22701</t>
  </si>
  <si>
    <t>Gm4kDR</t>
  </si>
  <si>
    <t>4b0f19475280157a9ea7e6e15e2faf091180927b2cdb138b9a864c8155d2b8e0</t>
  </si>
  <si>
    <t>DataBank EWR2</t>
  </si>
  <si>
    <t>25 Corporate Pl S, Piscataway, NJ 08854</t>
  </si>
  <si>
    <t>Piscataway</t>
  </si>
  <si>
    <t>BA7dQG</t>
  </si>
  <si>
    <t>281681e8346c26874c74bf5bd5a7674852c0d029382b401d7ca31375f6d31bb4</t>
  </si>
  <si>
    <t>DataBank IAD1</t>
  </si>
  <si>
    <t>21635 Red Rum Dr Suite 100, Ashburn, VA 20147, United States</t>
  </si>
  <si>
    <t>GrXVXB</t>
  </si>
  <si>
    <t>4abefb40bde28aa878e249f38e989e42b474c65d442d0a4fbc8cc0a468833d19</t>
  </si>
  <si>
    <t>DataBank IAD2</t>
  </si>
  <si>
    <t>1764A Old Meadow Lane, McLean, VA</t>
  </si>
  <si>
    <t>Gm5PJG</t>
  </si>
  <si>
    <t>4a3c458241bb74ed61a2e0effe178ee067afc6e5bfb5451ba016b84612e8f467</t>
  </si>
  <si>
    <t>DataBank IAD3</t>
  </si>
  <si>
    <t>21630 Red Rum Dr, Ashburn, VA 20147</t>
  </si>
  <si>
    <t>BblW0G</t>
  </si>
  <si>
    <t>4ee38fe2aacb63dc9054ce740e8c2e86c58c46f74153f2a43c1ce5c41ffe85e7</t>
  </si>
  <si>
    <t>DataBank IAD4</t>
  </si>
  <si>
    <t>21625 Red Rum Dr, Ashburn, VA 20147</t>
  </si>
  <si>
    <t>G336lG</t>
  </si>
  <si>
    <t>3de13221431742c5c5a405aeecd2a56a500dd940b0af1f4d40468f1250732fb2</t>
  </si>
  <si>
    <t>Databank MCI2</t>
  </si>
  <si>
    <t>10605 W. 84th Terrace - Overland Park, KS 66214</t>
  </si>
  <si>
    <t>Kansas</t>
  </si>
  <si>
    <t>KS</t>
  </si>
  <si>
    <t>Johnson County</t>
  </si>
  <si>
    <t>Overland Park</t>
  </si>
  <si>
    <t>66214</t>
  </si>
  <si>
    <t>Lenexa</t>
  </si>
  <si>
    <t>RQ3X5w</t>
  </si>
  <si>
    <t>e3794ddf2d430c775cd5340cefc0457e6fa3aa3a9c99b9f85dcc70d0b5511aaa</t>
  </si>
  <si>
    <t>Databank MCI3</t>
  </si>
  <si>
    <t>11200 Lakeview Avenue, Lenexa, KS. 66219</t>
  </si>
  <si>
    <t>66219</t>
  </si>
  <si>
    <t>Southlake Technology Park</t>
  </si>
  <si>
    <t>RxY44G</t>
  </si>
  <si>
    <t>ff0d133507f2c239f2062217f1c5cf54b3490a74427cff8d65c9137aa75f9515</t>
  </si>
  <si>
    <t>DataBank Orangeburg</t>
  </si>
  <si>
    <t>2000 Corporate Dr, Orangeburg, NY 10962</t>
  </si>
  <si>
    <t>R8VdVw</t>
  </si>
  <si>
    <t>07f0fc48c5267444f635fd4fec41cdd6c3c4cb6654f5a60a9be7c036a57b3b17</t>
  </si>
  <si>
    <t>DEN1-Englewood</t>
  </si>
  <si>
    <t>393 Inverness Pkwy STE 300, Englewood, Colorado 80112, USA</t>
  </si>
  <si>
    <t>G3pVkw</t>
  </si>
  <si>
    <t>dd028ef73be40dd6c95f5e79b4418814802e94fd2fd0e09ed712d3a1d7cd0513</t>
  </si>
  <si>
    <t>DFW1</t>
  </si>
  <si>
    <t>400 South Akard St, Dallas, Texas 75202, USA</t>
  </si>
  <si>
    <t>75202</t>
  </si>
  <si>
    <t>West End Historic District</t>
  </si>
  <si>
    <t>Downtown PID</t>
  </si>
  <si>
    <t>weXkVG</t>
  </si>
  <si>
    <t>bc485bd86a01affc316867ba6e89d9a149d79ba065d8b83009c694b2293dcc37</t>
  </si>
  <si>
    <t>DFW2</t>
  </si>
  <si>
    <t>904 Quality Way, Richardson, Texas 75081, USA</t>
  </si>
  <si>
    <t>Digital Realty</t>
  </si>
  <si>
    <t>GWM81B</t>
  </si>
  <si>
    <t>8cc8e245830b7ead503b96caa49c72b7192704d6d0530e15f68d1bb8e2035a7d</t>
  </si>
  <si>
    <t>DFW4</t>
  </si>
  <si>
    <t>1100 Empire Central Place, Dallas, Texas 75247, USA</t>
  </si>
  <si>
    <t>BJLdqG</t>
  </si>
  <si>
    <t>4479207cf36860d473383ba8c0fa3081714346a00741ace54808479c08cd2bd3</t>
  </si>
  <si>
    <t>DFW5</t>
  </si>
  <si>
    <t>1950 North Stemmons, Freeway Suite 1034, Dallas, Texas 75207, USA</t>
  </si>
  <si>
    <t>G3MdkB</t>
  </si>
  <si>
    <t>9c1c113843c9956504fb14b091f718884b2eda18e4fdced60df79928be94a5e7</t>
  </si>
  <si>
    <t>8600 Harry Hines Boulevard, Dallas, Texas 75207, USA</t>
  </si>
  <si>
    <t>75235</t>
  </si>
  <si>
    <t>woQxkR</t>
  </si>
  <si>
    <t>906c7c331b6cd102ce15bd26633119f4b9df267826e93f1fab7705e3df4fffd6</t>
  </si>
  <si>
    <t>6606 Lyndon B Johnson Freeway, Dallas, Texas 75240, USA</t>
  </si>
  <si>
    <t>75230</t>
  </si>
  <si>
    <t>wVVrbw</t>
  </si>
  <si>
    <t>8a5051c5123ab87d9c99f3a98c1e54a584d484cffae81d81ead967f5fd0d6d30</t>
  </si>
  <si>
    <t>Downtown Los Angeles (LAX1)</t>
  </si>
  <si>
    <t>624 S Grand Ave, Los Angeles, CA 90017</t>
  </si>
  <si>
    <t>GDrmbB</t>
  </si>
  <si>
    <t>6bf4e04e7684dbc88eeaed93426205b803d9e3cb09cdcb277cc69b7b299e5a46</t>
  </si>
  <si>
    <t>Granite Point Campus</t>
  </si>
  <si>
    <t xml:space="preserve"> 14944 S Pony Express Rd, Bluffdale, Utah 84065, USA</t>
  </si>
  <si>
    <t>Riverton</t>
  </si>
  <si>
    <t>84065</t>
  </si>
  <si>
    <t>BJrxWB</t>
  </si>
  <si>
    <t>1e04b1e658121f08710a34d1a372c51f169ae9d47d757298c45389342f3b52ce</t>
  </si>
  <si>
    <t>HOU2</t>
  </si>
  <si>
    <t>5170 Westway Park Blvd, Houston, Texas 77041, USA</t>
  </si>
  <si>
    <t>77041</t>
  </si>
  <si>
    <t>Westbranch</t>
  </si>
  <si>
    <t>6w9X0G</t>
  </si>
  <si>
    <t>9e01298cfb009da426fe3f40a16a50c392d13f333e49bffcdf7e686b05de0966</t>
  </si>
  <si>
    <t>HOU5</t>
  </si>
  <si>
    <t>4201 Southwest Freeway Houston, Texas 77027, USA</t>
  </si>
  <si>
    <t>77027</t>
  </si>
  <si>
    <t>gweb9B</t>
  </si>
  <si>
    <t>5fb43b7cce76cd5acbb877be52c7859ed572f33f64f0eee1570e2949ee6a4fae</t>
  </si>
  <si>
    <t>IND1</t>
  </si>
  <si>
    <t>731 W Henry St, Indianapolis, IN 46225, USA</t>
  </si>
  <si>
    <t>Marion County</t>
  </si>
  <si>
    <t>46225</t>
  </si>
  <si>
    <t>Center Township</t>
  </si>
  <si>
    <t>Pogue's Run</t>
  </si>
  <si>
    <t>R4Jd5w</t>
  </si>
  <si>
    <t>5462e9c2b8dfe995346994e1d3892c27ea385f4f1750d349b811e830b78b0835</t>
  </si>
  <si>
    <t>IND2</t>
  </si>
  <si>
    <t>650 W Henry St, Indianapolis, IN 46225, USA</t>
  </si>
  <si>
    <t>Old Southside</t>
  </si>
  <si>
    <t>Gk3y6G</t>
  </si>
  <si>
    <t>f3d479bbd3f2db8623ae3378ea3581aada9024a1d033ff3131f29a7f26fdaf63</t>
  </si>
  <si>
    <t>LAS1</t>
  </si>
  <si>
    <t>7185 Pollock Dr, Las Vegas, NV 89119, USA</t>
  </si>
  <si>
    <t>Las Vegas</t>
  </si>
  <si>
    <t>89119</t>
  </si>
  <si>
    <t>w53avR</t>
  </si>
  <si>
    <t>7bba141f4437c8122fbc576f6b0763c5d5fff046ba091dc1a7d461a9f7cb653f</t>
  </si>
  <si>
    <t>LGA1</t>
  </si>
  <si>
    <t>60 Hudson Street 60 Hudson St New York, NY 10013</t>
  </si>
  <si>
    <t>Bg0E6R</t>
  </si>
  <si>
    <t>677118714509c35c3bed8d61b58f0b4bbda6763d691d11a8faf400d7d572728b</t>
  </si>
  <si>
    <t>LGA2</t>
  </si>
  <si>
    <t>111 8th Ave, New York, NY 10011</t>
  </si>
  <si>
    <t>GrZKXG</t>
  </si>
  <si>
    <t>c6caebf372eb3bbde9d4f2cf4cb16e46b6fc6dd954da0087e9dd9417a926b48b</t>
  </si>
  <si>
    <t>Lithia Springs Campus</t>
  </si>
  <si>
    <t>4764 Bakers Ferry Rd. SW Atlanta, GA 30336</t>
  </si>
  <si>
    <t>G33vPG</t>
  </si>
  <si>
    <t>999f00475218e81276bd8d587925c76bb4ae1f2ac0832b5412208d8846e72b03</t>
  </si>
  <si>
    <t>Memphis Data Center</t>
  </si>
  <si>
    <t>7620 Appling Center Dr, Memphis, TN 38133, USA</t>
  </si>
  <si>
    <t>38133</t>
  </si>
  <si>
    <t>BA3NaG</t>
  </si>
  <si>
    <t>4ffce2336fde9b8062c4460a9a6ced176bf70878f8cc4c3b921ca7c976051ad0</t>
  </si>
  <si>
    <t>PIT1</t>
  </si>
  <si>
    <t>100 S Commons, Pittsburgh, PA 15212</t>
  </si>
  <si>
    <t>15212</t>
  </si>
  <si>
    <t>Allegheny Center</t>
  </si>
  <si>
    <t>RxPrLR</t>
  </si>
  <si>
    <t>814093e6aed598fdf063017f277944446165910f03af9f0279cd0b3e47fa76eb</t>
  </si>
  <si>
    <t>PIT2</t>
  </si>
  <si>
    <t>35 Summit Park Dr, Pittsburgh, PA 15275</t>
  </si>
  <si>
    <t>15275</t>
  </si>
  <si>
    <t>RIDC Park West</t>
  </si>
  <si>
    <t>RNeEdB</t>
  </si>
  <si>
    <t>9cee0c75a3d7f771e3f66bdc49f754d3199525886b54876275c974d42af944f7</t>
  </si>
  <si>
    <t>Plano Campus</t>
  </si>
  <si>
    <t>8375 Dominion Pkwy, Plano, Texas 75024, USA</t>
  </si>
  <si>
    <t>75024</t>
  </si>
  <si>
    <t>DataBank Plano Data Center</t>
  </si>
  <si>
    <t>BPvKpG</t>
  </si>
  <si>
    <t>1f4477e74b14d9ec33ef9355c77039827212c7efec571859bf3cbda796cd5188</t>
  </si>
  <si>
    <t>Red Oak Campus (DFW 9-16)</t>
  </si>
  <si>
    <t>1712 Stainback Rd. Red Oak, TX 75154</t>
  </si>
  <si>
    <t>B7Venw</t>
  </si>
  <si>
    <t>9f1738e44c4d20121323a5fc6af66fbd0534b8e79bb075bd7e74136d886bfe13</t>
  </si>
  <si>
    <t>SAN1</t>
  </si>
  <si>
    <t>12270 World Trade Drive Suite #100 San Diego, CA 92128</t>
  </si>
  <si>
    <t>92128</t>
  </si>
  <si>
    <t>Carmel Mountain Ranch</t>
  </si>
  <si>
    <t>RpqvqG</t>
  </si>
  <si>
    <t>d904288391ee1df84e51a9b9058a7070642664ad2d00c139fd2b4a5576cc380f</t>
  </si>
  <si>
    <t>SAN2</t>
  </si>
  <si>
    <t>9606 Aero Dr, San Diego, CA 92123</t>
  </si>
  <si>
    <t>BJL3rG</t>
  </si>
  <si>
    <t>b1b554d082a9027302e100b1eca773558f5b0d2a73e7e5efd9d5068ec821f2a0</t>
  </si>
  <si>
    <t>SLC1</t>
  </si>
  <si>
    <t xml:space="preserve"> 179 E Social Hall Ave Suite #200 - Salt Lake City, Utah 84111, USA</t>
  </si>
  <si>
    <t>Salt Lake City</t>
  </si>
  <si>
    <t>84111</t>
  </si>
  <si>
    <t>RxPDLR</t>
  </si>
  <si>
    <t>bad62ab4eb15b87d80f0b1341fbf4319d30333260e7100eb968e457739837b1e</t>
  </si>
  <si>
    <t>SNA1</t>
  </si>
  <si>
    <t>17222 Von Karman Ave, Irvine, CA 92606</t>
  </si>
  <si>
    <t>BA7lyG</t>
  </si>
  <si>
    <t>c0971b67de47dd2412e5e57c2a5faae883e0ada7d030ca111166807c47b1f656</t>
  </si>
  <si>
    <t>SNA2</t>
  </si>
  <si>
    <t>17400 Von Karman Ave, Irvine, CA 92614</t>
  </si>
  <si>
    <t>GneaoR</t>
  </si>
  <si>
    <t>bb1dd9a0b0e585fa425960c56cb6e54cbc3840d15c99bded5389176c382014f4</t>
  </si>
  <si>
    <t>5101 Lafayette Street Santa Clara, CA 95054</t>
  </si>
  <si>
    <t>95054-1010</t>
  </si>
  <si>
    <t>Renaissance</t>
  </si>
  <si>
    <t>GamdLG</t>
  </si>
  <si>
    <t>e9ffae8e19eb69697b960b002456a9fda6882f2b96f17094127674dc66fdf698</t>
  </si>
  <si>
    <t>Westway Park Campus</t>
  </si>
  <si>
    <t>5150 Westway Park Blvd, Houston, Texas 77041, USA</t>
  </si>
  <si>
    <t>dGWL0w</t>
  </si>
  <si>
    <t>3e7d58b8c95c50920a238d2e2b6d1fac81d9a500c72b431b33f1c0d66ce7a3df</t>
  </si>
  <si>
    <t>DataBridge Sites</t>
  </si>
  <si>
    <t>DataBridge Sites: Silver Spring Data Center</t>
  </si>
  <si>
    <t>12401 Prosperity Dr, Silver Spring, MD 20904</t>
  </si>
  <si>
    <t>Silver Spring</t>
  </si>
  <si>
    <t>20904</t>
  </si>
  <si>
    <t>Rolling Acres</t>
  </si>
  <si>
    <t>wOLaoB</t>
  </si>
  <si>
    <t>8a68ebf7528ba8c3300fa997f130d6b1dd3cdb3b11ad4b9d5c9a507c43c786b2</t>
  </si>
  <si>
    <t>Datacate</t>
  </si>
  <si>
    <t>Datacate Rancho Cordova</t>
  </si>
  <si>
    <t>2999 Gold Canal Dr, Rancho Cordova, CA 95670</t>
  </si>
  <si>
    <t>weXbgG</t>
  </si>
  <si>
    <t>94ac98e48ed40cf2dcd5d39f90a95bbcc0af1bd2d7b4f1ddae1b04e2a530f221</t>
  </si>
  <si>
    <t>DataCore Innovations</t>
  </si>
  <si>
    <t>Rumble Technology Campus</t>
  </si>
  <si>
    <t>Rumble Rd and I-75 Intersection</t>
  </si>
  <si>
    <t>31004</t>
  </si>
  <si>
    <t>Gz32pw</t>
  </si>
  <si>
    <t>103c10b93b12a6608c7863da7847ea23112b17ddafeeba00d2ed7ff01b449890</t>
  </si>
  <si>
    <t>DataHouse</t>
  </si>
  <si>
    <t>711 Kapiolani Blvd, Honolulu, Hawaii 96813, USA</t>
  </si>
  <si>
    <t>Honolulu County</t>
  </si>
  <si>
    <t>96813</t>
  </si>
  <si>
    <t>Kaka‘ako</t>
  </si>
  <si>
    <t>GlPknG</t>
  </si>
  <si>
    <t>996b9cc8e844cd772c0393864f61fa8d54fbf6c0f580f84e3df388ae14f4aad5</t>
  </si>
  <si>
    <t>DataNovaX</t>
  </si>
  <si>
    <t>Pioneer Park</t>
  </si>
  <si>
    <t>2236 Airport Drive, Wichita Falls, Texas 76306</t>
  </si>
  <si>
    <t>76306</t>
  </si>
  <si>
    <t>GrvYoG</t>
  </si>
  <si>
    <t>c67d98502596b98df409bf1c12e67259709fb897e0c72a80a916d0a8111b9ae7</t>
  </si>
  <si>
    <t>DataOne</t>
  </si>
  <si>
    <t>Nebius Data Center</t>
  </si>
  <si>
    <t>3963 S Lincoln Ave, Vineland, NJ 08361</t>
  </si>
  <si>
    <t>Vineland</t>
  </si>
  <si>
    <t>08361</t>
  </si>
  <si>
    <t>GWnp0R</t>
  </si>
  <si>
    <t>9cae8486ac44fc107ef90f101f678a0e03deb8fe2250fcf574ed90f628babf82</t>
  </si>
  <si>
    <t>dataprana</t>
  </si>
  <si>
    <t>La Marque</t>
  </si>
  <si>
    <t>FM 1764, La Marque, TX</t>
  </si>
  <si>
    <t>Galveston County</t>
  </si>
  <si>
    <t>Texas City</t>
  </si>
  <si>
    <t>77568</t>
  </si>
  <si>
    <t>R8maMG</t>
  </si>
  <si>
    <t>ff2e2db0a487c8225d13c3c061d551d039f85bd0dc2eeca3033c37afce3cf9c1</t>
  </si>
  <si>
    <t>DataVerge</t>
  </si>
  <si>
    <t>DataVerge Brooklyn</t>
  </si>
  <si>
    <t>882 3rd Avenue, 9th floor, Brooklyn, NY, USA</t>
  </si>
  <si>
    <t>Kings County</t>
  </si>
  <si>
    <t>11232</t>
  </si>
  <si>
    <t>Sunset Park</t>
  </si>
  <si>
    <t>B1AZ6B</t>
  </si>
  <si>
    <t>45012db165758c6b8be765bec06ee19e2edf7b30b0533ca1fa70dceca8740457</t>
  </si>
  <si>
    <t>DC Blox</t>
  </si>
  <si>
    <t>Atlanta East</t>
  </si>
  <si>
    <t>1726 Farmer Rd NW, Conyers, GA 30012, USA</t>
  </si>
  <si>
    <t>Rockdale County</t>
  </si>
  <si>
    <t>Lakeview Estates</t>
  </si>
  <si>
    <t>30012</t>
  </si>
  <si>
    <t>GdAVDw</t>
  </si>
  <si>
    <t>5e0e3d5036fe9e3cca205156e8d4e117ec3b6b61e10ea25245ca217cb2acb1b6</t>
  </si>
  <si>
    <t>Atlanta West</t>
  </si>
  <si>
    <t>1701 N River Rd, Douglasville, GA 30122, USA</t>
  </si>
  <si>
    <t>30366</t>
  </si>
  <si>
    <t>RKvAzB</t>
  </si>
  <si>
    <t>871c6575e5c280fd7388b9b210118af97f0324466bda86685a62fc151819637e</t>
  </si>
  <si>
    <t>Charleston North</t>
  </si>
  <si>
    <t>Camp Hall Blvd, Ridgeville, SC 29472, USA</t>
  </si>
  <si>
    <t>Berkeley</t>
  </si>
  <si>
    <t>weJb3B</t>
  </si>
  <si>
    <t>496e4a9243d6b9f3946474743eaf575e1c278f4683fe6b1600ca8fac7c3f274f</t>
  </si>
  <si>
    <t>Chattanooga</t>
  </si>
  <si>
    <t>807 East 16th Street, Chattanooga, Tennessee 37408</t>
  </si>
  <si>
    <t>37408</t>
  </si>
  <si>
    <t>RNQ8lB</t>
  </si>
  <si>
    <t>e609bca5606dada9505c2cd67908c6194301f3760afbcfd93e3265dcc03ac0fa</t>
  </si>
  <si>
    <t>DC Blox Birmingham</t>
  </si>
  <si>
    <t>433 6th Street South, Birmingham, Alabama 35233</t>
  </si>
  <si>
    <t>35205</t>
  </si>
  <si>
    <t>R0aZnG</t>
  </si>
  <si>
    <t>ff8f4fe0cf2d0a815d7abcee8fcbfeef3becd399cbdd5a024a1bb6c1a8c93380</t>
  </si>
  <si>
    <t>DC Blox Huntsville</t>
  </si>
  <si>
    <t>333 Diamond Drive NW, Huntsville, Alabama 35806</t>
  </si>
  <si>
    <t>Huntsville</t>
  </si>
  <si>
    <t>35806</t>
  </si>
  <si>
    <t>G6baxG</t>
  </si>
  <si>
    <t>405b572654eea52be7139a0603b409f1345837c45433df5699aac540dc6c4461</t>
  </si>
  <si>
    <t>Greenville, SC</t>
  </si>
  <si>
    <t>33 Global Dr, Greenville, SC 29607</t>
  </si>
  <si>
    <t>wMr5qB</t>
  </si>
  <si>
    <t>75ce97bd49a4567ed680d89e4a5b3687944841d8ccde664df0a60d7fe23f0c30</t>
  </si>
  <si>
    <t>High Point Data Center</t>
  </si>
  <si>
    <t xml:space="preserve"> 4133 Sheraton Ct Greensboro, NC 27410, USA</t>
  </si>
  <si>
    <t>27410</t>
  </si>
  <si>
    <t>RxPoeR</t>
  </si>
  <si>
    <t>8e481fa3a3f297bc5f336343bc81af2db1c8f58c09d9f14b2a4ecf8dd15d3ba8</t>
  </si>
  <si>
    <t>Huntsville 2</t>
  </si>
  <si>
    <t>35801</t>
  </si>
  <si>
    <t>BAQ1aB</t>
  </si>
  <si>
    <t>1a5fb0ca37596755c1627fc26349d936b184036a7396017987014a318e503586</t>
  </si>
  <si>
    <t>Montgomery (MGM1)</t>
  </si>
  <si>
    <t>7610 Bill Joseph Pkwy Hope Hull, AL 36043</t>
  </si>
  <si>
    <t>Montgomery</t>
  </si>
  <si>
    <t>36043</t>
  </si>
  <si>
    <t>GDL8YG</t>
  </si>
  <si>
    <t>bb0de2d40b8e98e7a7919c0b5f1eae93b0ebb050172021fc8ad86f596619982b</t>
  </si>
  <si>
    <t>Myrtle Beach Cable Landing Station</t>
  </si>
  <si>
    <t>1401 Howard Ave Myrtle Beach, South Carolina 29577</t>
  </si>
  <si>
    <t>Horry County</t>
  </si>
  <si>
    <t>Myrtle Beach</t>
  </si>
  <si>
    <t>29577</t>
  </si>
  <si>
    <t>Reserve</t>
  </si>
  <si>
    <t>RQLMaB</t>
  </si>
  <si>
    <t>4c1f992a955aad09574e6cfdc0af101138d157106822f8d33c886cf99de01270</t>
  </si>
  <si>
    <t>North Augusta</t>
  </si>
  <si>
    <t>Atomic Rd., North Augusta, SC</t>
  </si>
  <si>
    <t>Aiken County</t>
  </si>
  <si>
    <t>29841</t>
  </si>
  <si>
    <t>GnqjOR</t>
  </si>
  <si>
    <t>3aad524472eb294ccbdb64f342c7ee40bfb81bd5f43a83ee8af17c41db6c4146</t>
  </si>
  <si>
    <t>Palm Coast</t>
  </si>
  <si>
    <t>Town Center Blvd Palm Coast, FL 32164 USA</t>
  </si>
  <si>
    <t>Flagler County</t>
  </si>
  <si>
    <t>32164</t>
  </si>
  <si>
    <t>GnqAkR</t>
  </si>
  <si>
    <t>0415f446e1dbda63dad65be62ea680391b359371c198ef614ef1548bbf550a3d</t>
  </si>
  <si>
    <t>DCX USA</t>
  </si>
  <si>
    <t>GYR1</t>
  </si>
  <si>
    <t>16422 W Commerce Dr, Goodyear, AZ 85338, United States</t>
  </si>
  <si>
    <t>Goodyear Crossing Industrial Park</t>
  </si>
  <si>
    <t>w9qMKw</t>
  </si>
  <si>
    <t>18d110a8394a3c321a392fe2bbb7128e9fdaf3ac38b47c6ce943f43d748c96df</t>
  </si>
  <si>
    <t>Decennial Group</t>
  </si>
  <si>
    <t>Hammond</t>
  </si>
  <si>
    <t xml:space="preserve">301 Digital Crossorads DR, Hammond, IN 46320 </t>
  </si>
  <si>
    <t>46394</t>
  </si>
  <si>
    <t>RQ6b5G</t>
  </si>
  <si>
    <t>9e7e47993166d59696895df349e5a0d9c3a7bbbfe4539b16d0a3671e2b38ba8c</t>
  </si>
  <si>
    <t>Dedispec</t>
  </si>
  <si>
    <t>Berkeley Springs, West Virginia</t>
  </si>
  <si>
    <t>303 North Washington Street, Berkeley Springs, WV 25411</t>
  </si>
  <si>
    <t>Morgan County</t>
  </si>
  <si>
    <t>Bath</t>
  </si>
  <si>
    <t>25411</t>
  </si>
  <si>
    <t>w5VJZB</t>
  </si>
  <si>
    <t>dc70f39080d9a21def14cfd77723ee4d1b269ec59135812472ffd108b766d054</t>
  </si>
  <si>
    <t>Dell EMC</t>
  </si>
  <si>
    <t>4121 Surles Ct, Durham, NC 27703, United States</t>
  </si>
  <si>
    <t>Imperial Center</t>
  </si>
  <si>
    <t>Rp7ADB</t>
  </si>
  <si>
    <t>d5b347d133dc332d032b82e9d8692f79b547eadd07ac8e264a00b8a54d2bb754</t>
  </si>
  <si>
    <t>Department of Veteran Affairs</t>
  </si>
  <si>
    <t>Capital Region Readiness Center</t>
  </si>
  <si>
    <t>Self-build Public Sector</t>
  </si>
  <si>
    <t>70 Dusty Ln, Martinsburg, WV 25427</t>
  </si>
  <si>
    <t>Berkeley County</t>
  </si>
  <si>
    <t>Martinsburg</t>
  </si>
  <si>
    <t>25405</t>
  </si>
  <si>
    <t>w9D3QG</t>
  </si>
  <si>
    <t>c6e9c64e7172d58f68136a7581fdd0df64ce3d5fe1b80463fcddb5526d455c3f</t>
  </si>
  <si>
    <t>Digital Crossroad</t>
  </si>
  <si>
    <t>Indiana Data Center</t>
  </si>
  <si>
    <t>100 Digital Crossroad Drive, Hammond, IN 46320, United States</t>
  </si>
  <si>
    <t>46320</t>
  </si>
  <si>
    <t>RjmWyB</t>
  </si>
  <si>
    <t>0ef86a9acf956171fc6695996eccf1b3bdd20d0497d2ea74030b31bffc37880c</t>
  </si>
  <si>
    <t>Digital Fortress</t>
  </si>
  <si>
    <t>Chicago (CHI)</t>
  </si>
  <si>
    <t>360 E 22nd St. Lombard, IL 60148</t>
  </si>
  <si>
    <t>GLor4R</t>
  </si>
  <si>
    <t>e6e1a743e4e1f98cb93bbf21ccf7bc7ac95c0300b3e2b00be521e9252fe6d4be</t>
  </si>
  <si>
    <t>Downtown Seattle SEA</t>
  </si>
  <si>
    <t>3101 Western Ave, Seattle, WA 98121, United States</t>
  </si>
  <si>
    <t>Seattle</t>
  </si>
  <si>
    <t>98121</t>
  </si>
  <si>
    <t>Belltown</t>
  </si>
  <si>
    <t>BEWnXG</t>
  </si>
  <si>
    <t>41cf5a78775ba62e4cddc7fe4432a59d445ec08c91ee7b97e45f7ddd2bb6ca97</t>
  </si>
  <si>
    <t>North Seattle Data Center</t>
  </si>
  <si>
    <t>4200 194th St. SW Lynnwood, WA 98036</t>
  </si>
  <si>
    <t>G6ErnR</t>
  </si>
  <si>
    <t>a12ed6a4998bd60e48fe89af96bf9c1422d1d78b3128cbcf197bebaa8e87e951</t>
  </si>
  <si>
    <t>Piscataway, New Jersey</t>
  </si>
  <si>
    <t>201 Centennial Ave, Piscataway, NJ 08854</t>
  </si>
  <si>
    <t>08855</t>
  </si>
  <si>
    <t>GrV8gG</t>
  </si>
  <si>
    <t>b71533b35d8a823973961eb70ae683d490a455d02ccb99543a60599d11378a7d</t>
  </si>
  <si>
    <t>Portland Data Center 1</t>
  </si>
  <si>
    <t>511 SW 10th St. Suite 300 Portland, OR 97205, USA</t>
  </si>
  <si>
    <t>97240</t>
  </si>
  <si>
    <t>wMrOzB</t>
  </si>
  <si>
    <t>5fd73714f6fbf33172ed8d1ee635f4c7676aa76155019abdd0b6846d44124d04</t>
  </si>
  <si>
    <t>Portland Data Center 2</t>
  </si>
  <si>
    <t>9705 SW Sunshine Ct. Beaverton, OR 97005, USA</t>
  </si>
  <si>
    <t>Beaverton</t>
  </si>
  <si>
    <t>97005</t>
  </si>
  <si>
    <t>Denney Whitford/Raleigh West</t>
  </si>
  <si>
    <t>GrVa7G</t>
  </si>
  <si>
    <t>56ab6b4a9659093c4e17de1d354756f4d174069e3e5ebee85ee18e3a9d6042aa</t>
  </si>
  <si>
    <t>Portland Data Center 3</t>
  </si>
  <si>
    <t>9610 SW Sunshine Ct. Beaverton, OR 97005, USA</t>
  </si>
  <si>
    <t>G6E21R</t>
  </si>
  <si>
    <t>b5b79db8d5445144529337ce020e836baa54d5ae3cc8e007194a8e61f12d7f01</t>
  </si>
  <si>
    <t>10 Forsyth St NW</t>
  </si>
  <si>
    <t>10 Forsyth St NW, Atlanta, GA 30303, USA</t>
  </si>
  <si>
    <t>30303</t>
  </si>
  <si>
    <t>GzYpMR</t>
  </si>
  <si>
    <t>ce20e392c524d11b1609ca36504dd1f9b05c3d5a3ea82c56b35c52efcd2dd42f</t>
  </si>
  <si>
    <t>100 Delawanna Ave</t>
  </si>
  <si>
    <t>100 Delawanna Ave, Clifton, NJ, US</t>
  </si>
  <si>
    <t>Clifton</t>
  </si>
  <si>
    <t>07014</t>
  </si>
  <si>
    <t>2GdVbB</t>
  </si>
  <si>
    <t>288ddc0f53e9530a5b581622b414b8d86d9b1c08a2793f82df016984f0aec7b2</t>
  </si>
  <si>
    <t>105 Cabot Street</t>
  </si>
  <si>
    <t>105 Cabot Street, Needham, MA, US</t>
  </si>
  <si>
    <t>Norfolk County</t>
  </si>
  <si>
    <t>Needham</t>
  </si>
  <si>
    <t>02464</t>
  </si>
  <si>
    <t>Needham Heights</t>
  </si>
  <si>
    <t>PBP5nR</t>
  </si>
  <si>
    <t>5af87db3409d1c958dc5e16c77af34dc0282fd8f54ebcb64cf5e3272f861a98d</t>
  </si>
  <si>
    <t>1100 Space Park Drive</t>
  </si>
  <si>
    <t>1100 Space Park Drive, Santa Clara, CA, 95054, United States</t>
  </si>
  <si>
    <t>NwoZxG</t>
  </si>
  <si>
    <t>bae3dec435f2a58790f57badac7eaa021bc7cc82cedc13e8656023be514af031</t>
  </si>
  <si>
    <t>111 8th Avenue</t>
  </si>
  <si>
    <t>111 8th Avenue, New York, US</t>
  </si>
  <si>
    <t>dGZjoG</t>
  </si>
  <si>
    <t>c50ff8ab77b34373e25369309470fbe273c4168719252e014da8b44e74d8f8af</t>
  </si>
  <si>
    <t>113 North Myers St</t>
  </si>
  <si>
    <t>113 N Myers St, Charlotte, NC 28202, USA</t>
  </si>
  <si>
    <t>bBXgMw</t>
  </si>
  <si>
    <t>19434272753f00db48524d942f5a582b9acaa19c23dceb25495ceb2f8fe9b8d4</t>
  </si>
  <si>
    <t>125 N Myers Street</t>
  </si>
  <si>
    <t>125 N Myers St, Charlotte, NC 28202</t>
  </si>
  <si>
    <t>GlPkPG</t>
  </si>
  <si>
    <t>37ea425094bdcd08ef89425d29a849f0944767b8f8ed1f1ddf979c6c0ce82ab7</t>
  </si>
  <si>
    <t>128 First Avenue</t>
  </si>
  <si>
    <t>128 First Avenue, Needham, MA, US</t>
  </si>
  <si>
    <t>02494</t>
  </si>
  <si>
    <t>gweL4G</t>
  </si>
  <si>
    <t>2bed3e0f4a5e5975557bda14cac6744c13103344695d3b072da45cabd5826071</t>
  </si>
  <si>
    <t>12899 Moores Chapel Road</t>
  </si>
  <si>
    <t>12899 Moores Chapel Road, Charlotte, NC 28214</t>
  </si>
  <si>
    <t>28214</t>
  </si>
  <si>
    <t>BgJ6mw</t>
  </si>
  <si>
    <t>66015f53289ef97738e691b8f1171189370212c640afeae67e8fab26648faee9</t>
  </si>
  <si>
    <t>1500 Space Park Drive</t>
  </si>
  <si>
    <t>1500 Space Park Dr, Santa Clara, CA 95054</t>
  </si>
  <si>
    <t>YBqbvR</t>
  </si>
  <si>
    <t>b22292f4d089a0f595d25d3bd1a3e7fb7bde0ca6d1ef00f3db7db1968141b9be</t>
  </si>
  <si>
    <t>1525 Comstock Street</t>
  </si>
  <si>
    <t>1525 Comstock Street, Santa Clara, CA, 95054, United States</t>
  </si>
  <si>
    <t>Vw5M8w</t>
  </si>
  <si>
    <t>37d64ea348f2a68855117f125e5fd31a5bfe959c135f8f815c075f770b8ce9c3</t>
  </si>
  <si>
    <t>1725 Comstock Street</t>
  </si>
  <si>
    <t>1725 Comstock Street, Santa Clara, CA, 95054, United States</t>
  </si>
  <si>
    <t>gB77QB</t>
  </si>
  <si>
    <t>317c4bf3220e866fa8262a3401e94480f104061091ce8771825802f0054505c3</t>
  </si>
  <si>
    <t>2 Peekay Drive</t>
  </si>
  <si>
    <t>2 Peekay Drive, Clifton, New Jersey, US</t>
  </si>
  <si>
    <t>Vw5y3w</t>
  </si>
  <si>
    <t>484219f777cf9108decf836716643d4f592008b04b8f214a1f38c524bda7e83a</t>
  </si>
  <si>
    <t>200 Paul Avenue</t>
  </si>
  <si>
    <t>200 Paul Avenue, San Francisco, CA 94124</t>
  </si>
  <si>
    <t>94134</t>
  </si>
  <si>
    <t>w5zggB</t>
  </si>
  <si>
    <t>45b503dd0d7659b89a8513ebaa07966a7865629d10881f0193f0a94d645da8da</t>
  </si>
  <si>
    <t>2020 Fifth Avenue</t>
  </si>
  <si>
    <t>2020 Fifth Avenue, Seattle, Washington 98121, USA</t>
  </si>
  <si>
    <t>GrvvlG</t>
  </si>
  <si>
    <t>0d6c405891bb124d89c275e16aac8255a46cf13b7c96e512f5726962a479ed43</t>
  </si>
  <si>
    <t>2045 &amp; 2055 Lafayette Street</t>
  </si>
  <si>
    <t>2045 &amp; 2055 Lafayette Street, Santa Clara, CA</t>
  </si>
  <si>
    <t>95053</t>
  </si>
  <si>
    <t>B1AY6B</t>
  </si>
  <si>
    <t>8fad5ee08233f9be0240981137a0630f03597a2089f0d43ca657624ff2e4458d</t>
  </si>
  <si>
    <t>2055 East Technology Circle</t>
  </si>
  <si>
    <t>2055 East Technology, Phoenix, United States of America</t>
  </si>
  <si>
    <t>Tempe</t>
  </si>
  <si>
    <t>85284</t>
  </si>
  <si>
    <t>Arizona State University Research Park</t>
  </si>
  <si>
    <t>2GdLqG</t>
  </si>
  <si>
    <t>dc3043076dfe13a0f3c51a1f8075c1bb5c4595b93f8c6c831f6af4093930cccf</t>
  </si>
  <si>
    <t>2220 De La Cruz Boulevard (SC1 Data Center )</t>
  </si>
  <si>
    <t>2220 De La Cruz Blvd, Santa Clara, CA, 95050, United States</t>
  </si>
  <si>
    <t>PGyWLB</t>
  </si>
  <si>
    <t>ed8be9209f7c10bb4291ded51289430e1e98a9382478ec199c56fee0acbdb5a1</t>
  </si>
  <si>
    <t>2260 E El Segundo Blvd (LAX12)</t>
  </si>
  <si>
    <t>2260 East El Segundo Blvd, El Segundo, California</t>
  </si>
  <si>
    <t>El Segundo</t>
  </si>
  <si>
    <t>90245</t>
  </si>
  <si>
    <t>3RxedG</t>
  </si>
  <si>
    <t>d63e5a11b0301b0767c8610cf9ededcd457e270e4a0bbd933404620c74df5340</t>
  </si>
  <si>
    <t>2401 &amp; 2403 Walsh Avenue</t>
  </si>
  <si>
    <t>2401 &amp; 2403 Walsh Avenue, Santa Clara, CA, 95051, United States of America</t>
  </si>
  <si>
    <t>6w9jKB</t>
  </si>
  <si>
    <t>9bde0da42b6c45aa1362e893c614e8c558aa1f86aef3160871c4bc6e0ca8db1f</t>
  </si>
  <si>
    <t>2425-2553 Edgington Street ORD22</t>
  </si>
  <si>
    <t>2553 Edgington St, Franklin Park, IL 60131, USA</t>
  </si>
  <si>
    <t>Franklin Park</t>
  </si>
  <si>
    <t>60131</t>
  </si>
  <si>
    <t>w9q4gw</t>
  </si>
  <si>
    <t>9a8f8b3ebd82e31ef8f3cff436fb8b00f036acb181a2a7516ea209d431552dd0</t>
  </si>
  <si>
    <t>250 Williams Street NW (ATL14)</t>
  </si>
  <si>
    <t>250 Williams Street NW, Atlanta, GA, USA 30303</t>
  </si>
  <si>
    <t>30313</t>
  </si>
  <si>
    <t>Hotel District</t>
  </si>
  <si>
    <t>ARNoLG</t>
  </si>
  <si>
    <t>fa6bf558362c537f1f2d80027be521100dd4c5f9cf429477aa0c81209afd530e</t>
  </si>
  <si>
    <t>2805 Lafayette Street</t>
  </si>
  <si>
    <t>2805 Lafayette Street, Santa Clara, CA, 95050, United States</t>
  </si>
  <si>
    <t>pGD54w</t>
  </si>
  <si>
    <t>8fbc12add67154c1b6d9c9ea950e0774f5b74433df62d0a918b7a6bfcabe06c0</t>
  </si>
  <si>
    <t>2820 Northwestern Parkway</t>
  </si>
  <si>
    <t>2820 Northwestern Pkwy, Santa Clara, California, 95051, USA</t>
  </si>
  <si>
    <t>DBA0Ow</t>
  </si>
  <si>
    <t>5246d3b726239d6bc3bdf78388db4d68f0ab01ea46c6cc972cfceb2ebf2c5ab2</t>
  </si>
  <si>
    <t>3011 Lafayette Street</t>
  </si>
  <si>
    <t>3011 Lafayette Street, Santa Clara, CA, 95054, United States</t>
  </si>
  <si>
    <t>YBgLKR</t>
  </si>
  <si>
    <t>bd93ee4f05dcca0aa0db17fe71e327baccb353dacefc3c460f96954c9bc6e55c</t>
  </si>
  <si>
    <t>3015 Winona Avenue</t>
  </si>
  <si>
    <t>3015 Winona Avenue, Burbank, CA 91504</t>
  </si>
  <si>
    <t>Burbank</t>
  </si>
  <si>
    <t>91504</t>
  </si>
  <si>
    <t>Vega</t>
  </si>
  <si>
    <t>qGLgbR</t>
  </si>
  <si>
    <t>d5bdb32dd457449409d75b2e547fc3d2e0f69067825801aad594a76d47f33b56</t>
  </si>
  <si>
    <t>3105 Alfred Street</t>
  </si>
  <si>
    <t>3105 Alfred Street, Santa Clara, CA, 95054, United States</t>
  </si>
  <si>
    <t>zwO5rR</t>
  </si>
  <si>
    <t>ccbb6efab4dcecf5ef9587430550fb93a5cf645b9070a37392f0bd241125d6b1</t>
  </si>
  <si>
    <t>3205 Alfred Street</t>
  </si>
  <si>
    <t>3205 Alfred St, Santa Clara, CA, 95054, United States</t>
  </si>
  <si>
    <t>XRjXNw</t>
  </si>
  <si>
    <t>849e440b03b4ae3e3d4f6bb837c8b13db500f1d6fd97874fbabe50ff888a4b90</t>
  </si>
  <si>
    <t>321-337 E. 21st Street</t>
  </si>
  <si>
    <t>321-337 E. 21st St, Chicago, IL 60616, USA</t>
  </si>
  <si>
    <t>60616</t>
  </si>
  <si>
    <t>South Loop</t>
  </si>
  <si>
    <t>wodPgB</t>
  </si>
  <si>
    <t>e3ed73d56164e6665cdf7e7a6589308507af57a57f15969885a76915ca86edd1</t>
  </si>
  <si>
    <t>365 Main Street</t>
  </si>
  <si>
    <t>365 Main Street, San Francisco, CA, 94105, USA</t>
  </si>
  <si>
    <t>94017</t>
  </si>
  <si>
    <t>Rincon Hill</t>
  </si>
  <si>
    <t>qB17MG</t>
  </si>
  <si>
    <t>6d17c99b9b42fffab678b77df4dda0c24c58b84e6eead4b7e540a7181a5b8648</t>
  </si>
  <si>
    <t>3825 NW Aloclek Street</t>
  </si>
  <si>
    <t>3825 NW Aloclek Street, Hillsboro OR , 97124, USA</t>
  </si>
  <si>
    <t>Tanasbourne</t>
  </si>
  <si>
    <t>bGzb7G</t>
  </si>
  <si>
    <t>0173034205ea124d41d2d68b62ed81edd8e364569f9523351c2eaae949cfe877</t>
  </si>
  <si>
    <t>60 Hudson St</t>
  </si>
  <si>
    <t>60 Hudson St, New York, US</t>
  </si>
  <si>
    <t>PGyaZG</t>
  </si>
  <si>
    <t>54518a858b0b0ceee07320d25a5077ed30474c6bc965b3aae3f08976fbad094f</t>
  </si>
  <si>
    <t>600 West 7th Street</t>
  </si>
  <si>
    <t>600 W 7th St, Los Angeles, CA 90017</t>
  </si>
  <si>
    <t>ARNJlR</t>
  </si>
  <si>
    <t>9aec4eadd7dea5c8acd055699eadcc09283e2ad97a56fd77738b855630e7519b</t>
  </si>
  <si>
    <t>641 Walsh Avenue</t>
  </si>
  <si>
    <t>641 Walsh Ave, Santa Clara, CA 95050</t>
  </si>
  <si>
    <t>BE8KVw</t>
  </si>
  <si>
    <t>c67954bc8a2d5d771b16c05fec94994cdaee98ec21b69a0632b260e38dd23185</t>
  </si>
  <si>
    <t>701 Union Boulevard</t>
  </si>
  <si>
    <t>701 Union Blvd, Totowa, NJ 07512</t>
  </si>
  <si>
    <t>GLjXNB</t>
  </si>
  <si>
    <t>dad90bd149985748b1360b3065d186f0de459dc226b5f4fbf492742ccc9c56f7</t>
  </si>
  <si>
    <t>720 2nd Street</t>
  </si>
  <si>
    <t>720 2nd St, Oakland, CA, 94607, USA</t>
  </si>
  <si>
    <t>94607</t>
  </si>
  <si>
    <t>Old Oakland Historic District</t>
  </si>
  <si>
    <t>Downtown Oakland</t>
  </si>
  <si>
    <t>2RpbDw</t>
  </si>
  <si>
    <t>1a78fafbf11b067edd896d1f1306889bc9a5b32fbed83cd9a5b631954a35c149</t>
  </si>
  <si>
    <t>725 E Trade St.</t>
  </si>
  <si>
    <t>725 E Trade St., Charlotte, NC 28202</t>
  </si>
  <si>
    <t>RYN9aG</t>
  </si>
  <si>
    <t>052114268cf005e8aab95fbcf1f642739559d1a7605612fce942e307c437105f</t>
  </si>
  <si>
    <t>727 S Grand Avenue</t>
  </si>
  <si>
    <t>727 S Grand Avenue, Downtown Los Angeles, California, USA</t>
  </si>
  <si>
    <t>Gz3Ejw</t>
  </si>
  <si>
    <t>91dfe3daa68a3b176cb97bb9d5bb6ca0ed178e1af0d921aef4288077c784116b</t>
  </si>
  <si>
    <t>731 E Trade Street</t>
  </si>
  <si>
    <t>731 E Trade St, Charlotte, NC 28202</t>
  </si>
  <si>
    <t>RjW4JG</t>
  </si>
  <si>
    <t>0a242af4e5ecfc7fb24db4cc1bd4fae593f548b06e06402d0b1ad78d7b0f5f38</t>
  </si>
  <si>
    <t>9401 W Grand Avenue</t>
  </si>
  <si>
    <t>9401 W Grand Ave, Franklin Park, IL 60131, USA</t>
  </si>
  <si>
    <t>R4kMlB</t>
  </si>
  <si>
    <t>6f61d86f9b24c49748e6ce8fcd5552c91c46fd13808937915555beba582eb28c</t>
  </si>
  <si>
    <t>9905 Godwin Drive</t>
  </si>
  <si>
    <t>9905 Godwin Dr, Manassas, VA 20110</t>
  </si>
  <si>
    <t>GrV3gG</t>
  </si>
  <si>
    <t>698da4d8cc299f482660f153089d122fdf5c71e952be6937d34717704cf89576</t>
  </si>
  <si>
    <t>ACC11</t>
  </si>
  <si>
    <t>Gresham Dr &amp; Waxpool Rd., Ashburn, VA 20147</t>
  </si>
  <si>
    <t>BAQMPB</t>
  </si>
  <si>
    <t>e727e8a65d73d5b24e227e2655856c90b177e1916fa34d7d46d07494dc98e840</t>
  </si>
  <si>
    <t>ACC2</t>
  </si>
  <si>
    <t>44490 Chilum Place, Ashburn, United States of America</t>
  </si>
  <si>
    <t>YBqa0B</t>
  </si>
  <si>
    <t>8151f932e51517a8338d6326dd4135066c6c8d3b14515681af5e5e646e133f7d</t>
  </si>
  <si>
    <t>ACC3</t>
  </si>
  <si>
    <t>44520 Hastings Drive, Ashburn, VA, US</t>
  </si>
  <si>
    <t>bGzadR</t>
  </si>
  <si>
    <t>a9e29965d8263bcd067c6ab706daf9da5e32ae3bdb7af54155f3489bb31afc31</t>
  </si>
  <si>
    <t>ACC4</t>
  </si>
  <si>
    <t>44480 Hastings Drive, Ashburn, VA, United States of America</t>
  </si>
  <si>
    <t>JGmajG</t>
  </si>
  <si>
    <t>f5f7e630be6463a98567dbaa3bc110006ac6f3865d16e30fbe3e1a2a9c96792d</t>
  </si>
  <si>
    <t>ACC5</t>
  </si>
  <si>
    <t>44521 Hastings Drive, Ashburn, VA, US</t>
  </si>
  <si>
    <t>mGra7R</t>
  </si>
  <si>
    <t>644d7d14892d0b3ec0b448ce582a7dd9ed0d50840ff696f8b0631b08ae7e3c83</t>
  </si>
  <si>
    <t>ACC6</t>
  </si>
  <si>
    <t>44461 Chilum Place, Ashburn, VA, US</t>
  </si>
  <si>
    <t>lR8y3G</t>
  </si>
  <si>
    <t>132a49b42f106bf9a0a27da1eac4e66e624c8cd2f19b0a7577b26d1890be8c01</t>
  </si>
  <si>
    <t>ACC7</t>
  </si>
  <si>
    <t>21625 Gresham Drive, Ashburn, VA, US</t>
  </si>
  <si>
    <t>DBAmOB</t>
  </si>
  <si>
    <t>40ddeee19f31c07960c4a934bcee8a54e75cc22591e0c7d69884d6f606acd3bf</t>
  </si>
  <si>
    <t>ACC9</t>
  </si>
  <si>
    <t>21745 Sir Timothy Drive, Ashburn, VA, US</t>
  </si>
  <si>
    <t>2RpapG</t>
  </si>
  <si>
    <t>1c660b4c60bfb3f149a76a7c30b4f75a742ddf88be569c8cb1a32299c0033435</t>
  </si>
  <si>
    <t>ATL13</t>
  </si>
  <si>
    <t>56 Marietta St NW, Atlanta, GA 30303, USA</t>
  </si>
  <si>
    <t>30318</t>
  </si>
  <si>
    <t>Five Points</t>
  </si>
  <si>
    <t>jBEjVR</t>
  </si>
  <si>
    <t>d2da6bbf285b4877c6ca6b48a5afeeb304e2bc8503b8c4cd0bb11be479498881</t>
  </si>
  <si>
    <t>ATL15/16</t>
  </si>
  <si>
    <t>2065 Anvil Block Road Forest Park, GA 30297</t>
  </si>
  <si>
    <t>Clayton County</t>
  </si>
  <si>
    <t>Forest Park</t>
  </si>
  <si>
    <t>30297</t>
  </si>
  <si>
    <t>RNam6B</t>
  </si>
  <si>
    <t>7e16052ee48096a791e752ccd6d8150723b8e0803196c04f68b330a7fa4a22a7</t>
  </si>
  <si>
    <t>AUS11</t>
  </si>
  <si>
    <t>7500 Metro Center Dr, Austin, Texas 78744, USA</t>
  </si>
  <si>
    <t>lR873B</t>
  </si>
  <si>
    <t>af3a2b3582d004555aecfc9b69a44f5260c32793c257f36d6de3d4146bd1708d</t>
  </si>
  <si>
    <t>Brickyard Way</t>
  </si>
  <si>
    <t>10050 Brickyard Wy, Manassas, VA 20110</t>
  </si>
  <si>
    <t>RQ6YjG</t>
  </si>
  <si>
    <t>3bf570259b325862190a6a5382aeebf3695cba3cc0bac8446946f12ba8d28a91</t>
  </si>
  <si>
    <t>Broderick Drive</t>
  </si>
  <si>
    <t>22125 Broderick Drive, Ashburn, VA 20166</t>
  </si>
  <si>
    <t>R2nLbR</t>
  </si>
  <si>
    <t>d66757a75fc00df3a86c16ae1906c37290d9c81964d0b1c7d04e07978ad51ed3</t>
  </si>
  <si>
    <t>2200 Busse Rd, Elk Grove Village, IL, 60007, USA</t>
  </si>
  <si>
    <t>yGlagw</t>
  </si>
  <si>
    <t>b5e2a6e0242f003ca92a1aa8f9379357f196e63a797943ac90f6ae6c12962725</t>
  </si>
  <si>
    <t>2299 Busse Road, Elk Grove Village, IL, 60007, USA</t>
  </si>
  <si>
    <t>DGn7yw</t>
  </si>
  <si>
    <t>238c1c332b233aabbf6f39f036f08aafbd71e8a33105ce768ffb5470f4d23437</t>
  </si>
  <si>
    <t>CH3</t>
  </si>
  <si>
    <t>1420 East Devon Avenue, Elk Grove Village, IL, 60007, USA</t>
  </si>
  <si>
    <t>60191</t>
  </si>
  <si>
    <t>XRjQNB</t>
  </si>
  <si>
    <t>06b2165e426342f1d633116b9df09558e4ae6db40de90b693ac9493b793cfa4a</t>
  </si>
  <si>
    <t>DFW 26</t>
  </si>
  <si>
    <t>2501 Edmonds Ln, Lewisville, Texas 75067, USA</t>
  </si>
  <si>
    <t>Lewisville</t>
  </si>
  <si>
    <t>75067</t>
  </si>
  <si>
    <t>RKZ7qB</t>
  </si>
  <si>
    <t>db3e26c2c45010259ab4cbba4215ae22595417bf00c85b3535afaf799100da3e</t>
  </si>
  <si>
    <t>2323 Bryan Street, Dallas, Texas 75201, USA</t>
  </si>
  <si>
    <t>75201</t>
  </si>
  <si>
    <t>City Center District</t>
  </si>
  <si>
    <t>8RvaAB</t>
  </si>
  <si>
    <t>83cb5683d83c9e3a0d14d0dbf7ac71ee50c05c89d26670f6ece7975cdcdd962d</t>
  </si>
  <si>
    <t>DFW11</t>
  </si>
  <si>
    <t>4025 Midway Rd, Carrollton, Texas 75007, USA</t>
  </si>
  <si>
    <t>75187</t>
  </si>
  <si>
    <t>Timberglen</t>
  </si>
  <si>
    <t>9RYkbw</t>
  </si>
  <si>
    <t>cc93441f9249544024a2f3142f088c5573536b419e12ec1f26a1b9319a4c1c73</t>
  </si>
  <si>
    <t>DFW12</t>
  </si>
  <si>
    <t>2440 Marsh Lane, Carrollton, Texas 75006, USA</t>
  </si>
  <si>
    <t>QwV5oG</t>
  </si>
  <si>
    <t>6f0ff0254bd2d71948b3a89277d6d24230ca68b5e0b5a7d507c48e7e68b114c2</t>
  </si>
  <si>
    <t>DFW14</t>
  </si>
  <si>
    <t>4849 Alpha Road, Dallas, Texas 75244, USA</t>
  </si>
  <si>
    <t>Farmers Branch</t>
  </si>
  <si>
    <t>75244</t>
  </si>
  <si>
    <t>pGD5zw</t>
  </si>
  <si>
    <t>8ae28754e81f7f19a3a6d5dd3ea41643731a128f57b1ae008109dc6717c80260</t>
  </si>
  <si>
    <t>DFW16</t>
  </si>
  <si>
    <t>1232 Alma Road, Richardson, Texas 75081, USA</t>
  </si>
  <si>
    <t>dGWkDG</t>
  </si>
  <si>
    <t>e4a3f97e1085dc8647d4a2d077acbfb28d0d3e7558503b115bdb690b6310d978</t>
  </si>
  <si>
    <t>DFW17</t>
  </si>
  <si>
    <t>900 Quality Way, Richardson, Texas 75081, USA</t>
  </si>
  <si>
    <t>yGl7gR</t>
  </si>
  <si>
    <t>a1951c705ba60f6fad2eb07777a139f7f709ee86598c4b08120736ac63131c0a</t>
  </si>
  <si>
    <t>DFW18</t>
  </si>
  <si>
    <t>1210 Integrity Drive, Richardson, Texas 75081, USA</t>
  </si>
  <si>
    <t>DBA0Aw</t>
  </si>
  <si>
    <t>8d3ebf542674b2c424b9bddb347c52c8d684f8c1715f486e8c79391d7f1f8a02</t>
  </si>
  <si>
    <t>DFW25</t>
  </si>
  <si>
    <t>1215 Integrity Drive, Richardson, Texas 75081, USA</t>
  </si>
  <si>
    <t>DR478B</t>
  </si>
  <si>
    <t>7297cb89c6bc98ed5ee0d736bdddf26f0d7707773f3f973127b2183e527c036b</t>
  </si>
  <si>
    <t>DFW26</t>
  </si>
  <si>
    <t>2501 S. State Highway 121, Lewisville, Texas 75056, USA</t>
  </si>
  <si>
    <t>2Rpbpw</t>
  </si>
  <si>
    <t>bedbf0be9192686a815c8e15bf6e8bbe81145e099670aeffcf92772d3a7bb312</t>
  </si>
  <si>
    <t>DFW28</t>
  </si>
  <si>
    <t>850 East Collins Boulevard, Richardson, Texas 75081, USA</t>
  </si>
  <si>
    <t>mGrb7G</t>
  </si>
  <si>
    <t>29026fb3ad7611160f8509f5f74e01b5618ee36e6d59840dd53864e4bf5f011a</t>
  </si>
  <si>
    <t>DFW29</t>
  </si>
  <si>
    <t>950 East Collins Boulevard, Richardson, Texas 75081, USA</t>
  </si>
  <si>
    <t>4RK55w</t>
  </si>
  <si>
    <t>cf2f81550f6421f1237733db736967647d97f15c05b04f394dab82d4d4ede381</t>
  </si>
  <si>
    <t>DFW35</t>
  </si>
  <si>
    <t>907 Security Row, Richardson, Texas 75081, USA</t>
  </si>
  <si>
    <t>lR879B</t>
  </si>
  <si>
    <t>86724fbeb5d81013185311abf8deb5be2c1ebfa3b9b27e46825139fb10eb6cf1</t>
  </si>
  <si>
    <t>DFW36</t>
  </si>
  <si>
    <t>8435 N Stemmons Freeway, Dallas, Texas 75247, USA</t>
  </si>
  <si>
    <t>kGakYB</t>
  </si>
  <si>
    <t>0e81ed047ff7bc66e8eb6d881c955493332d7feb12b315954792c647f0d5d306</t>
  </si>
  <si>
    <t>Digital Dulles</t>
  </si>
  <si>
    <t>43704 Efficiency Dr, Dulles, VA 20166</t>
  </si>
  <si>
    <t>GrvllG</t>
  </si>
  <si>
    <t>1d850fc76f2758fe4bdbdf16b180daf74e32f85a3b9a44b1f58cd7a23f5be144</t>
  </si>
  <si>
    <t>Digital Filigree</t>
  </si>
  <si>
    <t>21780 Filigree Ct, Ashburn, VA 20147</t>
  </si>
  <si>
    <t>RjWDmG</t>
  </si>
  <si>
    <t>c45a15b1a3f299d8d47c009702d211ef05b3ba4cabe7eb0533e56f6ba469142d</t>
  </si>
  <si>
    <t>Digital Realty Piscataway Campus</t>
  </si>
  <si>
    <t>EG6LPB</t>
  </si>
  <si>
    <t>5a6b1a9c55995bd3f194d92bc66b779cb73b11debfe631d303937a023a857bc2</t>
  </si>
  <si>
    <t>Digital Sterling</t>
  </si>
  <si>
    <t>22574 Pacific Blvd, Sterling, VA 20166</t>
  </si>
  <si>
    <t>GaA9rG</t>
  </si>
  <si>
    <t>5cd571d1d32d94ccd62133201756e9fa199ad3d7e29004d96ec2718e3cd87f60</t>
  </si>
  <si>
    <t>Garland Campus</t>
  </si>
  <si>
    <t>1505 Ferris Road, Garland, Texas 75044, USA</t>
  </si>
  <si>
    <t>Garland</t>
  </si>
  <si>
    <t>75044</t>
  </si>
  <si>
    <t>Gn4mkB</t>
  </si>
  <si>
    <t>09eea729ea8eb3158eb080fc48cb85ef7bdefeb03add71408b15421fab4174e4</t>
  </si>
  <si>
    <t>43881 Devin Shafron Drive (Bldg B), Ashburn, VA, US</t>
  </si>
  <si>
    <t>4RKp5G</t>
  </si>
  <si>
    <t>aee7508835e3e099a25a386459f63243f392e73e5d122076072e841e8d508c83</t>
  </si>
  <si>
    <t>43791 Devin Shafron Dr Bldg D Ashburn, VA 20147</t>
  </si>
  <si>
    <t>RpYXrG</t>
  </si>
  <si>
    <t>7e2252aa36e29d9a13d5bd20df832444627b34092306cccbd1f6a90ad84eeb78</t>
  </si>
  <si>
    <t>43830 Devin Shafron Drive (Bldg F), Ashburn, VA, US</t>
  </si>
  <si>
    <t>gB7zZw</t>
  </si>
  <si>
    <t>32582a4bd03b4b3df0fbfabc8ef96603430b092a322474d24eb1ff3e1a4d0e7a</t>
  </si>
  <si>
    <t>IAD35</t>
  </si>
  <si>
    <t>43940 Digital Loudoun Plaza (Bldg G), Ashburn, VA, US</t>
  </si>
  <si>
    <t>qGLJbB</t>
  </si>
  <si>
    <t>03b6054270f353838309b0607f0c95ab54da68ed7d845d32af592af2f6a2649b</t>
  </si>
  <si>
    <t>IAD36</t>
  </si>
  <si>
    <t>43780 Digital Loudoun Plaza (Bldg H), Ashburn, VA, US</t>
  </si>
  <si>
    <t>NwoaxR</t>
  </si>
  <si>
    <t>466da43f3d32fa1c17578c607e3b4af6183df4264dfdd32021fc3a5b6132aff5</t>
  </si>
  <si>
    <t>IAD37</t>
  </si>
  <si>
    <t>44060 Digital Loudoun Plaza Bldg K Ashburn, VA 20147</t>
  </si>
  <si>
    <t>RK81PG</t>
  </si>
  <si>
    <t>89ab79c4f401893d8295718af1eeebc9c216141cffa3fcc44f85d5d3f831d1b9</t>
  </si>
  <si>
    <t>IAD38</t>
  </si>
  <si>
    <t>44100 Digital Loudoun Plaza (Bldg J), Ashburn, VA, US</t>
  </si>
  <si>
    <t>YBgPQR</t>
  </si>
  <si>
    <t>7850dc967e98b34293ae8e5431641640b2a224bb5ad46bcdd34636b330110a41</t>
  </si>
  <si>
    <t>IAD39</t>
  </si>
  <si>
    <t>44274 Round Table Plaza (Bldg L), Ashburn, VA 20147</t>
  </si>
  <si>
    <t>RQnNjG</t>
  </si>
  <si>
    <t>2ebdebaa1b64b26448df33586c2fe685503dacefacc6ec23f318e36b0398290d</t>
  </si>
  <si>
    <t>IAD40</t>
  </si>
  <si>
    <t>44372 Round Table Plaza (Bldg M), Ashburn, VA 20147</t>
  </si>
  <si>
    <t>Rx9vXG</t>
  </si>
  <si>
    <t>af956febc996599cb91507ed79ada43268b71043785e617933c85df97971a078</t>
  </si>
  <si>
    <t>IAD41</t>
  </si>
  <si>
    <t>44751 Round Table Plaza, Ashburn, Virginia 20147</t>
  </si>
  <si>
    <t>G6bY3G</t>
  </si>
  <si>
    <t>01e2759be86c4ceb0908e205dff368aa33d7c089e3530210bbd4af8fb5f4fe43</t>
  </si>
  <si>
    <t>IAH10</t>
  </si>
  <si>
    <t>12001 North Freeway, Houston, Texas 77060, USA</t>
  </si>
  <si>
    <t>DGnbyG</t>
  </si>
  <si>
    <t>c990d7207ce3a7311562b54e62c9197d995554ffc641812f131022dce0de8c76</t>
  </si>
  <si>
    <t>JFK13</t>
  </si>
  <si>
    <t>32 Avenue of the Americas, New York, NY, US</t>
  </si>
  <si>
    <t>QBb3LR</t>
  </si>
  <si>
    <t>4f8a6d49b564c558bbe3aae2ef10327722575a6c99bc3bdf7a50c79bb3ac9b2e</t>
  </si>
  <si>
    <t>LAX11 Data Center</t>
  </si>
  <si>
    <t>200 North Nash Street, El Segundo, CA 90245</t>
  </si>
  <si>
    <t>Vw51vw</t>
  </si>
  <si>
    <t>663584b748d8f3f9786a9af9ef74118b2ef38ae7d68ad24ebd3e5d0c771da17c</t>
  </si>
  <si>
    <t>MIA10</t>
  </si>
  <si>
    <t>36 NE 2nd Street, Miami, FL, 33132, USA</t>
  </si>
  <si>
    <t>33132</t>
  </si>
  <si>
    <t>mG376G</t>
  </si>
  <si>
    <t>178c178c481d8129bde79fd0f548b88cf9fe865e64dd07dac850f4726a73e69a</t>
  </si>
  <si>
    <t>ORD011</t>
  </si>
  <si>
    <t>600 South Federal Street, Chicago, IL, 60605, USA</t>
  </si>
  <si>
    <t>gwee4w</t>
  </si>
  <si>
    <t>baea2f757a9c18e46f17ede272c52ee9ff597592f624890236da1b96b0560a9b</t>
  </si>
  <si>
    <t>ORD10</t>
  </si>
  <si>
    <t>350 E Cermak Rd, Chicago, IL, 60616, USA</t>
  </si>
  <si>
    <t>Near South Side</t>
  </si>
  <si>
    <t>dGWmDB</t>
  </si>
  <si>
    <t>6ce4d24d24046f77dd9ba53c0314baea35f92d034f7c5ac08d678a7045396176</t>
  </si>
  <si>
    <t>ORD12</t>
  </si>
  <si>
    <t>9333 Grand Ave Franklin Park, Illinois 60131 USA</t>
  </si>
  <si>
    <t>GZ1dgR</t>
  </si>
  <si>
    <t>09cd71ede9fae6ee922dfe31cbaf5c519df58ecc9d038904648940d1e0f84dd5</t>
  </si>
  <si>
    <t>ORD13</t>
  </si>
  <si>
    <t>9355 Grand Ave, Franklin Park, IL 60131, USA</t>
  </si>
  <si>
    <t>GyZdbw</t>
  </si>
  <si>
    <t>83cc6d57d0110a7501f52a4717325c5d318bfa50361d5ff8d055efff4eae8463</t>
  </si>
  <si>
    <t>ORD14</t>
  </si>
  <si>
    <t>9377 Grand Ave, Franklin Park, IL, 60131, USA</t>
  </si>
  <si>
    <t>R2nNeR</t>
  </si>
  <si>
    <t>66d56e7570fee19aa2271c030c3054fc3e7edf863867a95b89667274d04ffc45</t>
  </si>
  <si>
    <t>ORD23</t>
  </si>
  <si>
    <t>505 N Railroad Ave, Northlake, IL, 60164, USA</t>
  </si>
  <si>
    <t>6w97QR</t>
  </si>
  <si>
    <t>20dbf6ca86f2286ac6a647f5f14788b7c4eb36ad3aa2dc9af501b987160a720b</t>
  </si>
  <si>
    <t>PDX11</t>
  </si>
  <si>
    <t>6675 NE 62nd Avenue, OR, 97124, USA</t>
  </si>
  <si>
    <t>North Hillsboro</t>
  </si>
  <si>
    <t>BqW56G</t>
  </si>
  <si>
    <t>09d6055229a8b802017b4227e6069674368557cae9313c952a44038a691db0a3</t>
  </si>
  <si>
    <t>PDX12</t>
  </si>
  <si>
    <t>5970 NE Schaaf Street, Hillsboro, OR, 97124</t>
  </si>
  <si>
    <t>GzYOoR</t>
  </si>
  <si>
    <t>41f9555a4081bf6b3abf9da4b64fcbe59ceee29d4ad0e5e1765863b438a61327</t>
  </si>
  <si>
    <t>PHX10</t>
  </si>
  <si>
    <t>120 E Van Buren St, Phoenix, AZ, United States of America</t>
  </si>
  <si>
    <t>85004</t>
  </si>
  <si>
    <t>zwO5gR</t>
  </si>
  <si>
    <t>48dc783fc16f154b70eeabdc583146b62e923b9c88aa7d49f491bfde80eb3f46</t>
  </si>
  <si>
    <t>PHX15</t>
  </si>
  <si>
    <t>2121 South Price Road, Phoenix, United States of America</t>
  </si>
  <si>
    <t>bBXLNB</t>
  </si>
  <si>
    <t>93e2bdb0499fc94c575dd50beeb8e2bd3f936f5bcaeda397d3922403a8773070</t>
  </si>
  <si>
    <t>Project Bunkhouse</t>
  </si>
  <si>
    <t>Bartow County</t>
  </si>
  <si>
    <t>Cartersville</t>
  </si>
  <si>
    <t>30120</t>
  </si>
  <si>
    <t>BE11oB</t>
  </si>
  <si>
    <t>38754389527638c8445c6f9ab447d4860584caef24698817cb260c7cf873ad37</t>
  </si>
  <si>
    <t>Sandy Farms Data Center</t>
  </si>
  <si>
    <t>7665 Sandy Farm Rd</t>
  </si>
  <si>
    <t>Severn</t>
  </si>
  <si>
    <t>21144</t>
  </si>
  <si>
    <t>wo1j5R</t>
  </si>
  <si>
    <t>4c6df48c9e2b4991c46ba10987f8730442b35a3b9d2ab9dada66023f0e1871a1</t>
  </si>
  <si>
    <t>SJC15</t>
  </si>
  <si>
    <t>1201 Comstock St, Santa Clara, CA, 95054, United States</t>
  </si>
  <si>
    <t>EG6vxG</t>
  </si>
  <si>
    <t>11e330d68476d0f4352ddf48bb3e34495c438a6e8cf01149f9598821dcbba6f6</t>
  </si>
  <si>
    <t>VA3</t>
  </si>
  <si>
    <t>1780 Business Center Drive, Reston, VA, US</t>
  </si>
  <si>
    <t>20190</t>
  </si>
  <si>
    <t>qBJnoB</t>
  </si>
  <si>
    <t>45aab06936a3a1374db21a300b4e3f152be6a047217ff8b4e313201a1adfa912</t>
  </si>
  <si>
    <t>VA4</t>
  </si>
  <si>
    <t>8217 Linton Hall Rd, Bristow, VA 20136, USA</t>
  </si>
  <si>
    <t>w5zAYB</t>
  </si>
  <si>
    <t>8546c399e56fd47f35e8d9adf1bcb4609024eeb01a9fffe53110871ddd3025ee</t>
  </si>
  <si>
    <t>Westin Building Exchange</t>
  </si>
  <si>
    <t>Seattle, Washington 2001 6th Avenue</t>
  </si>
  <si>
    <t>GmXxvR</t>
  </si>
  <si>
    <t>69c303fedcbd55e1cfb897372809e61963ba62ba543780c02022e6aba15ebdb7</t>
  </si>
  <si>
    <t>Digital West</t>
  </si>
  <si>
    <t>Digital West San Luis Obispo</t>
  </si>
  <si>
    <t>3620 Sacramento Drive Suite 102, San Luis Obispo</t>
  </si>
  <si>
    <t>San Luis Obispo County</t>
  </si>
  <si>
    <t>San Luis Obispo</t>
  </si>
  <si>
    <t>93401</t>
  </si>
  <si>
    <t>GDrWDB</t>
  </si>
  <si>
    <t>aed938b0f6fd7cfc0c2d8376443c62365bca32485e693a8c9bd1a9b56a68122e</t>
  </si>
  <si>
    <t>Diode Ventures</t>
  </si>
  <si>
    <t>Diode Ventures Harper Road Technology Park</t>
  </si>
  <si>
    <t>Peculiar</t>
  </si>
  <si>
    <t>West Peculiar Township</t>
  </si>
  <si>
    <t>GdAXPw</t>
  </si>
  <si>
    <t>63b69657871cf28632d28e7dbfbaa6b2ccddc64d1c9876a5c7d713d7bb7717cf</t>
  </si>
  <si>
    <t>Direct LTx</t>
  </si>
  <si>
    <t>2561 Bernville Rd, Reading, PA 19605</t>
  </si>
  <si>
    <t>Berks County</t>
  </si>
  <si>
    <t>Bern Township</t>
  </si>
  <si>
    <t>19601</t>
  </si>
  <si>
    <t>GlPLYG</t>
  </si>
  <si>
    <t>fa97fe6af9206777db88ae62bfd7736aaeecdb0b0d6b4083a7c1f56ad2a72e38</t>
  </si>
  <si>
    <t>Discover</t>
  </si>
  <si>
    <t>Discover Technology Center</t>
  </si>
  <si>
    <t>2500 Lake Cook Rd, Riverwoods, IL 60015</t>
  </si>
  <si>
    <t>Riverwoods</t>
  </si>
  <si>
    <t>60015</t>
  </si>
  <si>
    <t>Vernon Township</t>
  </si>
  <si>
    <t>wM24ZB</t>
  </si>
  <si>
    <t>dbfabcd46b7726bf8124748650fa2f9d9ae1b8ac30a31cc17065b62daebaefd7</t>
  </si>
  <si>
    <t>DP Facilities</t>
  </si>
  <si>
    <t>Mineral Gap Data Centre</t>
  </si>
  <si>
    <t>5978 Windswept Blvd, Wise, VA 24293</t>
  </si>
  <si>
    <t>Wise County</t>
  </si>
  <si>
    <t>Wise</t>
  </si>
  <si>
    <t>24293</t>
  </si>
  <si>
    <t>RYMMeR</t>
  </si>
  <si>
    <t>45dfc0b72814fa8af3d971f39af820aba4b0a465e2823e345086b0fffb8d1ea9</t>
  </si>
  <si>
    <t>DQE Communications</t>
  </si>
  <si>
    <t>DQE Communications Butler</t>
  </si>
  <si>
    <t>238 Pillow St, Butler, PA 16001</t>
  </si>
  <si>
    <t>Butler</t>
  </si>
  <si>
    <t>16001</t>
  </si>
  <si>
    <t>BX6AWG</t>
  </si>
  <si>
    <t>d18618dcbc735a128233c97852c446e88759f6108d0081143deb05d539068953</t>
  </si>
  <si>
    <t>DQE Communications Pittsburgh</t>
  </si>
  <si>
    <t>322 Fourth Ave, Pittsburgh, PA 15222</t>
  </si>
  <si>
    <t>15222</t>
  </si>
  <si>
    <t>Fifth &amp; Forbes</t>
  </si>
  <si>
    <t>BEWyXG</t>
  </si>
  <si>
    <t>0925cff64370dd438874001f288d030f4a117ea849e1f2f355331fb5b92db1d0</t>
  </si>
  <si>
    <t>DRFortress</t>
  </si>
  <si>
    <t>3375 Koapaka St</t>
  </si>
  <si>
    <t>3375 Koapaka Street Suite D-198 Honolulu, Hawaii 96819, USA</t>
  </si>
  <si>
    <t>96819</t>
  </si>
  <si>
    <t>Mapunapuna</t>
  </si>
  <si>
    <t>BPJvVG</t>
  </si>
  <si>
    <t>0460a66ed9c544f9169cb5206623b0235bd44c75a66861b424417b9d7f00debc</t>
  </si>
  <si>
    <t>Duke Energy</t>
  </si>
  <si>
    <t>9626 David Taylor Dr</t>
  </si>
  <si>
    <t>9626 David Taylor Dr, Charlotte, NC 28262, USA</t>
  </si>
  <si>
    <t>28262</t>
  </si>
  <si>
    <t>University Place</t>
  </si>
  <si>
    <t>GzYvER</t>
  </si>
  <si>
    <t>07cc3f1b8f6bd96ca81e632aadb8718c5a5baec8e54efa8424a9ba8f7b8ab2af</t>
  </si>
  <si>
    <t>Duos Edge AI</t>
  </si>
  <si>
    <t>Pampa Energy Center</t>
  </si>
  <si>
    <t>8201 Fm 2300, Pampa, TX 79065</t>
  </si>
  <si>
    <t>Gray County</t>
  </si>
  <si>
    <t>Pampa</t>
  </si>
  <si>
    <t>79065</t>
  </si>
  <si>
    <t>Bb8YkG</t>
  </si>
  <si>
    <t>f71033de5bea0c5a25b39fa9e4b3e8ae0ba6bc585613f38bf3770245b8f5bd0b</t>
  </si>
  <si>
    <t>Dynamic Internet</t>
  </si>
  <si>
    <t>Dynamic Internet Data Center</t>
  </si>
  <si>
    <t>10 Delaware Dr, Salem, NH 03079</t>
  </si>
  <si>
    <t>03079</t>
  </si>
  <si>
    <t>wMrM4B</t>
  </si>
  <si>
    <t>5005cfe61e85023a85a044ee42f3cbe2bc9d4e5f6600bc6aa4ef459218a16c3a</t>
  </si>
  <si>
    <t>Dynamic Quest</t>
  </si>
  <si>
    <t>4821 Koger Blvd, Greensboro, NC 27407, United States</t>
  </si>
  <si>
    <t>27407</t>
  </si>
  <si>
    <t>GzY27R</t>
  </si>
  <si>
    <t>37ce02e9bbd69df806c359873ed9b27fbb09dc35324fdaca72349f2bda0437a5</t>
  </si>
  <si>
    <t>Eagle Rock Partners</t>
  </si>
  <si>
    <t>Twiggs County</t>
  </si>
  <si>
    <t>7015 Adams Park Rd, Dry Branch, GA 31020</t>
  </si>
  <si>
    <t>31020</t>
  </si>
  <si>
    <t>RvX8Ow</t>
  </si>
  <si>
    <t>8641d36e5650a35eaef56527a2e0f8a33c1fcb80deb52c07ca4740c61a6c180c</t>
  </si>
  <si>
    <t>Eagle South, LLC</t>
  </si>
  <si>
    <t>Project Eisenhower</t>
  </si>
  <si>
    <t>2865 Gordon Hwy Augusta, GA 30909 USA</t>
  </si>
  <si>
    <t>Augusta-Richmond County</t>
  </si>
  <si>
    <t>30909</t>
  </si>
  <si>
    <t>GrVgKG</t>
  </si>
  <si>
    <t>51c785975736a11a0490b708557ca736ae906dbad1f204bf6de9902f2185f730</t>
  </si>
  <si>
    <t>East Village Dothan LLC.</t>
  </si>
  <si>
    <t>Hickman Property</t>
  </si>
  <si>
    <t>30187</t>
  </si>
  <si>
    <t>w5VA8B</t>
  </si>
  <si>
    <t>90f50eef579d1e0c19b80c74abf76e9d0c60c024d282a0e9db28659f77d37edd</t>
  </si>
  <si>
    <t>ebay</t>
  </si>
  <si>
    <t>Project Mercury</t>
  </si>
  <si>
    <t>4010 North 3rd Street, Midtown, Phoenix, AZ, USA</t>
  </si>
  <si>
    <t>85013</t>
  </si>
  <si>
    <t>Encanto</t>
  </si>
  <si>
    <t>GdAeNw</t>
  </si>
  <si>
    <t>5907a849733203bb6f6efd94cb539c8c639a68eb0ce39dbed0d1ea25baebadad</t>
  </si>
  <si>
    <t>6614 W Crimson View Drive, South Jordan, Utah 84095, USA</t>
  </si>
  <si>
    <t>South Jordan</t>
  </si>
  <si>
    <t>84009</t>
  </si>
  <si>
    <t>Dalton</t>
  </si>
  <si>
    <t>RKZg4B</t>
  </si>
  <si>
    <t>e44525eaf62811898568df726fdd4ed28016fc00e8d5f08b03efb9b3482d2680</t>
  </si>
  <si>
    <t>EBS Data.net</t>
  </si>
  <si>
    <t>174 E Bay St, Charleston, SC 29401</t>
  </si>
  <si>
    <t>29415</t>
  </si>
  <si>
    <t>French Quarter</t>
  </si>
  <si>
    <t>R4JL8w</t>
  </si>
  <si>
    <t>4c20cb6e825f133868f33f0815c542879a639c712326d737ef73384e8fa142fc</t>
  </si>
  <si>
    <t>Edge Centres</t>
  </si>
  <si>
    <t>EC101</t>
  </si>
  <si>
    <t>707 Wilshire Blvd, Los Angeles, CA 90017</t>
  </si>
  <si>
    <t>90015</t>
  </si>
  <si>
    <t>Bb0QaG</t>
  </si>
  <si>
    <t>6572ec0f621ebd303190f38da56c0275af0777529634b1eeca4604cf1bcacc9a</t>
  </si>
  <si>
    <t>EC102</t>
  </si>
  <si>
    <t>City of St. Louis</t>
  </si>
  <si>
    <t>St. Louis</t>
  </si>
  <si>
    <t>63102</t>
  </si>
  <si>
    <t>BgJl4w</t>
  </si>
  <si>
    <t>5328618bbf4cd23682f9f93abeb8dfb2f2a2672c23ff360e44d3978fb275c20e</t>
  </si>
  <si>
    <t>EC105</t>
  </si>
  <si>
    <t>901-911 Washington Ave, St. Louis, MO 63101, USA</t>
  </si>
  <si>
    <t>63103</t>
  </si>
  <si>
    <t>BAQmQB</t>
  </si>
  <si>
    <t>f6928f69991467e4d5c79b0a231d110ac6f308fad0b941a6f998ef5d9c6b8c0c</t>
  </si>
  <si>
    <t>EdgeCloudLink</t>
  </si>
  <si>
    <t>411 Clyde Ave. Mountain View, CA 94043 USA</t>
  </si>
  <si>
    <t>Mountain View</t>
  </si>
  <si>
    <t>94043</t>
  </si>
  <si>
    <t>R4knlB</t>
  </si>
  <si>
    <t>d6be97bd54ee76c1e8249fa54039f49ee5e308d676c1541449e39faef1f1c122</t>
  </si>
  <si>
    <t>EdgeConneX</t>
  </si>
  <si>
    <t>ATL Stonewall</t>
  </si>
  <si>
    <t xml:space="preserve"> 4850 Stonewall Tell Road, Union City, GA 30349</t>
  </si>
  <si>
    <t>Henry County</t>
  </si>
  <si>
    <t>GdAErw</t>
  </si>
  <si>
    <t>87949f535c3e182cb3dbd2e99adecc4312df6ce347b7f9188cf885b406bbad4d</t>
  </si>
  <si>
    <t>Austin, Texas</t>
  </si>
  <si>
    <t>6752 Fm 535, Cedar Creek, TX 78612</t>
  </si>
  <si>
    <t>Cedar Creek</t>
  </si>
  <si>
    <t>78617</t>
  </si>
  <si>
    <t>BJPQrG</t>
  </si>
  <si>
    <t>c991a6be3ee171a971dc08af173d00383a08d073f8c0fd399fccd8600d8543f5</t>
  </si>
  <si>
    <t>DEN01</t>
  </si>
  <si>
    <t>8535 Highfield Parkway, Bldg. 3, Suite 500/600, Englewood, Colorado 80112, USA</t>
  </si>
  <si>
    <t>3RxZvw</t>
  </si>
  <si>
    <t>ffaaa605edef46dd1a7981f5dc3dd149e3c7122c3ed1f4537a7b556020471a92</t>
  </si>
  <si>
    <t>DEN02</t>
  </si>
  <si>
    <t>8451 Highfield Pkwy, Englewood, Colorado 80112, USA</t>
  </si>
  <si>
    <t>RxPzaR</t>
  </si>
  <si>
    <t>ed89cddcf728343d9ac60ff419f5abee7b590d8f536369bc38972a8c358fe324</t>
  </si>
  <si>
    <t>EDCATL01</t>
  </si>
  <si>
    <t>1003 Donnelly Avenue SW, Atlanta, GA, 30310, United States of America</t>
  </si>
  <si>
    <t>4RKZeB</t>
  </si>
  <si>
    <t>0c986ea49969385a29ad10ec0d51d9e77a31f54e1952a8c3f1c50ce07bf6c296</t>
  </si>
  <si>
    <t>EDCATL02</t>
  </si>
  <si>
    <t>1101 Donnelly Ave SW, Atlanta, GA 30310, USA</t>
  </si>
  <si>
    <t>BgV8xw</t>
  </si>
  <si>
    <t>dc17d530cb1a4ab2af6aaf52de01a3a64c7adbb45662939849ba5459bbab9ae2</t>
  </si>
  <si>
    <t>EDCBOS01</t>
  </si>
  <si>
    <t>22 Linnell Circle, Billerica, Boston, MA, 01821, United States of America</t>
  </si>
  <si>
    <t>Billerica</t>
  </si>
  <si>
    <t>01821</t>
  </si>
  <si>
    <t>zwOqAR</t>
  </si>
  <si>
    <t>2e21fb7d2ed30d7ea3c899dc7b3918395ad64f89798d4c454b3657b0c493c3e4</t>
  </si>
  <si>
    <t>EDCCHI01</t>
  </si>
  <si>
    <t>1800 Nicholas Blvd, Elk Grove Village, IL</t>
  </si>
  <si>
    <t>gB72rw</t>
  </si>
  <si>
    <t>b0e01682b1c5ee377628e44c2c6d91c64640ae61084494a56ca4c682878b3518</t>
  </si>
  <si>
    <t>EDCCHI02</t>
  </si>
  <si>
    <t>2021 Lunt Ave, Elk Grove Village, IL 60007, USA</t>
  </si>
  <si>
    <t>wVqm7G</t>
  </si>
  <si>
    <t>b3c7dc30c37e36a43c3541e87fd917a28f263d97ccd9b2a6c34face585f569bf</t>
  </si>
  <si>
    <t>EDCCHI03</t>
  </si>
  <si>
    <t>2055 Lunt Ave, Elk Grove Village, IL 60007, USA</t>
  </si>
  <si>
    <t>weJOzB</t>
  </si>
  <si>
    <t>431a5c176235e9f361e4f16933a52d1a361a1c04997d2360f65c702bfaa83b68</t>
  </si>
  <si>
    <t>EDCCHI04-05</t>
  </si>
  <si>
    <t>905 Jarvis Ave, Des Plaines, IL 60018</t>
  </si>
  <si>
    <t>Des Plaines</t>
  </si>
  <si>
    <t>60018</t>
  </si>
  <si>
    <t>Gdzx7B</t>
  </si>
  <si>
    <t>76cd066326a0d7a9064b544d4eb1b954c38dc62d3e9966bbb3390e7069dff8ae</t>
  </si>
  <si>
    <t>EDCDET01</t>
  </si>
  <si>
    <t>21005 Lahser Road, Bldg 4, Southfield, MI 48033</t>
  </si>
  <si>
    <t>48033</t>
  </si>
  <si>
    <t>JGmxrR</t>
  </si>
  <si>
    <t>b9ad848c34379f5979653b2f1527568afafad7812b0ae63c2b072b02637eb593</t>
  </si>
  <si>
    <t>EDCDET02</t>
  </si>
  <si>
    <t>21107 Lahser Rd,   Southfield, MI 48033</t>
  </si>
  <si>
    <t>B1XJMw</t>
  </si>
  <si>
    <t>aa36d05ee8c8a1b58137904034941a3d85a1b01e78fd62cfbe0fa532ba3eb24c</t>
  </si>
  <si>
    <t>EDCJAX01</t>
  </si>
  <si>
    <t>6602 Executive Park Court N, Unit #105, Jacksonville, FL, US</t>
  </si>
  <si>
    <t>XRjWeG</t>
  </si>
  <si>
    <t>3193c586da419756a21e3f78bdbedde26185a002558fc1587b4350d7e899b549</t>
  </si>
  <si>
    <t>EDCMAD01</t>
  </si>
  <si>
    <t>4916 E Broadway Madison, Wisconsin 53716</t>
  </si>
  <si>
    <t>Monona</t>
  </si>
  <si>
    <t>53716</t>
  </si>
  <si>
    <t>Glendale</t>
  </si>
  <si>
    <t>qR0mWG</t>
  </si>
  <si>
    <t>ee27baed556fb3ca7ea5b49dfcf05b923f155c202944d092d6a61eb158e302b5</t>
  </si>
  <si>
    <t>EDCMEM01</t>
  </si>
  <si>
    <t>4005 S Mendenhall Road, Unit 6, Memphis, TN, 38115, United States of America</t>
  </si>
  <si>
    <t>38115</t>
  </si>
  <si>
    <t>2GdrrB</t>
  </si>
  <si>
    <t>a1a71533b580fe556e9802d0a84bf5628ec044571ea34d600e4d8aecedb01672</t>
  </si>
  <si>
    <t>EDCMIA01</t>
  </si>
  <si>
    <t>2132 NW 114th Avenue, Miami, FL, 33172, United States of America</t>
  </si>
  <si>
    <t>4RKq2w</t>
  </si>
  <si>
    <t>124c9f386fda157240d960e0853ea88915fea2616f7caaef81321fc2c770deb3</t>
  </si>
  <si>
    <t>EDCMIA02</t>
  </si>
  <si>
    <t>475 NE 185th St, Miami Gardens, Miami, FL, 33179, United States of America</t>
  </si>
  <si>
    <t>33179</t>
  </si>
  <si>
    <t>JGmPLR</t>
  </si>
  <si>
    <t>37559427ca2d07af142514b2270b913e203305031ba8e595d5e7105d9b5d9a28</t>
  </si>
  <si>
    <t>EDCMSP01</t>
  </si>
  <si>
    <t>6875 Shady Oak Road, Eden Prairie,  Minneapolis, MN , 55344, United States of America</t>
  </si>
  <si>
    <t>Eden Prairie</t>
  </si>
  <si>
    <t>55344</t>
  </si>
  <si>
    <t>ARNenB</t>
  </si>
  <si>
    <t>be148f1bbbee7b9e38380510100dd389140099d17c53e5624a6784b8319c6084</t>
  </si>
  <si>
    <t>EDCNAS01</t>
  </si>
  <si>
    <t>1841 Air Lane Drive, Bldg. 3, Nashville, TN, 37210, United States of America</t>
  </si>
  <si>
    <t>37210</t>
  </si>
  <si>
    <t>Mud Tavern</t>
  </si>
  <si>
    <t>qGLoqR</t>
  </si>
  <si>
    <t>6d3b1fd004899697fc5d4ec85970bceb6380d97207f49dbbeba005eb61d6b7b5</t>
  </si>
  <si>
    <t>EDCNOR01</t>
  </si>
  <si>
    <t>3800 Village Avenue, Suite C, Norfolk, Virginia, 23502, United States of America</t>
  </si>
  <si>
    <t>Norfolk</t>
  </si>
  <si>
    <t>23502</t>
  </si>
  <si>
    <t>Norfolk Industrial Park</t>
  </si>
  <si>
    <t>qB1a8B</t>
  </si>
  <si>
    <t>e3cd5437d8c1a7a0f0a7b4abd078170351bc75447342d5139b4e2f48794b544d</t>
  </si>
  <si>
    <t>EDCPHX01</t>
  </si>
  <si>
    <t>3011 S 52nd Street, Suite 107, Tempe, AZ, 85282, United States of America</t>
  </si>
  <si>
    <t>85282</t>
  </si>
  <si>
    <t>Vw5zZB</t>
  </si>
  <si>
    <t>0adb5236d4825b96b7be60c08aab0734438d59232c1b5d556c79951dc2381ed4</t>
  </si>
  <si>
    <t>EDCPHX11</t>
  </si>
  <si>
    <t>3261 S. Hawes Rd. Mesa, AZ 85212</t>
  </si>
  <si>
    <t>BgJVxw</t>
  </si>
  <si>
    <t>014cd93088fba988a271a13514093449e67adf5550fcf2553ae0fc4e1980248b</t>
  </si>
  <si>
    <t>EDCPIT01</t>
  </si>
  <si>
    <t>282 Corliss Street, Pittsburgh, PA, US</t>
  </si>
  <si>
    <t>15220</t>
  </si>
  <si>
    <t>Sheraden</t>
  </si>
  <si>
    <t>zwOLnB</t>
  </si>
  <si>
    <t>b4ef57a5405f39ea12dd0ba31a7fb5596ba796b303c61e8181585c3fa3c011db</t>
  </si>
  <si>
    <t>EDCRIC01</t>
  </si>
  <si>
    <t>1450 E Parham Road, Suite C, Richmond, VA, 23228, United States of America</t>
  </si>
  <si>
    <t>Middleton</t>
  </si>
  <si>
    <t>Stonewall Manor</t>
  </si>
  <si>
    <t>8RvqMB</t>
  </si>
  <si>
    <t>691370d474aa90dbc039129d66f2478588782a466a2f8f7c47f8f863d5ee2876</t>
  </si>
  <si>
    <t>EDCSAC01</t>
  </si>
  <si>
    <t>10980 Gold Center Drive, Rancho Cordova, Sacramento, CA, 95670, United States of America</t>
  </si>
  <si>
    <t>QBbleG</t>
  </si>
  <si>
    <t>30dae7477dc9872c8f984299855407520aa06c7056f7da77703e9037e0ececaa</t>
  </si>
  <si>
    <t>EDCSDG01</t>
  </si>
  <si>
    <t>5761 Copley Drive, Suite 150B, San Diego, CA, 92111, United States of America</t>
  </si>
  <si>
    <t>92111</t>
  </si>
  <si>
    <t>8Rv4Ow</t>
  </si>
  <si>
    <t>14fb5cce2cece582e18099d1f41316b63f05a6ffc79dc0ce0514afa489c357fa</t>
  </si>
  <si>
    <t>EDCSEA01</t>
  </si>
  <si>
    <t>3425 S 116th Street, Building 6, Suite 133 Seattle, WA 98168</t>
  </si>
  <si>
    <t>98168</t>
  </si>
  <si>
    <t>Gateway North</t>
  </si>
  <si>
    <t>dGWMbB</t>
  </si>
  <si>
    <t>c8c381982cafe0c0adb0c0f06bda57dfc26e7c5aee61795efa0a94e06e819309</t>
  </si>
  <si>
    <t>EDCSLC01</t>
  </si>
  <si>
    <t>2302 South President's Drive, West Valley City, Salt Lake City, Utah, 84120, USA</t>
  </si>
  <si>
    <t>West Valley City</t>
  </si>
  <si>
    <t>84120</t>
  </si>
  <si>
    <t>nR2nWR</t>
  </si>
  <si>
    <t>4d4d0c6c3f92f6345ad222a333d0f7c549630ab6285ad443fb8c1d3ce55019e3</t>
  </si>
  <si>
    <t>EDCSLI01</t>
  </si>
  <si>
    <t>2070 Gause Blvd E, Slidell, LA 70461, USA</t>
  </si>
  <si>
    <t>St. Tammany Parish</t>
  </si>
  <si>
    <t>Slidell</t>
  </si>
  <si>
    <t>4925</t>
  </si>
  <si>
    <t>bBX6JG</t>
  </si>
  <si>
    <t>20061d8c66d88128500d95dc987771e62334c70c873b5ed8cf358d34f6864d41</t>
  </si>
  <si>
    <t>EDCSVC01</t>
  </si>
  <si>
    <t>1700 Richard Ave, Santa Clara, CA 95050, United States</t>
  </si>
  <si>
    <t>woXDXB</t>
  </si>
  <si>
    <t>233e11c515d149d4ce2ba7ceb04aaabd08bcd6be86e178c9f55d317e319f85ed</t>
  </si>
  <si>
    <t>EDCTAL01</t>
  </si>
  <si>
    <t>1531 Commonwealth Business Drive,  Units 404-408 Tallahassee, FL 32303</t>
  </si>
  <si>
    <t>Leon County</t>
  </si>
  <si>
    <t>Tallahassee</t>
  </si>
  <si>
    <t>32303</t>
  </si>
  <si>
    <t>YBqWdG</t>
  </si>
  <si>
    <t>931f3e9d02b4751a2fad157e6d842cbd47dba6b7018a6c3232f616498a8f6186</t>
  </si>
  <si>
    <t>EdgeConneX New Albany North</t>
  </si>
  <si>
    <t>3356 Clover Valley Rd NW Johnstown, OH 43031</t>
  </si>
  <si>
    <t>R8889R</t>
  </si>
  <si>
    <t>65f032727779519071618de3e92ed96c5801fb854e60e5a42279c14cdc7d50bb</t>
  </si>
  <si>
    <t>EdgeConneX New Albany South</t>
  </si>
  <si>
    <t>9850 Innovation Campus Rd, Johnstown, OH 43031</t>
  </si>
  <si>
    <t>GDKK4R</t>
  </si>
  <si>
    <t>816ee91a5c707e0fc7adc4e8975476008bb0904295e525d0b7a4ae770439fa23</t>
  </si>
  <si>
    <t>HOU01</t>
  </si>
  <si>
    <t>1510 Prime West Parkway, Katy, Houston, Texas 77449, USA</t>
  </si>
  <si>
    <t>Katy</t>
  </si>
  <si>
    <t>77449</t>
  </si>
  <si>
    <t>Eldridge</t>
  </si>
  <si>
    <t>VwMrVB</t>
  </si>
  <si>
    <t>00ea0af9f0aabacb2fa1605f4748b642b7147c52c6cf251717af5f55564dd9c3</t>
  </si>
  <si>
    <t>LAS01</t>
  </si>
  <si>
    <t>1541 Pama Lane, Las Vega, NV 89119, United States of America</t>
  </si>
  <si>
    <t>Symphony</t>
  </si>
  <si>
    <t>PGyZEw</t>
  </si>
  <si>
    <t>1b4cf01e53be25e999843d0be3ece1f2ba4bee32a291fee9b52ba60c51cc6422</t>
  </si>
  <si>
    <t>POR01</t>
  </si>
  <si>
    <t>6327, 300 NE Evergreen Pkwy Bldg C, Suite C, Hillsboro, OR 97124, United States</t>
  </si>
  <si>
    <t>PBPvyG</t>
  </si>
  <si>
    <t>83ecbdd4fd58c5b5a84e94b1f6b9a29f0c0b431457a13ee6c4e03b67991f2733</t>
  </si>
  <si>
    <t>POR02</t>
  </si>
  <si>
    <t>6297 NE Evergreen Pkwy, Building A Hillsboro, OR 97124</t>
  </si>
  <si>
    <t>G3pgYw</t>
  </si>
  <si>
    <t>f049f53ea9b0edacfc2070e5b6a8a2e406f03f53fe3152689ca3888cb60d675a</t>
  </si>
  <si>
    <t>POR03</t>
  </si>
  <si>
    <t>6501 NE Bennett Street, Hillsboro, OR 97124, USA</t>
  </si>
  <si>
    <t>B72aLw</t>
  </si>
  <si>
    <t>4edc986585cb1dea98f8b18f008f7803293cd2b5704a1cfefe7fb1cdb9ee35eb</t>
  </si>
  <si>
    <t>EdgeCore</t>
  </si>
  <si>
    <t>AS01</t>
  </si>
  <si>
    <t>45865 Maries Rd, Sterling, VA 20166</t>
  </si>
  <si>
    <t>R8J0vw</t>
  </si>
  <si>
    <t>28e09d2b9df5db9c61c79c32b965b9f45a0a3c7878d691cccb84faeef4fcadc4</t>
  </si>
  <si>
    <t>AS02</t>
  </si>
  <si>
    <t>1501 Moran Rd, Sterling, VA 20166</t>
  </si>
  <si>
    <t>GdA9rw</t>
  </si>
  <si>
    <t>44f9674e04948cc998564285463ff0c3b48e448827759e4c4b5b3fc4030eccbd</t>
  </si>
  <si>
    <t>EdgeCore Culpeper</t>
  </si>
  <si>
    <t>Culpeper, Virginia 22701</t>
  </si>
  <si>
    <t>GWZEbR</t>
  </si>
  <si>
    <t>1b4859fa291cb76031096e26477ce852ffd0643aff43ac1385ca7ad3d43df521</t>
  </si>
  <si>
    <t>EdgeCore Dulles</t>
  </si>
  <si>
    <t>21191 Atlantic Blvd Sterling, VA 20166</t>
  </si>
  <si>
    <t>4RKMVw</t>
  </si>
  <si>
    <t>5122d4a1fc2f428281de00cd2d8fc756514f6046366b0ab99d2a8709d728d1dc</t>
  </si>
  <si>
    <t>EdgeCore Louisa</t>
  </si>
  <si>
    <t>Kents Store, VA 23084</t>
  </si>
  <si>
    <t>Goochland County</t>
  </si>
  <si>
    <t>Tabscott</t>
  </si>
  <si>
    <t>23093</t>
  </si>
  <si>
    <t>w5VLgB</t>
  </si>
  <si>
    <t>d282bc109ab4194cac5e3386b480dbfb479b0859db23cfd0bb5bf7913f273470</t>
  </si>
  <si>
    <t>3856 S Everton Terrace, Mesa, AZ 85212, United States</t>
  </si>
  <si>
    <t>zwOMdR</t>
  </si>
  <si>
    <t>a224bbd886bd85eb42adb77681d3e74b7b7922ae2a3e2ce8491b0e16bb6186ab</t>
  </si>
  <si>
    <t>Reno Campus</t>
  </si>
  <si>
    <t>3000 USA Pkwy, Sparks, NV 89434, USA</t>
  </si>
  <si>
    <t>YBgQxG</t>
  </si>
  <si>
    <t>e58f531ff599472409b052e67a1893063af033ad4ee0f7b7b82588bbe1f862ed</t>
  </si>
  <si>
    <t>Silicon Valley Data Center Campus</t>
  </si>
  <si>
    <t>2201 Laurelwood Rd, Santa Clara, CA 95054</t>
  </si>
  <si>
    <t>95054-1516</t>
  </si>
  <si>
    <t>GkY87B</t>
  </si>
  <si>
    <t>eb6ba252c98fe3e3122706c4b030070378a22cf69c3d488b394206befe44a15e</t>
  </si>
  <si>
    <t>Edged</t>
  </si>
  <si>
    <t>1968 Marietta Rd NW, Atlanta, GA 30318, USA</t>
  </si>
  <si>
    <t>wVqdKG</t>
  </si>
  <si>
    <t>b66d4dcdce7b6a10a8c5130452d6c689aa0ce4e2f4a96382004d037ef40c95c1</t>
  </si>
  <si>
    <t>Chicago (Aurora)</t>
  </si>
  <si>
    <t>2725 Bilter Rd, Aurora, IL 60502, USA</t>
  </si>
  <si>
    <t>w5AA0w</t>
  </si>
  <si>
    <t>264fcf0df24ab3214c37a38ff4c5561740a28b9f41b958e6501b2505d7639cf6</t>
  </si>
  <si>
    <t>DFW01</t>
  </si>
  <si>
    <t>505 N Wildwood Drive, Irving 75061, Texas, USA</t>
  </si>
  <si>
    <t>RxY0ZG</t>
  </si>
  <si>
    <t>f14c770998dc25f9e3cb466517331332ff9d89f0ec1aec7a91b960ba847b9d36</t>
  </si>
  <si>
    <t>DSM01-1</t>
  </si>
  <si>
    <t>9100 SE Four Mile Drive Ankenny, Iowa</t>
  </si>
  <si>
    <t>Ankeny</t>
  </si>
  <si>
    <t>50317</t>
  </si>
  <si>
    <t>BAQYMB</t>
  </si>
  <si>
    <t>0f6d59ce55d79c561054c88df5af07cb8bd7fc88c6ca802ec72bdfb0d2920999</t>
  </si>
  <si>
    <t>Edged New Albany</t>
  </si>
  <si>
    <t>7600 West Campus Rd, New Albany, OH 43054</t>
  </si>
  <si>
    <t>R8myVG</t>
  </si>
  <si>
    <t>cac87733b5a24d78df00884da547452ab4e1e1f23e91a97aeda9267e4aad37b4</t>
  </si>
  <si>
    <t>Kansas City</t>
  </si>
  <si>
    <t>3420 N Arlington Ave, Kansas City, MO 64161, USA</t>
  </si>
  <si>
    <t>Jackson County</t>
  </si>
  <si>
    <t>64161</t>
  </si>
  <si>
    <t>Kaw Township</t>
  </si>
  <si>
    <t>Minaville</t>
  </si>
  <si>
    <t>RjJ9nR</t>
  </si>
  <si>
    <t>68b6db747011a5dfe92900b2db227dc4ffeb18fac6eaacf332eb31aacd59549e</t>
  </si>
  <si>
    <t>PHX01-1</t>
  </si>
  <si>
    <t>8811 E. Warner Road, Mesa, AZ 85212</t>
  </si>
  <si>
    <t>GZ6JoG</t>
  </si>
  <si>
    <t>ac2c55606c721bfdd7cbc7be55e92af4ccd2a2bc0fdebdbed9bafdf4bb30b48d</t>
  </si>
  <si>
    <t>Project Lola</t>
  </si>
  <si>
    <t>51503</t>
  </si>
  <si>
    <t>GnKDkw</t>
  </si>
  <si>
    <t>b53241ca2bc07ed5e3bb251003d0fb8a8d63d758ca22c034e8b979a09afc62c3</t>
  </si>
  <si>
    <t>SLC01-1</t>
  </si>
  <si>
    <t>600 W. 14600 S Bluffdale, UT 84065</t>
  </si>
  <si>
    <t>Bluffdale</t>
  </si>
  <si>
    <t>GZZvvG</t>
  </si>
  <si>
    <t>ee8068ac705c48771eb0ebba30c16c290f0877c65bd8c262dfc80bd6e8ba85a4</t>
  </si>
  <si>
    <t>EIP</t>
  </si>
  <si>
    <t>Energy &amp; Innovation Park</t>
  </si>
  <si>
    <t>New Britain, CT 06053</t>
  </si>
  <si>
    <t>New Britain</t>
  </si>
  <si>
    <t>06053</t>
  </si>
  <si>
    <t>City Hall–Monument Historic District</t>
  </si>
  <si>
    <t>Little Poland</t>
  </si>
  <si>
    <t>RvYoqB</t>
  </si>
  <si>
    <t>495168b0cfb4aad8223f72eecf6d1726b6b62194c2589102cce31ea7d5ae994c</t>
  </si>
  <si>
    <t>Element Critical</t>
  </si>
  <si>
    <t>Austin One</t>
  </si>
  <si>
    <t>8025 N Interstate Hwy 35, Austin, Texas 78753, USA</t>
  </si>
  <si>
    <t>78753</t>
  </si>
  <si>
    <t>Fiskville</t>
  </si>
  <si>
    <t>R2rA4R</t>
  </si>
  <si>
    <t>668fb14c2eb6acc7400dca0052eae4722920917b9c0f38e843d90e232088a8e2</t>
  </si>
  <si>
    <t>Chicago I</t>
  </si>
  <si>
    <t>711 N. Edgewood Ave. 60191 Wood Dale Illinois, USA</t>
  </si>
  <si>
    <t>Wood Dale</t>
  </si>
  <si>
    <t>R8JgZw</t>
  </si>
  <si>
    <t>f1eaff63068dc7809c53ad1b420c03d5971fd78e0ee92fca99b273723738d828</t>
  </si>
  <si>
    <t>Chicago II</t>
  </si>
  <si>
    <t>341 Haynes Drive 60191 Wood Dale Illinois, USA</t>
  </si>
  <si>
    <t>RNeDYB</t>
  </si>
  <si>
    <t>924be8fa02fdf46730dd2953f6f6eaa53db3002d5920661237a6e7a73aa5fc1b</t>
  </si>
  <si>
    <t>Houston One</t>
  </si>
  <si>
    <t>22000 Franz Road, Katy, Texas 77449, USA</t>
  </si>
  <si>
    <t>Bb02xG</t>
  </si>
  <si>
    <t>04d4f4ac9786e5c225f59c5d9eddc3f70e82092f78d389005b3a85f4feeb67ab</t>
  </si>
  <si>
    <t>Elevance Health</t>
  </si>
  <si>
    <t>1175 North Main Street</t>
  </si>
  <si>
    <t>1175 N Main St, Harrisonburg, VA 22802</t>
  </si>
  <si>
    <t>City of Harrisonburg</t>
  </si>
  <si>
    <t>Harrisonburg</t>
  </si>
  <si>
    <t>22802</t>
  </si>
  <si>
    <t>GnqJvR</t>
  </si>
  <si>
    <t>7d9797e8dfc740d541e4e0c443305b63b4d17c6df4b0cbe2d60c6ac4ceef02c7</t>
  </si>
  <si>
    <t>eLink</t>
  </si>
  <si>
    <t>eLink Johns Island</t>
  </si>
  <si>
    <t>3227 Walter Dr Suite C, Johns Island, SC 29455</t>
  </si>
  <si>
    <t>29455</t>
  </si>
  <si>
    <t>weNb4B</t>
  </si>
  <si>
    <t>f9e9f9af9e9ab2fdf89be72cb1d37feb5a03a34ef70872e387d04228e4ef6778</t>
  </si>
  <si>
    <t>Elm Data</t>
  </si>
  <si>
    <t>Elm Data Centre</t>
  </si>
  <si>
    <t>235 Elm St, Buffalo, NY 14203</t>
  </si>
  <si>
    <t>14203</t>
  </si>
  <si>
    <t>BgJqQw</t>
  </si>
  <si>
    <t>8f007e2ca82ca6c3938afa59f91ff459537d8798af6a55e9791588bf770e9a88</t>
  </si>
  <si>
    <t>Energy Abundance</t>
  </si>
  <si>
    <t>Data City</t>
  </si>
  <si>
    <t>Webb County</t>
  </si>
  <si>
    <t>G323yR</t>
  </si>
  <si>
    <t>d03bf011879d9f823abd87530fc5682b074c531ecdabc83b3c28839c0e14cc2f</t>
  </si>
  <si>
    <t>EnergyNet</t>
  </si>
  <si>
    <t>EnergyNet Data Center</t>
  </si>
  <si>
    <t>1820 E. 9th Street 42240 Hopkinsville Kentucky, USA</t>
  </si>
  <si>
    <t>Christian County</t>
  </si>
  <si>
    <t>Hopkinsville</t>
  </si>
  <si>
    <t>42240</t>
  </si>
  <si>
    <t>GWp91w</t>
  </si>
  <si>
    <t>ac3c80033d691602a11235b1a4eef7a2fa5fd83b3e8602426e8d8f369ddc20c1</t>
  </si>
  <si>
    <t>eNET</t>
  </si>
  <si>
    <t>eNET Columbus Ohio</t>
  </si>
  <si>
    <t>3000 E. Dublin-Granville Rd  43231 Columbus  Ohio, USA</t>
  </si>
  <si>
    <t>43231</t>
  </si>
  <si>
    <t>Northland</t>
  </si>
  <si>
    <t>GrVkoG</t>
  </si>
  <si>
    <t>b32742455b2ebff4355b3f0b17ffdf825d7133fadb38a2607f395053cdaa1bda</t>
  </si>
  <si>
    <t>Engineered Land Solutions</t>
  </si>
  <si>
    <t>Project Delta</t>
  </si>
  <si>
    <t>US HWY 311 &amp; TUTTLE RD</t>
  </si>
  <si>
    <t>Stokes County</t>
  </si>
  <si>
    <t>Walnut Cove</t>
  </si>
  <si>
    <t>27052</t>
  </si>
  <si>
    <t>RKLpZG</t>
  </si>
  <si>
    <t>35b79a265d4c7b2cd2e29bfc9af8388269d01915e109f71562aee4ea33233a2e</t>
  </si>
  <si>
    <t>Enseva</t>
  </si>
  <si>
    <t>IA1</t>
  </si>
  <si>
    <t>755 Metzger Dr 52233 Hiawatha Iowa, USA</t>
  </si>
  <si>
    <t>Hiawatha</t>
  </si>
  <si>
    <t>52233</t>
  </si>
  <si>
    <t>BX65jG</t>
  </si>
  <si>
    <t>3aee2b0f172416238a3986634f4730cc65f150478b681cc932c7f80218d800f3</t>
  </si>
  <si>
    <t>Ensono</t>
  </si>
  <si>
    <t>1501 Opus Place</t>
  </si>
  <si>
    <t>1501 Opus Pl, Downers Grove, IL 60515, USA</t>
  </si>
  <si>
    <t>Downers Grove</t>
  </si>
  <si>
    <t>60515</t>
  </si>
  <si>
    <t>Downers Grove Township</t>
  </si>
  <si>
    <t>BbAzew</t>
  </si>
  <si>
    <t>6c320f89732bc32ffc480946ccb88b8843f841c172df03c753016a5f19e53f5c</t>
  </si>
  <si>
    <t>Enterhost</t>
  </si>
  <si>
    <t>Burnett Plaza</t>
  </si>
  <si>
    <t>801 Cherry St, Burnett Plaza, Suite LL50, Fort Worth, Texas 76102, USA</t>
  </si>
  <si>
    <t>76102</t>
  </si>
  <si>
    <t>Downtown Fort Worth</t>
  </si>
  <si>
    <t>Gk3QNG</t>
  </si>
  <si>
    <t>4c35440eef8bad16a67e5d3ce15de8ca9bf2617f0408d080c005b4985535663d</t>
  </si>
  <si>
    <t>Epsilon</t>
  </si>
  <si>
    <t>Epsilon 60 Hudson Street</t>
  </si>
  <si>
    <t>60 Hudson St, New York, NY 10013</t>
  </si>
  <si>
    <t>wod9kB</t>
  </si>
  <si>
    <t>4336acf340a5d88a28a03ab10892dbf6674c02b8ce2f465d2e5bbf334391a16c</t>
  </si>
  <si>
    <t>Equinix</t>
  </si>
  <si>
    <t>AT1</t>
  </si>
  <si>
    <t>180 Peachtree St NW, Atlanta, GA 30303, USA</t>
  </si>
  <si>
    <t>RvYVOB</t>
  </si>
  <si>
    <t>e426ce015dc8e31b726a58fccb4f87a7f37fdec518b4d0dfcf99c1e525291d66</t>
  </si>
  <si>
    <t>AT4</t>
  </si>
  <si>
    <t>450 Interstate North Parkway, Atlanta, US</t>
  </si>
  <si>
    <t>Chattahoochee Bluffs</t>
  </si>
  <si>
    <t>XRjr8R</t>
  </si>
  <si>
    <t>54c7a80b48034fa8129c7b9eb8a77c76d429fd9fc23a41e0a1b521d61179ea8e</t>
  </si>
  <si>
    <t>AT7</t>
  </si>
  <si>
    <t>Hampton</t>
  </si>
  <si>
    <t>30284</t>
  </si>
  <si>
    <t>BAgoeG</t>
  </si>
  <si>
    <t>4e40dfbb19385e38f81dfec19d1beaa2da08a8ebd26639a61d71f504d95784c6</t>
  </si>
  <si>
    <t>BO2</t>
  </si>
  <si>
    <t>41 Alexander Rd, Billerica, MA 01821</t>
  </si>
  <si>
    <t>01803</t>
  </si>
  <si>
    <t>gwepVG</t>
  </si>
  <si>
    <t>5a19e86e43ba09639df9922dbda5f20ea9b49f5219609aa91217190bf75911e1</t>
  </si>
  <si>
    <t xml:space="preserve"> 1905 Lunt Avenue Elk Grove, IL, 60007, USA</t>
  </si>
  <si>
    <t>qBJQNw</t>
  </si>
  <si>
    <t>7f138cb4dd4feebf68beea68477b59701ac811e897030b25fa2c9f21437ed088</t>
  </si>
  <si>
    <t>CH7</t>
  </si>
  <si>
    <t>111 Plaza Dr, Westmont, IL 60559, USA</t>
  </si>
  <si>
    <t>Westmont</t>
  </si>
  <si>
    <t>60559</t>
  </si>
  <si>
    <t>rGk8Mw</t>
  </si>
  <si>
    <t>5a3db78a25c12fa2c4f26d7c4726f602766f802ea4c163c626cd9bca0e6164ce</t>
  </si>
  <si>
    <t>CU1</t>
  </si>
  <si>
    <t xml:space="preserve"> 18155 Technology Drive Building A, Culpeper, VA , 22701, United States</t>
  </si>
  <si>
    <t>2GdnDB</t>
  </si>
  <si>
    <t>e542fb816e48792af558a5a232b70051dfff5919c6c36053cc6cd801cf57ef46</t>
  </si>
  <si>
    <t>CU2</t>
  </si>
  <si>
    <t xml:space="preserve"> 18155 Technology Drive Building B , Culpeper, VA , 22701, United States</t>
  </si>
  <si>
    <t>bGz0oB</t>
  </si>
  <si>
    <t>5517f97db2286656d82e79c60c5b1758330db63f6b0fed5fa40a45f7941b21f6</t>
  </si>
  <si>
    <t>CU3</t>
  </si>
  <si>
    <t>18155 Technology Drive Building C , Culpeper, VA , 22701, United States</t>
  </si>
  <si>
    <t>4RK7DR</t>
  </si>
  <si>
    <t>619902ff03e77abcaf5e4cdd1180a5c5c6e0244a13696f12ed63032cc7eef8b5</t>
  </si>
  <si>
    <t>CU4</t>
  </si>
  <si>
    <t>18155 Technology Drive Building D , Culpeper, VA, 22701, United States</t>
  </si>
  <si>
    <t>YBg36B</t>
  </si>
  <si>
    <t>f01d990c3576cee778d778172970cf85d05255e0a5d07a6cc11599651c7f5f15</t>
  </si>
  <si>
    <t>DA1</t>
  </si>
  <si>
    <t>EG6z1G</t>
  </si>
  <si>
    <t>6d1da0bc3cf156c93cd07caabce2946d921ae124ce85d33268a2bae36b324de0</t>
  </si>
  <si>
    <t>DA11</t>
  </si>
  <si>
    <t>1990 N Stemmons Fwy, Dallas, Texas 75207, USA</t>
  </si>
  <si>
    <t>75291</t>
  </si>
  <si>
    <t>w9Zd8B</t>
  </si>
  <si>
    <t>9314aab552bc80870024ad5891b53e0e295c8a7d7722ddc969893bc2d63cd651</t>
  </si>
  <si>
    <t>DA12</t>
  </si>
  <si>
    <t>1550 West Mockingbird Ln, Dallas, TX 75235</t>
  </si>
  <si>
    <t>Gm4m9R</t>
  </si>
  <si>
    <t>0495012f475df89eea3c3416cc12fe3aa16c35c0f4a5c984af70aef00e609a5b</t>
  </si>
  <si>
    <t>1950 N Stemmons Fwy, Suite 2027, Dallas, Texas 75207, USA</t>
  </si>
  <si>
    <t>qR0xAR</t>
  </si>
  <si>
    <t>6e06b08085621435333e1736f6629a3fd0a44f91be083209ec24875effbefa06</t>
  </si>
  <si>
    <t>DA3</t>
  </si>
  <si>
    <t>1950 N Stemmons FwySuite 1039A + 2048, Dallas, Texas, USA</t>
  </si>
  <si>
    <t>jBE36G</t>
  </si>
  <si>
    <t>2cf25c3d627484e1576178580f2779d74fae238e7fd0a9aa42b05cb52b2bc437</t>
  </si>
  <si>
    <t>DA4</t>
  </si>
  <si>
    <t>2323 Bryan St, Dallas, Texas 75201, USA</t>
  </si>
  <si>
    <t>qGLYQw</t>
  </si>
  <si>
    <t>cc74948b0797143019fbab400ecbc3b9cd05f5392836d11db1c98402a04f4740</t>
  </si>
  <si>
    <t>DA6</t>
  </si>
  <si>
    <t>1950 North Stemmons Freeway Suites 2049 &amp; 3050, Dallas, US</t>
  </si>
  <si>
    <t>XRjrmR</t>
  </si>
  <si>
    <t>3e687d4b1f629410011674e36b554d7edddbcab493644d3a4b3873b58f779181</t>
  </si>
  <si>
    <t>DA9</t>
  </si>
  <si>
    <t xml:space="preserve"> 2222 East Grauwyler Road, Irving, Texas 75061, USA</t>
  </si>
  <si>
    <t>75061</t>
  </si>
  <si>
    <t>DBAkQG</t>
  </si>
  <si>
    <t>e2e54159d1518dedd217f6f5c918c7fc2f44b9d01ca437ff4d821d52fac1e747</t>
  </si>
  <si>
    <t>21711 Filigree Ct. Bldg C , Ashburn , VA , 20147, United States</t>
  </si>
  <si>
    <t>QBbKkR</t>
  </si>
  <si>
    <t>1cd24f4ff843c0eea9f8cbb634c780650231d1e50728033bd6475488d7a30852</t>
  </si>
  <si>
    <t>DC10</t>
  </si>
  <si>
    <t xml:space="preserve"> 21551 Beaumeade Circle, Ashburn, VA , 20147, United States</t>
  </si>
  <si>
    <t>Ashburn Village</t>
  </si>
  <si>
    <t>jBE46w</t>
  </si>
  <si>
    <t>01cd8f25308126b21c6b731cadf501afc3aee20f841e5b6f01b522400f1b0ece</t>
  </si>
  <si>
    <t>DC11</t>
  </si>
  <si>
    <t>21721 Filigree Ct. , Ashburn , VA , 20147, United States</t>
  </si>
  <si>
    <t>YBqV6R</t>
  </si>
  <si>
    <t>c563329e5c308ad031d54fc931c4660754c4840b013520d24bdaf5df7648bb72</t>
  </si>
  <si>
    <t>DC12</t>
  </si>
  <si>
    <t>44790 Performance Circle, Ashburn, VA, 20147, United States</t>
  </si>
  <si>
    <t>qB12eR</t>
  </si>
  <si>
    <t>c117c19498ebad8c9594e67221936fabf73557991fb907f687d3432d0747f975</t>
  </si>
  <si>
    <t>DC13</t>
  </si>
  <si>
    <t xml:space="preserve"> 21830 Uunet Way, Ashburn, VA , 20147, United States</t>
  </si>
  <si>
    <t>yGl0xG</t>
  </si>
  <si>
    <t>8ed30425f2ac408bcb9597d9d41a7f59d50536770d165a492008bf3d60098bf5</t>
  </si>
  <si>
    <t>DC14</t>
  </si>
  <si>
    <t>7400 Infantry Ridge Road, Manassas, VA , 20109, United States</t>
  </si>
  <si>
    <t>mGrEXR</t>
  </si>
  <si>
    <t>1af16d580c44692d9fff675dc34a1565143b74c3c4e4059e93739b0e7c64af05</t>
  </si>
  <si>
    <t>DC15</t>
  </si>
  <si>
    <t>44780 Performance Circle, Ashburn, VA, US, 20147</t>
  </si>
  <si>
    <t>BXNoJG</t>
  </si>
  <si>
    <t>31221ee2588ce0edf6ed345473ca94b2a81103465bed9e17731742855817173c</t>
  </si>
  <si>
    <t>DC16</t>
  </si>
  <si>
    <t>44740 Performance Cir, Ashburn, VA 20147</t>
  </si>
  <si>
    <t>RpZW3w</t>
  </si>
  <si>
    <t>f8acd6c38437d994aaff1606afb99d27cb0b0ed1165aa923beacafb68018be32</t>
  </si>
  <si>
    <t>DC17</t>
  </si>
  <si>
    <t>Performance Cir, Ashburn, VA 20147</t>
  </si>
  <si>
    <t>RxnNvw</t>
  </si>
  <si>
    <t>13ce683611723e484ff10bc916e176c2a685076a5260050b54718c0415019ee9</t>
  </si>
  <si>
    <t>DC18</t>
  </si>
  <si>
    <t>R0l8WR</t>
  </si>
  <si>
    <t>60b241c40b4d2e5650db444308fc74d38322df34e2336c9bf1204acb0aa1d431</t>
  </si>
  <si>
    <t>21715 Filigree Ct. Bldg F , Ashburn  , VA, 20147, United States</t>
  </si>
  <si>
    <t>8Rv7aG</t>
  </si>
  <si>
    <t>92300fa846ab7a97bcd03d71c728804da6ae50d200da24e3450bbd31444e1570</t>
  </si>
  <si>
    <t>DC21</t>
  </si>
  <si>
    <t>22175 Beaumeade Circle, Ashburn, US, 20147</t>
  </si>
  <si>
    <t>BE9dLB</t>
  </si>
  <si>
    <t>270de381e567cd35ee7e5aefadbf7e70afa26e406319eef898d43b6cd53ddf1d</t>
  </si>
  <si>
    <t>DC22</t>
  </si>
  <si>
    <t>22165 Beaumeade Cir, Ashburn, VA 20147</t>
  </si>
  <si>
    <t>R0Zo5w</t>
  </si>
  <si>
    <t>fb13bffc90207e5fed0138e26e71e3ccaa858c8f315c2482021b9f79e0b1e7c4</t>
  </si>
  <si>
    <t>DC3</t>
  </si>
  <si>
    <t>44470 Chilum Place Bldg 1, Ashburn , VA , 20147, United States</t>
  </si>
  <si>
    <t>dGZ5WR</t>
  </si>
  <si>
    <t>cdaa613744808338b03d8bff856bf26713b11a4cc724437cfa9327ac5e90e319</t>
  </si>
  <si>
    <t>DC4</t>
  </si>
  <si>
    <t xml:space="preserve"> 21691 Filigree Ct. Bldg E , Ashburn , VA , 20147, United States</t>
  </si>
  <si>
    <t>PGy6Vw</t>
  </si>
  <si>
    <t>262860d9c497fbba8e7ffe77b7693fce4ffde7c0db0ae00fb2c9e36328df77bd</t>
  </si>
  <si>
    <t>DC5</t>
  </si>
  <si>
    <t xml:space="preserve"> 21701 Filigree Ct. Bldg D , Ashburn , VA , 20147, United States</t>
  </si>
  <si>
    <t>Vw5gqR</t>
  </si>
  <si>
    <t>c6aaba8730e5b994d2690c7a6d8ccf280aa3a258264f32dc3862239d72f1de9b</t>
  </si>
  <si>
    <t>DC6</t>
  </si>
  <si>
    <t xml:space="preserve"> 21721 Filigree Ct., Ashburn , VA, 20147, United States</t>
  </si>
  <si>
    <t>nR2KgG</t>
  </si>
  <si>
    <t>f085eede60dd31e40f247a48f585a3bf839972eec79851295e620f1372facee7</t>
  </si>
  <si>
    <t>DC7</t>
  </si>
  <si>
    <t>7990 Quantum Drive , Vienna , VA, 22182, United States</t>
  </si>
  <si>
    <t>ARN4Vw</t>
  </si>
  <si>
    <t>626ae052cdf0482cbb6e6cf1dd1bdf782dd031bc6a3b8f8c550d388dfbe01e0c</t>
  </si>
  <si>
    <t xml:space="preserve"> 9706 East Easter Ave. Suite 160, Englewood , Colorado, 80112, USA</t>
  </si>
  <si>
    <t>QBbDkG</t>
  </si>
  <si>
    <t>5f28fe5ac0e69ee9a05cbfa0b1b831bffcd23f2535bd45b0222e1a72780a1928</t>
  </si>
  <si>
    <t xml:space="preserve"> 335 Inverness Drive South, Englewood, Colorado, 80112, USA</t>
  </si>
  <si>
    <t>PGy0VR</t>
  </si>
  <si>
    <t>566f13525e5945d432a82064c503d26344821fae3d7395689549a01cf81d8761</t>
  </si>
  <si>
    <t>HO1</t>
  </si>
  <si>
    <t xml:space="preserve"> 1515 Aldine Meadows Road, Houston, Texas 77032, USA</t>
  </si>
  <si>
    <t>77032</t>
  </si>
  <si>
    <t>DR4xXR</t>
  </si>
  <si>
    <t>ee1a53422202fdba98454829e9ff2d5b526bb22f5a18e97b046effaca41093d3</t>
  </si>
  <si>
    <t>6th Floor 818 W 7th St, Los Angeles, CA 90017</t>
  </si>
  <si>
    <t>dGWd0w</t>
  </si>
  <si>
    <t>9b8c560c25d0eeeb30e84da14b6d2a88337f42a5e0130a83541d59bd15ba13e7</t>
  </si>
  <si>
    <t>1920 E Maple Ave, El Segundo, CA 90245</t>
  </si>
  <si>
    <t>6w9N0B</t>
  </si>
  <si>
    <t>659a72df11c8d0a50c494a33c7bf242365747e3a5dbbbd5c01181c9bee7070ad</t>
  </si>
  <si>
    <t>LA4</t>
  </si>
  <si>
    <t>445 N Douglas St, El Segundo, CA 90245</t>
  </si>
  <si>
    <t>Sepulveda Boulevard</t>
  </si>
  <si>
    <t>9RYdmB</t>
  </si>
  <si>
    <t>653820eb762ff0911e5f50bc82409b6f91d528dd5c7c8929b38f57fa241a6685</t>
  </si>
  <si>
    <t>LA7</t>
  </si>
  <si>
    <t>1501 Francisco Street, Torrance, CA, US</t>
  </si>
  <si>
    <t>Torrance</t>
  </si>
  <si>
    <t>90501</t>
  </si>
  <si>
    <t>Harbor Gateway</t>
  </si>
  <si>
    <t>DR4NAw</t>
  </si>
  <si>
    <t>951c6a8c1c535253febee33715dc3632ed8000b407b69e3ddf7d46e27dc2369c</t>
  </si>
  <si>
    <t xml:space="preserve"> 50 NE 9th Street, Miami, FL, US, 33132</t>
  </si>
  <si>
    <t>Gmx25R</t>
  </si>
  <si>
    <t>97784d34d0195a1903b8a5a856f3d30b704cb4aaac1e30073b0f53b35f1d1c4e</t>
  </si>
  <si>
    <t>MI3</t>
  </si>
  <si>
    <t>4680 Conference Way South Suite 150, Boca Raton, FL, US</t>
  </si>
  <si>
    <t>gwe19w</t>
  </si>
  <si>
    <t>62d0d98bbaa4aac1a588bf5409bbd04522249947f804a238f095746d31ed1aef</t>
  </si>
  <si>
    <t>MI6</t>
  </si>
  <si>
    <t>1525 NW 98th Court, Doral, FL, US</t>
  </si>
  <si>
    <t>PBPk4w</t>
  </si>
  <si>
    <t>11691fef3865a122a0bdb7cc654ad57100eb8acfb823f4cb8b1183a53cc02504</t>
  </si>
  <si>
    <t>Minooka Campus Equinix</t>
  </si>
  <si>
    <t>Ridge road &amp; Holt road Minooka, Illinois 60447</t>
  </si>
  <si>
    <t>Minooka</t>
  </si>
  <si>
    <t>60447</t>
  </si>
  <si>
    <t>Seward Township</t>
  </si>
  <si>
    <t>R88jMR</t>
  </si>
  <si>
    <t>a4cd6483ec3a1dfedd2115afe7412b9b5fe28e13ed8037173f103a3592cf2ef5</t>
  </si>
  <si>
    <t>NY11</t>
  </si>
  <si>
    <t>1400 Federal Boulevard, Carteret, NJ, US</t>
  </si>
  <si>
    <t>Carteret</t>
  </si>
  <si>
    <t>07008</t>
  </si>
  <si>
    <t>nR2xgw</t>
  </si>
  <si>
    <t>4cd4988a428e8dd56daca799a75aef39fe9daa430654e42259d954429b468bad</t>
  </si>
  <si>
    <t>NY13</t>
  </si>
  <si>
    <t>401 Fieldcrest Drive, Elmsford, NY, US</t>
  </si>
  <si>
    <t>Westchester County</t>
  </si>
  <si>
    <t>Village of Elmsford</t>
  </si>
  <si>
    <t>10523</t>
  </si>
  <si>
    <t>VwMYzw</t>
  </si>
  <si>
    <t>3327a73cd8d079d9ff6df4d3923fb74e845779279ac052c15fe8f2edddf1cb02</t>
  </si>
  <si>
    <t>NY2</t>
  </si>
  <si>
    <t>275 Hartz Way, Secaucus, NJ, US</t>
  </si>
  <si>
    <t>mG3xkw</t>
  </si>
  <si>
    <t>37a4f64ff8cecdaa3afe79348be4052df438295980140423d9a56279d83c9ed6</t>
  </si>
  <si>
    <t>NY3</t>
  </si>
  <si>
    <t xml:space="preserve"> 600 Jefferson Avenue, Avenue Secaucus, New Jersey, United States of America, 7094</t>
  </si>
  <si>
    <t>RvY7gB</t>
  </si>
  <si>
    <t>0af7ebfa77839406927e9b38623f72cc6e2f1433fab966052a38d21009a74442</t>
  </si>
  <si>
    <t>NY4</t>
  </si>
  <si>
    <t>755 Secaucus Rd, Seacaucus, NJ, 07094, US</t>
  </si>
  <si>
    <t>QwVYbG</t>
  </si>
  <si>
    <t>3cf036b9191c8747f7cf4a167fea15db711eebc95833ac4f86d156c44eb24053</t>
  </si>
  <si>
    <t>NY5</t>
  </si>
  <si>
    <t>800 Secaucus Road , Seacaucus, NJ, US</t>
  </si>
  <si>
    <t>dGW51B</t>
  </si>
  <si>
    <t>6766e852d06a89a3147086dbddff8f77be5804a268ba93e86be1e58ce56e4ee0</t>
  </si>
  <si>
    <t>NY6</t>
  </si>
  <si>
    <t>105 Enterprise Avenue, Seacaucus, NJ, US</t>
  </si>
  <si>
    <t>rGk00w</t>
  </si>
  <si>
    <t>15b208bcfaa2b68e21f52b441879b54231986e95046d5b1041efacf84cb040bc</t>
  </si>
  <si>
    <t>NY7</t>
  </si>
  <si>
    <t>5851 West Side Ave., North Bergen, NJ, US</t>
  </si>
  <si>
    <t>North Bergen</t>
  </si>
  <si>
    <t>07047</t>
  </si>
  <si>
    <t>kGa89R</t>
  </si>
  <si>
    <t>b87cce99a41ed94a294b8b3863915c0b30f2ae59595604b429084d01473451d4</t>
  </si>
  <si>
    <t>NY9</t>
  </si>
  <si>
    <t>111 8th Avenue, New York, NY, US</t>
  </si>
  <si>
    <t>Vw5xqG</t>
  </si>
  <si>
    <t>7832613580001b3c4744cf8a0b58c59523595d72232a233f244140cbf927221a</t>
  </si>
  <si>
    <t>SE4</t>
  </si>
  <si>
    <t>6906 South 204th Street, Seattle, United States of America</t>
  </si>
  <si>
    <t>Kent</t>
  </si>
  <si>
    <t>98032</t>
  </si>
  <si>
    <t>DGnnnG</t>
  </si>
  <si>
    <t>96663914f5b49774a4cccabf99142218a41179b624c65178a4454eee21a7180f</t>
  </si>
  <si>
    <t>11 Great Oaks Boulevard San Jose, California, United States of America, 95119</t>
  </si>
  <si>
    <t>95119</t>
  </si>
  <si>
    <t>yGlDrG</t>
  </si>
  <si>
    <t>25cc69b0bf9247eed492c2a0e4f85a4daf0607ece7a98d1928cf7ed7866761e2</t>
  </si>
  <si>
    <t>SV10</t>
  </si>
  <si>
    <t>7 Great Oaks Boulevard, SV10, San Jose, CA 95119</t>
  </si>
  <si>
    <t>JGmqvG</t>
  </si>
  <si>
    <t>34a7291adf552a1c113b4c3abc9ce24b1c58e84d5cdc47b9b503b7c36e59698e</t>
  </si>
  <si>
    <t>SV11</t>
  </si>
  <si>
    <t>5 Great Oaks Boulevard, San Jose, CA, US, 95119</t>
  </si>
  <si>
    <t>BE8xow</t>
  </si>
  <si>
    <t>93b4acfcd15ccaeb4c36963472470e489dd156d1f790998057893ec946f9ab86</t>
  </si>
  <si>
    <t>SV12x</t>
  </si>
  <si>
    <t>123 Great Oaks Blvd, San Jose, CA 95119, USA</t>
  </si>
  <si>
    <t>Village Oaks</t>
  </si>
  <si>
    <t>GZZzLG</t>
  </si>
  <si>
    <t>7951d547ab00a0dc3dcc12d8bed914f93cd744e78c5f031871ff653af079a4bd</t>
  </si>
  <si>
    <t>SV14</t>
  </si>
  <si>
    <t>2960 Corvin Drive, Santa Clara, United States of America</t>
  </si>
  <si>
    <t>95051</t>
  </si>
  <si>
    <t>yGlDxG</t>
  </si>
  <si>
    <t>5df1812935219663a5d9f4babfaf99c27641438ffc7c6ca7de06c61615a12bae</t>
  </si>
  <si>
    <t>SV15</t>
  </si>
  <si>
    <t>2970 Corvin Drive, Pod C, Santa Clara, United States of America</t>
  </si>
  <si>
    <t>mGroXw</t>
  </si>
  <si>
    <t>22517947c25e44b7de57dac15b45dc222bdb37c9880a7d4a1dafe7013d1db1db</t>
  </si>
  <si>
    <t>SV16</t>
  </si>
  <si>
    <t>3000 Corvin Drive, Santa Clara, United States of America</t>
  </si>
  <si>
    <t>DGnnKG</t>
  </si>
  <si>
    <t>90ad1a2441df3faf46cb727d4e75b24d2eb7965b382456ac91507e068e1c661b</t>
  </si>
  <si>
    <t>SV17</t>
  </si>
  <si>
    <t>3030 Corvin Drive, Pod A, Santa Clara, CA, US, 95051</t>
  </si>
  <si>
    <t>qB1NMR</t>
  </si>
  <si>
    <t>6afa1cb2e4f7695746de35f27660b1ad303076ef0ae7120bf4fe83714582f615</t>
  </si>
  <si>
    <t>SV18</t>
  </si>
  <si>
    <t xml:space="preserve">TBC, Silicon Valley, California </t>
  </si>
  <si>
    <t>95137</t>
  </si>
  <si>
    <t>weJPgB</t>
  </si>
  <si>
    <t>6683ebe5e7242b3ca3db4c78ad06a5165849ce8e3758c0ccc7eb363bfc2506fd</t>
  </si>
  <si>
    <t>1350 Duane Avenue, Santa Clara, CA 95054, United States</t>
  </si>
  <si>
    <t>6w918w</t>
  </si>
  <si>
    <t>2209ed2eb1941480d9ff8c886544f7bf7fd25db2e512c25c9a6b4fe30acfd35b</t>
  </si>
  <si>
    <t>SV3</t>
  </si>
  <si>
    <t>1735 Lundy Avenue, San Jose, CA 95131, United States</t>
  </si>
  <si>
    <t>95131</t>
  </si>
  <si>
    <t>9RYLdB</t>
  </si>
  <si>
    <t>159727c3487610cda299e41dc0820b917c732b3dfba0e6afb67772c49896c923</t>
  </si>
  <si>
    <t>SV4</t>
  </si>
  <si>
    <t>255 Caspian Drive, Sunnyvale, United States of America</t>
  </si>
  <si>
    <t>94089</t>
  </si>
  <si>
    <t>8Rv0aw</t>
  </si>
  <si>
    <t>a402c94eaab8796c8ddb324b55783d9654e938a3266c269d0f7cc64a04d42a6b</t>
  </si>
  <si>
    <t>SV5</t>
  </si>
  <si>
    <t>9 Great Oaks Boulevard, San Jose, United States of America</t>
  </si>
  <si>
    <t>ARNYVB</t>
  </si>
  <si>
    <t>602afd1c5a7a8e7dacf13323033cb003a6cefa1394b862d1e48305a0a6da1d50</t>
  </si>
  <si>
    <t>SV6</t>
  </si>
  <si>
    <t>444 Toyama Drive, Sunnyvale, United States of America</t>
  </si>
  <si>
    <t>bBXYDR</t>
  </si>
  <si>
    <t>8b9fe8a4f7aa54f143d225cf24b8faf5017417c6e44c15f362b6168e891a7653</t>
  </si>
  <si>
    <t>SV8</t>
  </si>
  <si>
    <t>529 Bryant Street, Palo Alto, United States of America</t>
  </si>
  <si>
    <t>Palo Alto</t>
  </si>
  <si>
    <t>94301</t>
  </si>
  <si>
    <t>University South</t>
  </si>
  <si>
    <t>gB7xPR</t>
  </si>
  <si>
    <t>e83d025cb0701bbbf53fa25c33606d9f40848200d61f8c61a240d6d1e64314bc</t>
  </si>
  <si>
    <t>Eternal Mind</t>
  </si>
  <si>
    <t>Eternal Mind Loring</t>
  </si>
  <si>
    <t>27 Northcutt, Limestone, ME 04750</t>
  </si>
  <si>
    <t>Aroostook County</t>
  </si>
  <si>
    <t>Limestone</t>
  </si>
  <si>
    <t>04750</t>
  </si>
  <si>
    <t>RKvEPB</t>
  </si>
  <si>
    <t>7ce401b342368eca768a6d8d04bb5037d04f38f0aef770349ccfdf6d6a6505fe</t>
  </si>
  <si>
    <t>Evocative</t>
  </si>
  <si>
    <t>BOS1</t>
  </si>
  <si>
    <t>50 Inner Belt Road , Somerville, Massachusetts, 02143, USA</t>
  </si>
  <si>
    <t>RxWbKB</t>
  </si>
  <si>
    <t>1bb9114ea80d6414249f27149ad3103897ff8234fcaa13c8696bbec4432756f7</t>
  </si>
  <si>
    <t>3400 S Stonebridge Dr, McKinney, Texas 75070, United States</t>
  </si>
  <si>
    <t>McKinney</t>
  </si>
  <si>
    <t>75072</t>
  </si>
  <si>
    <t>wod11B</t>
  </si>
  <si>
    <t>3418bc82b84fe75941b07f7a099decad0fb2846387ef843564ff007d8d047bf8</t>
  </si>
  <si>
    <t>DAL6</t>
  </si>
  <si>
    <t>1221 Coit Road Plano, Texas 75075, USA</t>
  </si>
  <si>
    <t>R4k7oB</t>
  </si>
  <si>
    <t>8f6f55ba0428bcbaded5d5f57827e91b2e716759b7a8e103fccfacfeafaad67d</t>
  </si>
  <si>
    <t>1 Enterprise Avenue N, Secaucus, New Jersey , 07094, USA</t>
  </si>
  <si>
    <t>BX4LVB</t>
  </si>
  <si>
    <t>ac507e5ef52eab2e98ff516c56fe758dcfcde7d85e827a56559c3b717753bb5f</t>
  </si>
  <si>
    <t>OAK1</t>
  </si>
  <si>
    <t>1400 65th St, Emeryville, CA 94608</t>
  </si>
  <si>
    <t>Emeryville</t>
  </si>
  <si>
    <t>94608</t>
  </si>
  <si>
    <t>G6QgbR</t>
  </si>
  <si>
    <t>09fc133d28183855d06a1f3c5dead3472f28113c331fa0330f0ac86b6f1fc46b</t>
  </si>
  <si>
    <t>SEA1</t>
  </si>
  <si>
    <t>140 4th Avenue S , Seattle, Washington , 98109, USA</t>
  </si>
  <si>
    <t>98109</t>
  </si>
  <si>
    <t>RKa5zw</t>
  </si>
  <si>
    <t>7361df467be8d71408d1ba9bd6705ae90b81ea2c2b09b1514eff38723d9c5382</t>
  </si>
  <si>
    <t>SJC3</t>
  </si>
  <si>
    <t>3080 Raymond St, Santa Clara, CA 95054</t>
  </si>
  <si>
    <t>GZ12gR</t>
  </si>
  <si>
    <t>2aeaafc1cc927c3dfb4e9fcab61d025095d41054d4429d16d6ee37fb90434057</t>
  </si>
  <si>
    <t>SJC7</t>
  </si>
  <si>
    <t>534 Stockton Ave, San Jose, CA 95126</t>
  </si>
  <si>
    <t>95126</t>
  </si>
  <si>
    <t>College Park</t>
  </si>
  <si>
    <t>Rose Garden</t>
  </si>
  <si>
    <t>BA7o6G</t>
  </si>
  <si>
    <t>2a02d9e4a2dbabb4397048751c33489b1ba5fed5e8886f3eea8d406dc3459923</t>
  </si>
  <si>
    <t>Exa Infrastructure</t>
  </si>
  <si>
    <t>EXA New York</t>
  </si>
  <si>
    <t xml:space="preserve"> 60 Hudson St, New York, NY 10013</t>
  </si>
  <si>
    <t>RYqq6R</t>
  </si>
  <si>
    <t>b5b201c87b22a2cccd82e0d2706636782d98743db45ea056128d57ed1ebb8fff</t>
  </si>
  <si>
    <t>Expedient</t>
  </si>
  <si>
    <t>Baltimore - TierPoint Data Center</t>
  </si>
  <si>
    <t>1050 Hull Street, Suite 150, Baltimore, MD 21230</t>
  </si>
  <si>
    <t>21330</t>
  </si>
  <si>
    <t>RNnoYR</t>
  </si>
  <si>
    <t>c550a033891224c67af943544c1cbf3ad6b18e2dd17da97a0c1e45ed300315c3</t>
  </si>
  <si>
    <t>Boston</t>
  </si>
  <si>
    <t>1 Cabot Road, Medford, Massachusetts, 02155, USA</t>
  </si>
  <si>
    <t>Medford</t>
  </si>
  <si>
    <t>02145</t>
  </si>
  <si>
    <t>GdYVLw</t>
  </si>
  <si>
    <t>9260a7a40cf4af312f9ad2673520528ada5897667f7d555b432e4333fd309607</t>
  </si>
  <si>
    <t>Centennial Data Center</t>
  </si>
  <si>
    <t>7347 S Revere Pkwy Building C, Centennial, CO 80112</t>
  </si>
  <si>
    <t>BPd8KB</t>
  </si>
  <si>
    <t>e399d0b17c5556cc23b2b85fb0e48773d179c4a5630c9f25c7ae1dce3a4ddc07</t>
  </si>
  <si>
    <t>CMH1</t>
  </si>
  <si>
    <t>5000 Arlington Centre Blvd., Building One, Upper Arlington, Ohio, 43220, USA</t>
  </si>
  <si>
    <t>Upper Arlington</t>
  </si>
  <si>
    <t>43220</t>
  </si>
  <si>
    <t>B7ozLB</t>
  </si>
  <si>
    <t>27cfef97b5165bbad6ea21961f92a5b955ee60448c301e3cccbca702fce46d3b</t>
  </si>
  <si>
    <t>CMH2</t>
  </si>
  <si>
    <t>5700 Innovation Drive, Dublin, OH, 43016</t>
  </si>
  <si>
    <t>GL2J4B</t>
  </si>
  <si>
    <t>4d3af7df57b6b0ad5aba4534c801cbb7632b3417b5ed646841a01a59bc874999</t>
  </si>
  <si>
    <t>CMH3</t>
  </si>
  <si>
    <t>281 E. Powell Road Lewis Center, Ohio 43035</t>
  </si>
  <si>
    <t>Bqve0R</t>
  </si>
  <si>
    <t>c20894bf8c8c9573ef8d674a66fdf769871fd65f067000b793bc622f487706ec</t>
  </si>
  <si>
    <t>4777 Ironwood Dr, Franklin, WI 53132, USA</t>
  </si>
  <si>
    <t>53132</t>
  </si>
  <si>
    <t>Franklin Business Park</t>
  </si>
  <si>
    <t>GLv2bB</t>
  </si>
  <si>
    <t>138b6dbd7cb0fe691e0ca1be9488d1606a0c3ae5b8600663a20b31bbb007ccd1</t>
  </si>
  <si>
    <t>Garfield Heights 1</t>
  </si>
  <si>
    <t>15166 NEO Parkway, Cleveland, OH 44128, Cleveland, Ohio, 44128, USA</t>
  </si>
  <si>
    <t>North Randall</t>
  </si>
  <si>
    <t>44128</t>
  </si>
  <si>
    <t>Garfield Heights</t>
  </si>
  <si>
    <t>BEojjG</t>
  </si>
  <si>
    <t>149fd1ed806d181b60ef066ec2c6fd1b80866332daf00020074ec74bb24dfa2b</t>
  </si>
  <si>
    <t>Garfield Heights 2</t>
  </si>
  <si>
    <t>15248 NEO Parkway, Cleveland, Ohio, 44128, USA</t>
  </si>
  <si>
    <t>BX4gVB</t>
  </si>
  <si>
    <t>9dc982b12980b8bf66df4bed7b7388d828432a71b9b86bfaa529ae5258aab42b</t>
  </si>
  <si>
    <t>Germantown</t>
  </si>
  <si>
    <t>3180 Players Lane, Memphis, Tennessee, 38125, USA</t>
  </si>
  <si>
    <t>38138</t>
  </si>
  <si>
    <t>Southwind</t>
  </si>
  <si>
    <t>Gz9aMR</t>
  </si>
  <si>
    <t>3b0ff5e5c9f70b2aa1d8db8709ae2256905634ed4487652475897093516494f0</t>
  </si>
  <si>
    <t>Indianapolis Data Center</t>
  </si>
  <si>
    <t>701 Congressional Blvd # 100, Carmel, IN 46032, United States</t>
  </si>
  <si>
    <t>Carmel</t>
  </si>
  <si>
    <t>46032</t>
  </si>
  <si>
    <t>Clay Township</t>
  </si>
  <si>
    <t>R2rd6R</t>
  </si>
  <si>
    <t>53c5be1e91351068f3ecc23d2ef1ad2917388db3991f351a88255f352de1c007</t>
  </si>
  <si>
    <t>North Mountain</t>
  </si>
  <si>
    <t>2475 West Townley Avenue,AZ</t>
  </si>
  <si>
    <t>85021</t>
  </si>
  <si>
    <t>Metrocenter</t>
  </si>
  <si>
    <t>R0mKDG</t>
  </si>
  <si>
    <t>16bbe9ef5dc38e36615541d8357a9eb32447bd5f2ac65c801553d8a4c8abe793</t>
  </si>
  <si>
    <t>Owings Mills Data Center</t>
  </si>
  <si>
    <t>11155 Red Run Blvd., Suite 200, Owings Mills, MD 21117</t>
  </si>
  <si>
    <t>Baltimore County</t>
  </si>
  <si>
    <t>Owings Mills</t>
  </si>
  <si>
    <t>21117</t>
  </si>
  <si>
    <t>G6oLNw</t>
  </si>
  <si>
    <t>0019194b7243c6f5b20d01d08fc0996fce3e79c8cedb876e3f87b7ee82a0f1bc</t>
  </si>
  <si>
    <t>Pittsburgh - North Shore</t>
  </si>
  <si>
    <t>RKapzw</t>
  </si>
  <si>
    <t>2ca5779b72fbb4892ab847ae04ac04ff9c7652d7c3af300fa4f52c0a7ccf9fa9</t>
  </si>
  <si>
    <t>Pittsburgh - South</t>
  </si>
  <si>
    <t>810 Parish Street, Pittsburgh, Pennsylvania, 15220, USA</t>
  </si>
  <si>
    <t>Westwood</t>
  </si>
  <si>
    <t>GmKaJB</t>
  </si>
  <si>
    <t>b601841434d87075b24c93efc54817cf4d4bff7a16b9a7d45f2ddebeff9adc22</t>
  </si>
  <si>
    <t>Expeditors International</t>
  </si>
  <si>
    <t>11718 W 12th Ave, Airway Heights, WA 99001</t>
  </si>
  <si>
    <t>Spokane County</t>
  </si>
  <si>
    <t>Airway Heights</t>
  </si>
  <si>
    <t>99001</t>
  </si>
  <si>
    <t>Rxn6Xw</t>
  </si>
  <si>
    <t>d2facd7fb11723835f62cd81f513bb790b3087acef9e02aa5d34f06a88e3ec6f</t>
  </si>
  <si>
    <t>Fairview Crossroads LLC</t>
  </si>
  <si>
    <t>Fairview Township Data Center</t>
  </si>
  <si>
    <t xml:space="preserve"> I-83 and Lewisberry Road  Fairview Township, PA</t>
  </si>
  <si>
    <t>Fairview</t>
  </si>
  <si>
    <t>17070</t>
  </si>
  <si>
    <t>Fairview Township</t>
  </si>
  <si>
    <t>RpOEmB</t>
  </si>
  <si>
    <t>faa4054e2292fb16e6261158395b912b1fc3451c0a24721b1dfd59bd6d415043</t>
  </si>
  <si>
    <t>Fannie Mae</t>
  </si>
  <si>
    <t>Fannie Mae Data Center</t>
  </si>
  <si>
    <t>9107 Bennett Creek Blvd, Frederick, MD 21704</t>
  </si>
  <si>
    <t>21704</t>
  </si>
  <si>
    <t>GDLq5G</t>
  </si>
  <si>
    <t>8857ad448548efbb181fc2b686039fb17742d52202db9a125588f7a45794f10d</t>
  </si>
  <si>
    <t>Federal Bureau of Investigation</t>
  </si>
  <si>
    <t>Grey Wolf</t>
  </si>
  <si>
    <t>3975 Pole Line Rd, Pocatello, ID 83201, United States</t>
  </si>
  <si>
    <t>Bannock County</t>
  </si>
  <si>
    <t>Pocatello</t>
  </si>
  <si>
    <t>83202</t>
  </si>
  <si>
    <t>GlWqnR</t>
  </si>
  <si>
    <t>62c5962b9c3d98229269671fbac4caba9e8aedcac61cf66bb7bba4140f23c7e6</t>
  </si>
  <si>
    <t>Fermi America</t>
  </si>
  <si>
    <t>HyperGrid Advanced Energy &amp; Intelligence Campus</t>
  </si>
  <si>
    <t>Potter</t>
  </si>
  <si>
    <t>R0lP5R</t>
  </si>
  <si>
    <t>b16725aeafd7eef591cd2365bba8e5fe380de454d0c7f206b33929d77f5cea5b</t>
  </si>
  <si>
    <t>FiberHub</t>
  </si>
  <si>
    <t>1110 Palms Airport Drive, Las Vegas, NV 89119, USA</t>
  </si>
  <si>
    <t>Bg0OmR</t>
  </si>
  <si>
    <t>748c6166b7cdbc5322b4a592288dc260613387b1327423b6fec44eb9704f8810</t>
  </si>
  <si>
    <t>Fibernet</t>
  </si>
  <si>
    <t>Fibernet SJ1</t>
  </si>
  <si>
    <t>250 Stockton Ave, San Jose, CA 95126</t>
  </si>
  <si>
    <t>Little Italy</t>
  </si>
  <si>
    <t>Buena Vista</t>
  </si>
  <si>
    <t>BqZPdR</t>
  </si>
  <si>
    <t>17c52cc2865a9a32559ef6a0bfa3c12578e8c108a16ebe4f833b91448f5fac44</t>
  </si>
  <si>
    <t>FIBERTOWN</t>
  </si>
  <si>
    <t>Bryan Data Center</t>
  </si>
  <si>
    <t>110 N Main St, Bryan, Texas 77803, USA</t>
  </si>
  <si>
    <t>Brazos County</t>
  </si>
  <si>
    <t>Tejas</t>
  </si>
  <si>
    <t>77803</t>
  </si>
  <si>
    <t>RYq34R</t>
  </si>
  <si>
    <t>b8af01bd705f195ccbd1ac866fa77bf49e869a60c03b50ff460c9b698020c298</t>
  </si>
  <si>
    <t>Fidelity Investments</t>
  </si>
  <si>
    <t>7133 Louis Stephens Dr, Morrisville, NC 27560, United States</t>
  </si>
  <si>
    <t>Gn4jnB</t>
  </si>
  <si>
    <t>3b70cb883166eef542aca55f6931d478573229e0b2e63fe37e8e5a820c790c85</t>
  </si>
  <si>
    <t>Papillion</t>
  </si>
  <si>
    <t>11050 Cornhusker Rd, Papillion, NE 68046, USA</t>
  </si>
  <si>
    <t>Sarpy County</t>
  </si>
  <si>
    <t>68128</t>
  </si>
  <si>
    <t>RxPlZR</t>
  </si>
  <si>
    <t>3fd4a67c0b6317c6fc6635e390d27e0eae3852118e5f20331294dcf4a9592b89</t>
  </si>
  <si>
    <t>Fireline Broadband</t>
  </si>
  <si>
    <t>Data Centre</t>
  </si>
  <si>
    <t>5900 Wilshire Blvd, Los Angeles, CA 90036</t>
  </si>
  <si>
    <t>90036</t>
  </si>
  <si>
    <t>Miracle Mile</t>
  </si>
  <si>
    <t>Mid-Wilshire</t>
  </si>
  <si>
    <t>GdJX7B</t>
  </si>
  <si>
    <t>44eb6d2d1dfdaf4c16436f8649ac8179eb14c1bd6ae53057c3521a3464c1d6ed</t>
  </si>
  <si>
    <t>FirstLight Fiber</t>
  </si>
  <si>
    <t>FirstLight Albany</t>
  </si>
  <si>
    <t>41 State St, Albany, NY 12207</t>
  </si>
  <si>
    <t>City of Albany</t>
  </si>
  <si>
    <t>12207</t>
  </si>
  <si>
    <t>Bb0o6G</t>
  </si>
  <si>
    <t>7184d9a8b86e9e88b73036eee4ff2bcc132166db947a05f5500190e47955f9b8</t>
  </si>
  <si>
    <t>FirstLight Bangor</t>
  </si>
  <si>
    <t>60 Summer St, Bangor, ME 04401</t>
  </si>
  <si>
    <t>Penobscot County</t>
  </si>
  <si>
    <t>Bangor</t>
  </si>
  <si>
    <t>04401</t>
  </si>
  <si>
    <t>West Market Square Historic District</t>
  </si>
  <si>
    <t>G3VAPR</t>
  </si>
  <si>
    <t>a41ac63baaec1e62847712472e6926672033a55ac69cff0bc6b75ed7cf9b299b</t>
  </si>
  <si>
    <t>FirstLight Bedford</t>
  </si>
  <si>
    <t>8 Commerce Dr, Bedford, NH 03110</t>
  </si>
  <si>
    <t>Bedford</t>
  </si>
  <si>
    <t>03110</t>
  </si>
  <si>
    <t>Commerce Park West</t>
  </si>
  <si>
    <t>w9EvEw</t>
  </si>
  <si>
    <t>12380afbd63cc2cb16f0f2fd587d46c144dc3890691077511f26c39a160711ed</t>
  </si>
  <si>
    <t>FirstLight Brunswick</t>
  </si>
  <si>
    <t>14 Resilient Circle, Brunswick, ME 04011</t>
  </si>
  <si>
    <t>Brunswick</t>
  </si>
  <si>
    <t>04011</t>
  </si>
  <si>
    <t>BA3aaG</t>
  </si>
  <si>
    <t>9ec106a6c1f3a151aeab17990b4d5422a78a18826829f957b5a64fec747c9afd</t>
  </si>
  <si>
    <t>FirstLight Lebanon</t>
  </si>
  <si>
    <t>16 Cavendish Ct, Lebanon, NH 03766</t>
  </si>
  <si>
    <t>Grafton County</t>
  </si>
  <si>
    <t>03766</t>
  </si>
  <si>
    <t>Centerra</t>
  </si>
  <si>
    <t>wOLAZB</t>
  </si>
  <si>
    <t>5f6befff6a026b45d31bf2d308188fd35c24041bea0c2972dd6fb84b89068fbb</t>
  </si>
  <si>
    <t>FirstLight Manchester</t>
  </si>
  <si>
    <t>77 Sundial Ave, Manchester, NH 03103</t>
  </si>
  <si>
    <t>Gag3rB</t>
  </si>
  <si>
    <t>297e81cae4d40efd373564e3a367110460c66fdbeeaab6d7c6f89ea62eff1939</t>
  </si>
  <si>
    <t>FirstLight Portsmouth</t>
  </si>
  <si>
    <t>359 Corporate Dr, Portsmouth, NH 03801</t>
  </si>
  <si>
    <t>Portsmouth</t>
  </si>
  <si>
    <t>03801</t>
  </si>
  <si>
    <t>Pease International Tradeport</t>
  </si>
  <si>
    <t>BgANOG</t>
  </si>
  <si>
    <t>373f59a7b56f786879418e7aac4ec652a481fc892ad897e4ef8d0fab8e6dcd5d</t>
  </si>
  <si>
    <t>FirstLight Rockland</t>
  </si>
  <si>
    <t>1050 Hingham St, Rockland, MA 02370, USA</t>
  </si>
  <si>
    <t>Plymouth County</t>
  </si>
  <si>
    <t>Rockland</t>
  </si>
  <si>
    <t>02239</t>
  </si>
  <si>
    <t>R0mMAG</t>
  </si>
  <si>
    <t>b93388a7acbbc85747f9e1d8481f1f4001aed027674335780c34099ab1faeeea</t>
  </si>
  <si>
    <t>FirstLight Tech Park</t>
  </si>
  <si>
    <t>4902 McGrane Rd, Romulus, NY 14541</t>
  </si>
  <si>
    <t>Seneca County</t>
  </si>
  <si>
    <t>Town of Varick</t>
  </si>
  <si>
    <t>14541</t>
  </si>
  <si>
    <t>RvP6qw</t>
  </si>
  <si>
    <t>f5192d0733e49616e65c49ca764c11f55db01776a824bfb499c30276e7fbe1b4</t>
  </si>
  <si>
    <t>Firstlight Williston</t>
  </si>
  <si>
    <t>45 Krupp Dr, Williston, VT 05495</t>
  </si>
  <si>
    <t>St. George</t>
  </si>
  <si>
    <t>05495</t>
  </si>
  <si>
    <t>w9EQ8w</t>
  </si>
  <si>
    <t>0eae1e72eb9d225eeaa96c49739e17350c962e27acfc5ac0f7f378951f249236</t>
  </si>
  <si>
    <t>Flex Data</t>
  </si>
  <si>
    <t>EC104</t>
  </si>
  <si>
    <t>11513 Sunset Hills Rd., Reston, VA</t>
  </si>
  <si>
    <t>BE8X6w</t>
  </si>
  <si>
    <t>2bd2fc4ac44679bcd97bca23ecd9e5393e6e13b8bf3a993aed111965cc157067</t>
  </si>
  <si>
    <t>Flexential</t>
  </si>
  <si>
    <t>Allentown</t>
  </si>
  <si>
    <t>744 Roble Rd, Allentown, PA 18109</t>
  </si>
  <si>
    <t>18109</t>
  </si>
  <si>
    <t>BA38eG</t>
  </si>
  <si>
    <t>5f587e810edfeac047ec20ac64811798d9a2c4a72a0c0be3597ca70f9f4c6c46</t>
  </si>
  <si>
    <t>Atlanta - Alpharetta</t>
  </si>
  <si>
    <t>12655 Edison Drive, Alpharetta, GA, 30022, US</t>
  </si>
  <si>
    <t>BqWY1G</t>
  </si>
  <si>
    <t>3d0951bdb8d7142207499acc0199d4bcb536818a00e753914390038e528736de</t>
  </si>
  <si>
    <t>Atlanta - Douglasville Campus</t>
  </si>
  <si>
    <t>1700 N River Rd, Douglasville, GA 30122, United States</t>
  </si>
  <si>
    <t>Gn4NvB</t>
  </si>
  <si>
    <t>7ae3b8552950da63f54e79bc404a2477731ef1a1bc709964a053df662151e133</t>
  </si>
  <si>
    <t>Charlotte - South</t>
  </si>
  <si>
    <t>8910 Lenox Pointe Dr, Charlotte, NC 28273, USA</t>
  </si>
  <si>
    <t>28273</t>
  </si>
  <si>
    <t>G3VZxR</t>
  </si>
  <si>
    <t>5d9d628fc93af867cc78b49b4dcd3f580a3df726d1a213ff9b8619729a15a830</t>
  </si>
  <si>
    <t>5307 Muhlhauser Rd, West Chester, OH 45011</t>
  </si>
  <si>
    <t>West Chester Township</t>
  </si>
  <si>
    <t>GlPYYG</t>
  </si>
  <si>
    <t>5427fbf0bc0d2a6c90c529a6c8745ba15d9ebb5497b8c7dc130e2c34b8966830</t>
  </si>
  <si>
    <t>Dallas - Downtown</t>
  </si>
  <si>
    <t>1950 North Stemmons Freeway Suites 2049 &amp; 3050 Dallas, Texas 75207, USA</t>
  </si>
  <si>
    <t>RxZ4Zw</t>
  </si>
  <si>
    <t>f4b861ce9cd969670752e1e6c7b0216b17f20b4f0785aeb8e8ad23ba718ae717</t>
  </si>
  <si>
    <t>Dallas - Plano</t>
  </si>
  <si>
    <t>3500 East Plano Parkway Plano, Texas 75074, USA</t>
  </si>
  <si>
    <t>B7QO8G</t>
  </si>
  <si>
    <t>b912f366104c54c4de12a3addf1b5b762107417b6fe621eae7d76a7970b9e551</t>
  </si>
  <si>
    <t>Dallas - Richardson</t>
  </si>
  <si>
    <t>3010 Waterview Parkway, Richardson, Texas 75080, USA</t>
  </si>
  <si>
    <t>75080</t>
  </si>
  <si>
    <t>wOmeDR</t>
  </si>
  <si>
    <t>60acdd5072863476b13088305be737e94a615b52bea37904c4d962d3af51fe2e</t>
  </si>
  <si>
    <t>Deer Valley Data Center</t>
  </si>
  <si>
    <t>1850 W Deer Valley Rd, Phoenix, AZ 85027, United States</t>
  </si>
  <si>
    <t>BqZZlR</t>
  </si>
  <si>
    <t>9292f0e838d61d44ad1ac70220fd769a70698a3e535a41a63aa0b488e2a8153c</t>
  </si>
  <si>
    <t>Denver - Aurora</t>
  </si>
  <si>
    <t>11900 East Cornell Avenue, Building B, 3rd Floor, Aurora, Colorado 80014, USA</t>
  </si>
  <si>
    <t>80014</t>
  </si>
  <si>
    <t>RjWVMG</t>
  </si>
  <si>
    <t>44221f43fc051284f5a2112b5096083e510c9da3a4bb497e2d9cc59f57384eae</t>
  </si>
  <si>
    <t>Denver - Centennial</t>
  </si>
  <si>
    <t>12500 East Arapahoe Road, Ste C, Centennial, Colorado 80112, USA</t>
  </si>
  <si>
    <t>R8JPZw</t>
  </si>
  <si>
    <t>72939666ce05df92246af692901acb9f2cee4274ec44234da8c83619a0367825</t>
  </si>
  <si>
    <t>Denver - Englewood</t>
  </si>
  <si>
    <t>8636 S Peoria Street Englewood, Colorado 80112, USA</t>
  </si>
  <si>
    <t>GzYgDR</t>
  </si>
  <si>
    <t>f9814e610f9fe2941cab85895f91c1d9563de1dc4035feaef469cf5b24b6da58</t>
  </si>
  <si>
    <t>Denver-Parker</t>
  </si>
  <si>
    <t>15255 Compark Blvd, Parker, Colorado 80134</t>
  </si>
  <si>
    <t>Parker</t>
  </si>
  <si>
    <t>GnqdaR</t>
  </si>
  <si>
    <t>1d530aa9eee22fc765331c7d29d4d196e6c7cd322f753b29e77603c231c0f750</t>
  </si>
  <si>
    <t>Flexential Richmond</t>
  </si>
  <si>
    <t>8851 Park Central Dr suite b, Richmond, VA 23227</t>
  </si>
  <si>
    <t>23227</t>
  </si>
  <si>
    <t>BA7LeG</t>
  </si>
  <si>
    <t>dbfb95d348e9b9e53a7789aa779ea69059d6a4bbf3e681c5643060a522b770f4</t>
  </si>
  <si>
    <t>5301 NW 33rd Avenue Fort Lauderdale, FL 33309</t>
  </si>
  <si>
    <t>wodYpB</t>
  </si>
  <si>
    <t>80aa2d452a929764c03797bb316ae0887f273e0e8b92306899cedf1c012fa768</t>
  </si>
  <si>
    <t>4905 Belfort Road, Suite 145 Jacksonville, FL 32256</t>
  </si>
  <si>
    <t>32256</t>
  </si>
  <si>
    <t>Baymeadows</t>
  </si>
  <si>
    <t>wV6y9w</t>
  </si>
  <si>
    <t>5fc44b4662282951a416c30f32353a73ffbfa0c4f240445d71833d2c299b8a97</t>
  </si>
  <si>
    <t>Las Vegas - Downtown</t>
  </si>
  <si>
    <t>304 East Carson Avenue, Suite 370, Las Vegas, NV 89101 888-552-3539</t>
  </si>
  <si>
    <t>89101</t>
  </si>
  <si>
    <t>wOmXkR</t>
  </si>
  <si>
    <t>14f195f01a164ce23daa759b7d412c92814bd898cdd9104f809bd980b579842e</t>
  </si>
  <si>
    <t>Las Vegas - North</t>
  </si>
  <si>
    <t>3330 E Lone Mountain Rd, North Las Vegas, NV 89081, USA</t>
  </si>
  <si>
    <t>North Las Vegas</t>
  </si>
  <si>
    <t>89081</t>
  </si>
  <si>
    <t>B1AnxB</t>
  </si>
  <si>
    <t>2cf9a2c6f0f16af56788ca4f2c33c5923d6a017c87278bf902ba17476c882cc3</t>
  </si>
  <si>
    <t>Louisville - Downtown</t>
  </si>
  <si>
    <t>752 Barrett Avenue, Louisville, KY 40204</t>
  </si>
  <si>
    <t>40204</t>
  </si>
  <si>
    <t>Paristown Pointe</t>
  </si>
  <si>
    <t>RjW2nG</t>
  </si>
  <si>
    <t>c0b01a28e4412c48c23ae611396edf071002225c1fe401d6d555a2c0c03c6aa5</t>
  </si>
  <si>
    <t>Louisville - East</t>
  </si>
  <si>
    <t>2101 Nelson Miller Parkway Louisville, KY 40223</t>
  </si>
  <si>
    <t>40223</t>
  </si>
  <si>
    <t>GrVp5G</t>
  </si>
  <si>
    <t>d6af5786232b8c812ef5b1616d0bcbfc6fb7a67a5c8fd87cf8f8328557c93b90</t>
  </si>
  <si>
    <t>Minneapolis - Chaska</t>
  </si>
  <si>
    <t>3500 Lyman Blvd, Chaska, MN 55318</t>
  </si>
  <si>
    <t>55317</t>
  </si>
  <si>
    <t>RKZ92B</t>
  </si>
  <si>
    <t>e06399ab2d935f48280cad655623f218a2d99dc968ce68a97cbd79044b0d8115</t>
  </si>
  <si>
    <t>Nashville - Brentwood</t>
  </si>
  <si>
    <t>7100 Commerce Way, Suite 25, Brentwood, TN 37027, USA</t>
  </si>
  <si>
    <t>Brentwood</t>
  </si>
  <si>
    <t>37027</t>
  </si>
  <si>
    <t>R8JeDw</t>
  </si>
  <si>
    <t>2abf92fa56d9db5620b7654f308e9ffdad5b32800e29f4d29cae5c782d332ddc</t>
  </si>
  <si>
    <t>Nashville - Cool Springs</t>
  </si>
  <si>
    <t>425 Duke Drive Franklin, TN 37067</t>
  </si>
  <si>
    <t>37067</t>
  </si>
  <si>
    <t>GDoneR</t>
  </si>
  <si>
    <t>bdd986b1f4f06c604358bc83e851ac737fd795f3652cf4d99b210673b860c8f7</t>
  </si>
  <si>
    <t>Nashville - Franklin</t>
  </si>
  <si>
    <t>4600 Carothers Pkwy, Franklin, TN 37067, USA</t>
  </si>
  <si>
    <t>B1XK8w</t>
  </si>
  <si>
    <t>c05ef92d12cb17fe80bd8b10d200b430f352f2127b28f67d2b2eafa1a729907f</t>
  </si>
  <si>
    <t>Philadelphia - Collegeville</t>
  </si>
  <si>
    <t>101 Troutman Road Collegeville, PA 19426</t>
  </si>
  <si>
    <t>Collegeville</t>
  </si>
  <si>
    <t>19426</t>
  </si>
  <si>
    <t>Upper Providence Township</t>
  </si>
  <si>
    <t>wOLOAB</t>
  </si>
  <si>
    <t>bff1c0518aea327919ee0247da5402ecd7a566e5e50be929cd0c86c304c9da91</t>
  </si>
  <si>
    <t>Portland - Hillsboro 1</t>
  </si>
  <si>
    <t>3935 NE Aloclek Place, Hillsboro, OR 97124</t>
  </si>
  <si>
    <t>BA38yG</t>
  </si>
  <si>
    <t>629d53d0c3ff57038fa59982c2497a6f733f89762a468f54185bce1a6f2fb0df</t>
  </si>
  <si>
    <t>Portland - Hillsboro 2</t>
  </si>
  <si>
    <t>5737 NE Huffman Street Hillsboro, OR 97124</t>
  </si>
  <si>
    <t>BgAz4G</t>
  </si>
  <si>
    <t>76da2d109f3a8bb2a748157e298fafb949fb945ca4baf5395a7d938f24b18ccf</t>
  </si>
  <si>
    <t>Portland - Hillsboro 3</t>
  </si>
  <si>
    <t>5419 NE Starr Blvd Hillsboro, OR 97124</t>
  </si>
  <si>
    <t>GlPqzG</t>
  </si>
  <si>
    <t>9c4b7a64af35568bfe21a328fbde2b3107d0313b2173d9b3b3a9ddc386db7cff</t>
  </si>
  <si>
    <t>Portland - Hillsboro 5</t>
  </si>
  <si>
    <t>4975 NE Starr Blvd, Hillsboro, OR 97124, United States</t>
  </si>
  <si>
    <t>BAQeyB</t>
  </si>
  <si>
    <t>3c9f4793ade10e4762ccd9513bb7ced51974b35c98512f5ccf60fc0885cbfcd5</t>
  </si>
  <si>
    <t>5150 McCrimmon Pkwy #423, Morrisville, NC 27560, United States</t>
  </si>
  <si>
    <t>weNzLB</t>
  </si>
  <si>
    <t>08b359db91cde4247895a8feaea68c20120343924b866854a9b9d3049d6838e5</t>
  </si>
  <si>
    <t>Salt Lake City - Downtown</t>
  </si>
  <si>
    <t>572 South Delong St, Suite 100, Salt Lake City, Utah 84104, USA</t>
  </si>
  <si>
    <t>84104</t>
  </si>
  <si>
    <t>Poplar Place</t>
  </si>
  <si>
    <t>B1Xa3w</t>
  </si>
  <si>
    <t>755a36d6e0e66c8c04089f71a111a5684bf5c5399a5266cf2c56fb7f5426797f</t>
  </si>
  <si>
    <t>Salt Lake City - Fair Park</t>
  </si>
  <si>
    <t>118 South 1000 West, Salt Lake City, Utah 84104, USA</t>
  </si>
  <si>
    <t>Riverside</t>
  </si>
  <si>
    <t>Rp7xqB</t>
  </si>
  <si>
    <t>f4c10abe00f8d4ac5d3955d973cb4b89b4fbf68ba6bb79d8fc1f7b7830ae8d61</t>
  </si>
  <si>
    <t>Salt Lake City - Lindon</t>
  </si>
  <si>
    <t>333 South 520 West, #150 Lindon, Utah 84042, USA</t>
  </si>
  <si>
    <t>Utah County</t>
  </si>
  <si>
    <t>Lindon</t>
  </si>
  <si>
    <t>84042</t>
  </si>
  <si>
    <t>wOLqDB</t>
  </si>
  <si>
    <t>ef057ba3bd5f8c0494d74fec95d8c4cbdf5b013a8fb7bc0b1af1f18da3c60395</t>
  </si>
  <si>
    <t>Salt Lake City - Millcreek</t>
  </si>
  <si>
    <t>3949 South 200 East, Suite B1, Salt Lake City, Utah 84107, USA</t>
  </si>
  <si>
    <t>Murray</t>
  </si>
  <si>
    <t>84107</t>
  </si>
  <si>
    <t>Centerfield</t>
  </si>
  <si>
    <t>RKZqZB</t>
  </si>
  <si>
    <t>5ed7b7a8b4b80d3fad03b6997dcae7e92bba09a21b6d9d3f3383f8c8dee4589a</t>
  </si>
  <si>
    <t>Salt Lake City - South Valley</t>
  </si>
  <si>
    <t>7202 South Campus View Drive, West Jordan, Utah 84084, USA</t>
  </si>
  <si>
    <t>84084</t>
  </si>
  <si>
    <t>BgAZzG</t>
  </si>
  <si>
    <t>6d5a2c0f55ad506aa7aecd23e0d7a2d2f7709e94a5b1e94924d8f669f788282b</t>
  </si>
  <si>
    <t>Tampa - North</t>
  </si>
  <si>
    <t>8350 Parkedge Drive Tampa, FL 33637</t>
  </si>
  <si>
    <t>Temple Terrace</t>
  </si>
  <si>
    <t>33637</t>
  </si>
  <si>
    <t>Residence Inn at Tampa Telecom Park 7A1</t>
  </si>
  <si>
    <t>BPJq8G</t>
  </si>
  <si>
    <t>a9b22d09fa3240b625c9e3e2d4ab01a08099298852e92df401f2460eaedc40c3</t>
  </si>
  <si>
    <t>Tampa - West</t>
  </si>
  <si>
    <t>9417 Corporate Lake Drive Tampa, FL 33634</t>
  </si>
  <si>
    <t>33634</t>
  </si>
  <si>
    <t>R4Je5w</t>
  </si>
  <si>
    <t>855130ded6276f34d8c9251189793604068580116d96faf75f2e6368b8f977ca</t>
  </si>
  <si>
    <t>Flō Networks</t>
  </si>
  <si>
    <t>500 W Overland Ave</t>
  </si>
  <si>
    <t>500 W Overland Ave, Suite 310, El Paso, Texas 79901, USA</t>
  </si>
  <si>
    <t>El Paso County</t>
  </si>
  <si>
    <t>El Paso</t>
  </si>
  <si>
    <t>79901</t>
  </si>
  <si>
    <t>GZqYWR</t>
  </si>
  <si>
    <t>9510d39d3971eddc2582b8a4934eccaff3b77d237bfdb8c5ed7149099b0f20f1</t>
  </si>
  <si>
    <t>WestStar Tower</t>
  </si>
  <si>
    <t>601 N Mesa St, El Paso, Texas 79901, USA</t>
  </si>
  <si>
    <t>RvP9aw</t>
  </si>
  <si>
    <t>74f3510b793f442bb83226f74789b43cbef06d17a789191c90f6213c7bfb95b8</t>
  </si>
  <si>
    <t>Fogo Solutions</t>
  </si>
  <si>
    <t>935 Gravier St, New Orleans, LA 70112, USA</t>
  </si>
  <si>
    <t>70170</t>
  </si>
  <si>
    <t>RYq84R</t>
  </si>
  <si>
    <t>162f23c4b2a1709f3fcab280cc43b36ff306e326ec06875a5ef300f42c1fd651</t>
  </si>
  <si>
    <t>ForgeLight LLC</t>
  </si>
  <si>
    <t>Conway</t>
  </si>
  <si>
    <t>Lollie Road</t>
  </si>
  <si>
    <t>Faulkner County</t>
  </si>
  <si>
    <t>72106</t>
  </si>
  <si>
    <t>GWnnDR</t>
  </si>
  <si>
    <t>0f9c1ce06743b086d64896c44595e37b142590cce71c5d1a546c37638b016e77</t>
  </si>
  <si>
    <t>Form8tion Data Centers</t>
  </si>
  <si>
    <t>LaGrange</t>
  </si>
  <si>
    <t>411 Pegasus Parkway, LaGrange, GA 30240</t>
  </si>
  <si>
    <t>Troup County</t>
  </si>
  <si>
    <t>30240</t>
  </si>
  <si>
    <t>R8mdvG</t>
  </si>
  <si>
    <t>2197454c70795c030c13cf12ba9636f3f00ba19d933a91e528519013c7164767</t>
  </si>
  <si>
    <t>Fortress</t>
  </si>
  <si>
    <t>Fortress SF1</t>
  </si>
  <si>
    <t>274 Brannan St, San Francisco, CA 94107</t>
  </si>
  <si>
    <t>South Beach</t>
  </si>
  <si>
    <t>RYKkAw</t>
  </si>
  <si>
    <t>7b1ac21fe8a643e733532486a48019673c3c981fd5a7f6f5c86725c626a8a871</t>
  </si>
  <si>
    <t>Foundry Digital</t>
  </si>
  <si>
    <t>North Sioux City</t>
  </si>
  <si>
    <t>610 Gateway Dr, North Sioux City, SD 57049, USA</t>
  </si>
  <si>
    <t>57049</t>
  </si>
  <si>
    <t>B1Xgxw</t>
  </si>
  <si>
    <t>fa7642fac11f51809554393d7700da4746b7db1cd2adb926f55149d9b32f23fc</t>
  </si>
  <si>
    <t>Franklin PUD</t>
  </si>
  <si>
    <t>Franklin PUD Colocation</t>
  </si>
  <si>
    <t>1411 W Clark St, Pasco, WA 99301, United States</t>
  </si>
  <si>
    <t>Pasco</t>
  </si>
  <si>
    <t>99301</t>
  </si>
  <si>
    <t>wOLgkB</t>
  </si>
  <si>
    <t>b8e45a7662969058db23a6791b9d83becf42f9c7a1c7527d9e9144b27ef4f9bd</t>
  </si>
  <si>
    <t>Franks Investment Co. LLC</t>
  </si>
  <si>
    <t>Resilient Technology Park</t>
  </si>
  <si>
    <t>7340 Greenwood Rd, Shreveport, LA 71119</t>
  </si>
  <si>
    <t>71119</t>
  </si>
  <si>
    <t>Bb8K0G</t>
  </si>
  <si>
    <t>0412d8fa878664a968da88f428e9993536057d0e2e18a3457cd621600be01106</t>
  </si>
  <si>
    <t>Frederick County Government</t>
  </si>
  <si>
    <t>Prospect Center</t>
  </si>
  <si>
    <t>585 Himes Ave, Frederick, MD 21703</t>
  </si>
  <si>
    <t>RpZodw</t>
  </si>
  <si>
    <t>8240360476a31889b9dd43dc8959519ce4b726bd5ad158b3dbe02b34a485c5aa</t>
  </si>
  <si>
    <t>Fredi Home Improvement</t>
  </si>
  <si>
    <t>2 Elm Street</t>
  </si>
  <si>
    <t>2 Elm St, Ansonia, CT 06401</t>
  </si>
  <si>
    <t>Naugatuck Valley Planning Region</t>
  </si>
  <si>
    <t>Ansonia</t>
  </si>
  <si>
    <t>06401</t>
  </si>
  <si>
    <t>GDLypG</t>
  </si>
  <si>
    <t>7d37698fd3b6926276b1c124c1e6c114cb2ec2a922b6a22ac019b3befedb0fa7</t>
  </si>
  <si>
    <t>Fronius International</t>
  </si>
  <si>
    <t>Fronius USA Data Centre</t>
  </si>
  <si>
    <t>Portage, IN 46368</t>
  </si>
  <si>
    <t>RjJrQR</t>
  </si>
  <si>
    <t>e7338fef6c11cc0dc07f700762f64b233c234cb5fdb50ed5de1d357393c71a9b</t>
  </si>
  <si>
    <t>Frontier Communications</t>
  </si>
  <si>
    <t>Frontier Communications Fort Wayne</t>
  </si>
  <si>
    <t>6430 Oakbrook Pkwy, Fort Wayne, IN 46825, USA</t>
  </si>
  <si>
    <t>Allen County</t>
  </si>
  <si>
    <t>Fort Wayne</t>
  </si>
  <si>
    <t>46825</t>
  </si>
  <si>
    <t>RxYn4G</t>
  </si>
  <si>
    <t>586b476b5ad35af2b9a1abed0644c07c83cb2e29efd5531b0e535c8ab3f88ba3</t>
  </si>
  <si>
    <t>Frontier Communications Huntington Beach</t>
  </si>
  <si>
    <t>7048-7352 Slater Ave Huntington Beach, California 92647</t>
  </si>
  <si>
    <t>Huntington Beach</t>
  </si>
  <si>
    <t>92647</t>
  </si>
  <si>
    <t>w9EXQw</t>
  </si>
  <si>
    <t>07847e4ade5da2c3405b9b6ee3e86082ad667d2a56abc773fe4101fe1c948065</t>
  </si>
  <si>
    <t>Galaxy Digital Inc.</t>
  </si>
  <si>
    <t>Helios Data Center Campus</t>
  </si>
  <si>
    <t>984 Co Rd 112, Afton, TX 79220</t>
  </si>
  <si>
    <t>Dickens County</t>
  </si>
  <si>
    <t>79220</t>
  </si>
  <si>
    <t>wM2DVB</t>
  </si>
  <si>
    <t>efdeff3858e666780b52bcccb2fc61bafb5371a291f8eac2bd2cca2118e5ac4a</t>
  </si>
  <si>
    <t>GE Appliances</t>
  </si>
  <si>
    <t>GE Data Center</t>
  </si>
  <si>
    <t>4000 Buechel Bank Rd, Louisville, KY 40218, USA</t>
  </si>
  <si>
    <t>40225</t>
  </si>
  <si>
    <t>GE Appliance Park</t>
  </si>
  <si>
    <t>RKv9eB</t>
  </si>
  <si>
    <t>e5263108441d07060bd6236e4afa64dcd58bc4eefb37cdc5af14cd45d2ea813c</t>
  </si>
  <si>
    <t>General Electric</t>
  </si>
  <si>
    <t>8700 Governors Hill Drive</t>
  </si>
  <si>
    <t>8700 Governors Hill Dr, Cincinnati, OH 45249, USA</t>
  </si>
  <si>
    <t>45249</t>
  </si>
  <si>
    <t>Symmes Township</t>
  </si>
  <si>
    <t>RQ3lew</t>
  </si>
  <si>
    <t>14b62efaa0398ae23e87b530986917efebbeb2e912b032a2b9829f4ff5a8b89e</t>
  </si>
  <si>
    <t>Genworth</t>
  </si>
  <si>
    <t>Genworth Financial</t>
  </si>
  <si>
    <t>8325 Six Forks Rd. Raleigh, NC 27615</t>
  </si>
  <si>
    <t>27615</t>
  </si>
  <si>
    <t>Six Forks</t>
  </si>
  <si>
    <t>w9D1kG</t>
  </si>
  <si>
    <t>5d5c3e2006ef631a07ddae6647a2056597504419f8db7319ce33f6ac103259a9</t>
  </si>
  <si>
    <t>GI Partners</t>
  </si>
  <si>
    <t>22262 Cloud Plaza</t>
  </si>
  <si>
    <t>22262 Cloud Plz, Dulles, VA 20166</t>
  </si>
  <si>
    <t>BqgX6G</t>
  </si>
  <si>
    <t>5e3bb4b94ef7f42b3a6314168dea61df4d5143c35071325ea9d0edd123a96f31</t>
  </si>
  <si>
    <t>43915 Devin Shafron Drive</t>
  </si>
  <si>
    <t>43915 Devin Shafron Drive, Ashburn, VA 20147</t>
  </si>
  <si>
    <t>wOQjnR</t>
  </si>
  <si>
    <t>22b30d0c12281a7bdb604257b1e35d135f8f2508cff3ba9fce172f952a1267eb</t>
  </si>
  <si>
    <t>Bowers Data Center</t>
  </si>
  <si>
    <t>2805 Bowers Avenue, Santa Clara, California, USA</t>
  </si>
  <si>
    <t>RvY3rB</t>
  </si>
  <si>
    <t>a7d3c76789bd9f6124c4f378477acb00327c597508f820a8f058199534861353</t>
  </si>
  <si>
    <t>KOMO Plaza West</t>
  </si>
  <si>
    <t>100 4th Ave N, Seattle, WA 98109, United States</t>
  </si>
  <si>
    <t>GDoNeR</t>
  </si>
  <si>
    <t>5633be05b85c1bcb09c7aefa16db90aa847613f8260b5c2bad91538f29f994f3</t>
  </si>
  <si>
    <t>525 D St NW, Quincy, WA 98848, United States</t>
  </si>
  <si>
    <t>RQLm1B</t>
  </si>
  <si>
    <t>b33851b6e57f03064a970294d924b9b47b83edec37b9e0b6086ebf7c4aa8060a</t>
  </si>
  <si>
    <t>GigeNET</t>
  </si>
  <si>
    <t>545 E. Algonquin Rd. Ste. D 60005 Arlington Heights Illinois, USA</t>
  </si>
  <si>
    <t>Arlington Heights</t>
  </si>
  <si>
    <t>60005</t>
  </si>
  <si>
    <t>Wheeling Township</t>
  </si>
  <si>
    <t>BqWjyG</t>
  </si>
  <si>
    <t>5c0440e8134fdf9e64b352fa8e7a56075a495f250dfc5ec5f61d624fec7474f9</t>
  </si>
  <si>
    <t>Global Access Point</t>
  </si>
  <si>
    <t>IN1</t>
  </si>
  <si>
    <t>800 Oliver Ave, Indianapolis, IN 46225, USA</t>
  </si>
  <si>
    <t>46222</t>
  </si>
  <si>
    <t>B72dbw</t>
  </si>
  <si>
    <t>544500f9da700f5d48d1c5f25e82de399982f708c69fd6ed2835d19e7b6e50ff</t>
  </si>
  <si>
    <t>SB2</t>
  </si>
  <si>
    <t>Studebaker Building 84, 635 S Lafayette Blvd, South Bend, IN 46601, United States</t>
  </si>
  <si>
    <t>BX6DaG</t>
  </si>
  <si>
    <t>bc59981f704863ac8514b908e0c87d015e875887655fd221fe4a2413b4920764</t>
  </si>
  <si>
    <t>Global IP Networks</t>
  </si>
  <si>
    <t>1009 Jupiter Rd #500, Plano, Texas 75074, USA</t>
  </si>
  <si>
    <t>RNe5LB</t>
  </si>
  <si>
    <t>68aafe02848e748876291627efa480cea4e2838f04d67cbf2b32f6343f566df5</t>
  </si>
  <si>
    <t>Globalinx</t>
  </si>
  <si>
    <t>Globalinx Virginia Beach</t>
  </si>
  <si>
    <t>1632 Corporate Landing Pkwy, Virginia Beach, VA 23454</t>
  </si>
  <si>
    <t>City of Virginia Beach</t>
  </si>
  <si>
    <t>Virginia Beach</t>
  </si>
  <si>
    <t>23454</t>
  </si>
  <si>
    <t>GWZZ5R</t>
  </si>
  <si>
    <t>7e0029199c44b07267ae3627c61e90e3f2bf7d66c1cc62f962427df3de03b655</t>
  </si>
  <si>
    <t>Goldman Sachs</t>
  </si>
  <si>
    <t>Goldman Sachs Bridgewater</t>
  </si>
  <si>
    <t>765 US-202, Bridgewater Township, NJ 08807</t>
  </si>
  <si>
    <t>B1Xeew</t>
  </si>
  <si>
    <t>75f3fc6c683d4fc7f92fc5b8864b5e94f59761cd2780e772cb04d6ba947d4e7f</t>
  </si>
  <si>
    <t>Google</t>
  </si>
  <si>
    <t>13001 Rollins Ford Road</t>
  </si>
  <si>
    <t>13001 Rollins Ford Rd, Gainesville, VA 20155</t>
  </si>
  <si>
    <t>GZZWWG</t>
  </si>
  <si>
    <t>c720fe783c13efaaceed91da4495d568de8597bafc3ba4ec868edb76ff4a9e98</t>
  </si>
  <si>
    <t>3203 US-52 Moncks Corner, South Carolina 29461 United States</t>
  </si>
  <si>
    <t>Google Berkeley County Data Center</t>
  </si>
  <si>
    <t>GW615R</t>
  </si>
  <si>
    <t>7016dbda9082576c50999bccb650e8f7ca31c27d228e3b9d0f3925c719f2c01c</t>
  </si>
  <si>
    <t>Bermuda Hundred Road</t>
  </si>
  <si>
    <t>2400 Bermuda Hundred Rd, Chester, VA 23836</t>
  </si>
  <si>
    <t>Chester</t>
  </si>
  <si>
    <t>Gm45vR</t>
  </si>
  <si>
    <t>481829604fa3846bade013a3edd9523e398a5a3ffc0d9034978446cb2a58c89d</t>
  </si>
  <si>
    <t>Botetourt County</t>
  </si>
  <si>
    <t>Daleville, VA 24083</t>
  </si>
  <si>
    <t>Daleville</t>
  </si>
  <si>
    <t>24083</t>
  </si>
  <si>
    <t>automotive_parts</t>
  </si>
  <si>
    <t>Gk4kqw</t>
  </si>
  <si>
    <t>a69638c9eae6517311d8daf9cd0879d0fa6307688a5ba4b6a1a3f3023c017fa1</t>
  </si>
  <si>
    <t>Council Bluffs, Iowa (1)</t>
  </si>
  <si>
    <t>1430 VETERANS MEMORIAL HWY</t>
  </si>
  <si>
    <t>R4ZMLw</t>
  </si>
  <si>
    <t>9544f57a9d6236758c31a28a59921ad8faddae53d78f6cbec36b65f2bf340f01</t>
  </si>
  <si>
    <t>Council Bluffs, Iowa (2)</t>
  </si>
  <si>
    <t>10410 Bunge Ave. Council Bluffs, IA 51503, USA</t>
  </si>
  <si>
    <t>Google Data Center</t>
  </si>
  <si>
    <t>w9L47G</t>
  </si>
  <si>
    <t>2dc0572315ba94dbb97484c25952733f79f9413742e675cacbf014cff8047b55</t>
  </si>
  <si>
    <t>Dorchester County</t>
  </si>
  <si>
    <t>1055 Research Center Dr, Ridgeville, SC 29472, United States</t>
  </si>
  <si>
    <t>BPLepB</t>
  </si>
  <si>
    <t>e2222ff2f90ec58b5e6b9c8d1cbf172ad21f2db01164c97632301eeca645c405</t>
  </si>
  <si>
    <t>Douglas County (Google)</t>
  </si>
  <si>
    <t>300 Riverside Pkwy, Lithia Springs, Georgia 30122, United States</t>
  </si>
  <si>
    <t>GykNbB</t>
  </si>
  <si>
    <t>f7499bfa3a0e56e582f0fa7fe96981bcc5b3d4b94e39b4139f2dbb44ac6aa53a</t>
  </si>
  <si>
    <t>Eagle Mountain</t>
  </si>
  <si>
    <t>84005</t>
  </si>
  <si>
    <t>GlW8PR</t>
  </si>
  <si>
    <t>da55e0dde9128d63ec2adf1a4d4735e0674c7cb054be7063295a72b6aa55dda8</t>
  </si>
  <si>
    <t>Google Cedar Rapids</t>
  </si>
  <si>
    <t>Cedar Rapids</t>
  </si>
  <si>
    <t>52404</t>
  </si>
  <si>
    <t>BgJrQw</t>
  </si>
  <si>
    <t>f43b65608977c016c20b4e180fc708535d4b7b8e6e3580314129dd29a374ab2b</t>
  </si>
  <si>
    <t>Google Franklin Furnace</t>
  </si>
  <si>
    <t>Scioto County</t>
  </si>
  <si>
    <t>Green</t>
  </si>
  <si>
    <t>45629</t>
  </si>
  <si>
    <t>Green Township</t>
  </si>
  <si>
    <t>Bb83jG</t>
  </si>
  <si>
    <t>f567cadfb08b203de1a441901f00b7668a0bf43f3039a51d253ab408ba533d0b</t>
  </si>
  <si>
    <t>Google Hartman Stock Farm</t>
  </si>
  <si>
    <t>5076 S High St, Lockbourne, OH 43137, USA</t>
  </si>
  <si>
    <t>Lockbourne</t>
  </si>
  <si>
    <t>43137</t>
  </si>
  <si>
    <t>Southwest</t>
  </si>
  <si>
    <t>Bb0M0G</t>
  </si>
  <si>
    <t>c8e29c41eb690b4591de04cc24821643dd61edc49120ffa44fa8d92a1b6ee48a</t>
  </si>
  <si>
    <t>Google Indiana - Project Zodiac</t>
  </si>
  <si>
    <t>7301 E Paulding Rd, Fort Wayne, IN 46816</t>
  </si>
  <si>
    <t>46816</t>
  </si>
  <si>
    <t>Adams Township</t>
  </si>
  <si>
    <t>RYML4R</t>
  </si>
  <si>
    <t>1d9ab677116816a92e2e87025ef2e7a6eaf10dfb8d59daf50928736f1786ec01</t>
  </si>
  <si>
    <t>Google Lancaster</t>
  </si>
  <si>
    <t>104 Whiley Rd, Lancaster, OH 43130, USA</t>
  </si>
  <si>
    <t>43130</t>
  </si>
  <si>
    <t>Lancaster City Township</t>
  </si>
  <si>
    <t>B7VWrw</t>
  </si>
  <si>
    <t>e8d2bb98f1a1e849584ce19a92e016a95c2d74597e4395bdcbb93ab4418d51d9</t>
  </si>
  <si>
    <t>Henderson</t>
  </si>
  <si>
    <t>560 W Warm Springs Rd Henderson, NV 89011 United States</t>
  </si>
  <si>
    <t>89011</t>
  </si>
  <si>
    <t>R2Z4eR</t>
  </si>
  <si>
    <t>037d44c4f1ed41613c3290ba0b79c53898586fdb3dd00291e4205de00f4febd1</t>
  </si>
  <si>
    <t>Hwy 277, Near Bridgeport, Jackson County, AL, USA</t>
  </si>
  <si>
    <t>RNQZ6B</t>
  </si>
  <si>
    <t>987fd5489e64a789ce79cf2282b4a03aebeee737db353ff4b016cd6f348dfa95</t>
  </si>
  <si>
    <t>Jug and Harrison</t>
  </si>
  <si>
    <t>New Albany, Ohio, USA</t>
  </si>
  <si>
    <t>Jersey</t>
  </si>
  <si>
    <t>Gm6nLw</t>
  </si>
  <si>
    <t>66948df545d733714df7141f403c2468855b04179170a1f99b39ab027fffd416</t>
  </si>
  <si>
    <t>NE Parvin Rd, Kansas City, MO 64161, USA</t>
  </si>
  <si>
    <t>BJvmzB</t>
  </si>
  <si>
    <t>985761437cc72135ef0b11ef2a9df0ef2480329afab08e7f6c8095de0a3134bf</t>
  </si>
  <si>
    <t>Lenoir, North Carolina</t>
  </si>
  <si>
    <t>708 Lynhaven Dr, Lenoir, NC 28645, United States</t>
  </si>
  <si>
    <t>R0aYpG</t>
  </si>
  <si>
    <t>c5348a687c3a967c21a56efa17f4ad28b75a77653d0ea13cd9b56e5ae3b2f099</t>
  </si>
  <si>
    <t>Lincoln Agate</t>
  </si>
  <si>
    <t>8905-9385 N 56th St, Lincoln, NE 68514, USA</t>
  </si>
  <si>
    <t>BgJvzw</t>
  </si>
  <si>
    <t>f59de9d33042b6aaa5c1d52b2ca98fa38b02cb27d46ee63d6aeab050d8a4e777</t>
  </si>
  <si>
    <t>Loudoun County- Arcola Center</t>
  </si>
  <si>
    <t>24400 Howling Rooster Ln, Dulles, VA 20166</t>
  </si>
  <si>
    <t>Arcola</t>
  </si>
  <si>
    <t>20107</t>
  </si>
  <si>
    <t>B7m4nG</t>
  </si>
  <si>
    <t>b4ecdd009f27e19dbdc214bff408fec1c514c77c74e1520d71f7e75685ad934e</t>
  </si>
  <si>
    <t>Loudoun County- Stonewall Business Park</t>
  </si>
  <si>
    <t>20491 Goose Landing Ln, Leesburg, VA 20175</t>
  </si>
  <si>
    <t>RK8r3G</t>
  </si>
  <si>
    <t>be0c6f1ed96b2d3a8123412ff1f729c00e3d129fd0f721d95f7e55d3e1d0200a</t>
  </si>
  <si>
    <t>Magnolia Green</t>
  </si>
  <si>
    <t>4200 Moseley Rd, Moseley, VA 23120</t>
  </si>
  <si>
    <t>Moseley</t>
  </si>
  <si>
    <t>23120</t>
  </si>
  <si>
    <t>B1jAeR</t>
  </si>
  <si>
    <t>185b7a2261c88a250f2f39e2c50279d769cc8213213f82587a626dbf554551dd</t>
  </si>
  <si>
    <t>Mayes County</t>
  </si>
  <si>
    <t>4581 Webb St. Pryor, OK 74361</t>
  </si>
  <si>
    <t>Google Mayes County</t>
  </si>
  <si>
    <t>B1pDQw</t>
  </si>
  <si>
    <t>99f743520cf15cc4dad205298821b91f610a3d7920b9a0a36a857df9c9386c25</t>
  </si>
  <si>
    <t>Midlothian, Texas</t>
  </si>
  <si>
    <t>3651 Railport Pkwy, Midlothian, Texas 76065, USA</t>
  </si>
  <si>
    <t>Midlothian</t>
  </si>
  <si>
    <t>wOQnQR</t>
  </si>
  <si>
    <t>c5194c5b40612fc7a27428c58bf8c0ba44fbda0f49906495b5cf89897a65fe37</t>
  </si>
  <si>
    <t>Montgomery County Tennessee</t>
  </si>
  <si>
    <t>100 Solar Way, Clarksville, Tennessee 37040</t>
  </si>
  <si>
    <t>37040</t>
  </si>
  <si>
    <t>BgVv0w</t>
  </si>
  <si>
    <t>e07c4a862bfb65442ea5bc003e7c11a7b1d9163f2097f12719be42a19eb1edcb</t>
  </si>
  <si>
    <t>MSA HUB1</t>
  </si>
  <si>
    <t>7232 E Elliot Rd, Mesa, AZ 85212, United States</t>
  </si>
  <si>
    <t>BX6bWG</t>
  </si>
  <si>
    <t>27313a66852a7d230b2931811be0e8fb14fffbeb19da83b9680bfbbc5d0b47dd</t>
  </si>
  <si>
    <t>1101 Beech Rd SW, New Albany, OH 43054</t>
  </si>
  <si>
    <t>RKv5DB</t>
  </si>
  <si>
    <t>1e9a2a5805f1631df3d711c9ea0b99a7fb00c0f8626ebab606fed49e32f5ddd4</t>
  </si>
  <si>
    <t>11110 State St. Omaha, NE 68142</t>
  </si>
  <si>
    <t>68142</t>
  </si>
  <si>
    <t>GyPgyR</t>
  </si>
  <si>
    <t>fdf53636160b679db0be7d081faa3f7817eeab7c90fa43c278ef8e6858b21dd5</t>
  </si>
  <si>
    <t>14706 Schram Rd, Papillion, NE 68138, United States</t>
  </si>
  <si>
    <t>Richland Viii</t>
  </si>
  <si>
    <t>68046</t>
  </si>
  <si>
    <t>BgVvWw</t>
  </si>
  <si>
    <t>78f30ac982ad46507ed2b08bc632d7151af91fd282f613c294b4293be3771066</t>
  </si>
  <si>
    <t>Port of The Dalles Data Center</t>
  </si>
  <si>
    <t>3500 River Rd, The Dalles, OR 97058, USA</t>
  </si>
  <si>
    <t>Wasco County</t>
  </si>
  <si>
    <t>The Dalles</t>
  </si>
  <si>
    <t>95058</t>
  </si>
  <si>
    <t>RvYXyB</t>
  </si>
  <si>
    <t>aec9c9a98e4d59626065e5ad02b4a7f2f5bc4e34de51dfc271703280946aeb5e</t>
  </si>
  <si>
    <t>Project Mica</t>
  </si>
  <si>
    <t>64165</t>
  </si>
  <si>
    <t>Nashua</t>
  </si>
  <si>
    <t>RQ62eG</t>
  </si>
  <si>
    <t>5a656ba0fd21d981c9a8faf2bd1dcbf1bdac864a5823b18b6f1d2c739eac3907</t>
  </si>
  <si>
    <t>Project Pyramid</t>
  </si>
  <si>
    <t>Along Bollinger Rd., West Memphis, Arkansas</t>
  </si>
  <si>
    <t>Crittenden County</t>
  </si>
  <si>
    <t>West Memphis</t>
  </si>
  <si>
    <t>72376</t>
  </si>
  <si>
    <t>Rail Port Logistics Park</t>
  </si>
  <si>
    <t>BXJ2MG</t>
  </si>
  <si>
    <t>dcf06ccf2334a7f9e94bc4d0cf9816cbae377b09fb12e52e0d2a8b17ef18805c</t>
  </si>
  <si>
    <t>Project Skyway</t>
  </si>
  <si>
    <t>500th Street and 195th Ave Pine Island, MN 55963</t>
  </si>
  <si>
    <t>Goodhue County</t>
  </si>
  <si>
    <t>Pine Island</t>
  </si>
  <si>
    <t>55963</t>
  </si>
  <si>
    <t>Pine Island Township</t>
  </si>
  <si>
    <t>B1j73R</t>
  </si>
  <si>
    <t>c322186f19e8e137aaa58114e583394b8da3fa82b92453cc9744ee7860bd8412</t>
  </si>
  <si>
    <t>156 N. Austin Blvd, Red Oak, Texas, USA</t>
  </si>
  <si>
    <t>wMAOxw</t>
  </si>
  <si>
    <t>8f778cc47b7705d8ea154ca0ba7c1086e46117174d0b1499f97a7df26d39bd41</t>
  </si>
  <si>
    <t>Stillwater</t>
  </si>
  <si>
    <t>Perkins &amp; Richmond Roads Stillwater, OK</t>
  </si>
  <si>
    <t>Payne County</t>
  </si>
  <si>
    <t>74075</t>
  </si>
  <si>
    <t>RpOZDB</t>
  </si>
  <si>
    <t>4d7247645206c5f1f91d39a0d77f438f127f0122094bc73590ee16e846e05499</t>
  </si>
  <si>
    <t>Tahoe Reno Industrial Center</t>
  </si>
  <si>
    <t>7400 USA Pkwy, Sparks, NV 89437, United States</t>
  </si>
  <si>
    <t>89437</t>
  </si>
  <si>
    <t>w5W20R</t>
  </si>
  <si>
    <t>89396ecdb0a3e258ea05cfaa9329b843a853ee258ced592d65b3eb5ce230cc89</t>
  </si>
  <si>
    <t>Taylor Lake Data Center</t>
  </si>
  <si>
    <t>4400 River Trail Way, The Dalles, OR 97058, United States</t>
  </si>
  <si>
    <t>Google Taylor Lake Data Center</t>
  </si>
  <si>
    <t>GZolgw</t>
  </si>
  <si>
    <t>587a8c875af661324ec7960ee481494708068ba440c94e85430dde82b8f34539</t>
  </si>
  <si>
    <t>The Dalles Data Center</t>
  </si>
  <si>
    <t>4200 Columbia Rd, The Dalles, Oregon 97058, United States</t>
  </si>
  <si>
    <t>RY6geG</t>
  </si>
  <si>
    <t>54be113219274ed27f4a983a575fc704e13ea7e79a7e046e2d15599fa2a55fa9</t>
  </si>
  <si>
    <t>Watkins Center South</t>
  </si>
  <si>
    <t>750 Watkins Centre Pkwy, Midlothian, VA 23114</t>
  </si>
  <si>
    <t>23114</t>
  </si>
  <si>
    <t>wODmoB</t>
  </si>
  <si>
    <t>1a94df6adc1346d25b75b14640fb7b26e3258239f52868d4556f155beedbffd6</t>
  </si>
  <si>
    <t>Wellington Road</t>
  </si>
  <si>
    <t>6201 WELLINGTON RD GAINESVILLE, VA 20155</t>
  </si>
  <si>
    <t>GaAkrG</t>
  </si>
  <si>
    <t>8a30bdb65d7fb45c542771b634e6cc73200622b367064d989d6934e7c1d8ae4e</t>
  </si>
  <si>
    <t>Goonhilly Earth Station</t>
  </si>
  <si>
    <t>2120  River Road Teleport</t>
  </si>
  <si>
    <t>2120 River Rd, Southbury, CT 06488</t>
  </si>
  <si>
    <t>Southbury</t>
  </si>
  <si>
    <t>06488</t>
  </si>
  <si>
    <t>GdAJ4w</t>
  </si>
  <si>
    <t>7b3dd3d8d7021a0ddb20ecbbc1d72022af1723304b4c0616c2099fa154566be0</t>
  </si>
  <si>
    <t>GotSpace Data Partners</t>
  </si>
  <si>
    <t>Campus Griswold Site 1</t>
  </si>
  <si>
    <t>Barber Road, Griswold, CT 06351</t>
  </si>
  <si>
    <t>Southeastern Connecticut Planning Region</t>
  </si>
  <si>
    <t>Griswold</t>
  </si>
  <si>
    <t>06351</t>
  </si>
  <si>
    <t>Gm6Erw</t>
  </si>
  <si>
    <t>788f35b12e80ca5b3287252384c499d0a125d1b78828723e7410d8ce23461303</t>
  </si>
  <si>
    <t>Campus Griswold Site 2</t>
  </si>
  <si>
    <t>Griswold, CT 06351</t>
  </si>
  <si>
    <t>RKv6eB</t>
  </si>
  <si>
    <t>b2c23e3da8a5a1a6d4e9c92bbe430e3214d3e7c490d6afe5031c5dad28d6ef4a</t>
  </si>
  <si>
    <t>Norwich</t>
  </si>
  <si>
    <t>328 Plain Hill Road, Norwichtown, Norwich, CT 06360</t>
  </si>
  <si>
    <t>06360</t>
  </si>
  <si>
    <t>Bean Hill Historic District</t>
  </si>
  <si>
    <t>Gz3nEw</t>
  </si>
  <si>
    <t>b0118f79e9ed787ebfbb0a7f1819b4bbf657fd1918c6b6ef794a0dbe8e19b066</t>
  </si>
  <si>
    <t>Gray Wolf Data Centers</t>
  </si>
  <si>
    <t>Bristol, CT</t>
  </si>
  <si>
    <t>234 Riverside Ave, Bristol, CT 06010</t>
  </si>
  <si>
    <t>Bristol</t>
  </si>
  <si>
    <t>06010</t>
  </si>
  <si>
    <t>Main Street Historic District</t>
  </si>
  <si>
    <t>wODOrB</t>
  </si>
  <si>
    <t>51dc4071e0f34d54d0e1166803e40d0c70e38e938300bb23952c8d52f8dfc81a</t>
  </si>
  <si>
    <t>Colchester, CT</t>
  </si>
  <si>
    <t>00 Old Amston Road, Colchester, CT</t>
  </si>
  <si>
    <t>Colchester</t>
  </si>
  <si>
    <t>06415</t>
  </si>
  <si>
    <t>Bg5zQG</t>
  </si>
  <si>
    <t>d633c13cfd30ae823ede59326e732eea4b1d8e14d749d8ba2a3cce48c82b51a8</t>
  </si>
  <si>
    <t>Green Energy Partners</t>
  </si>
  <si>
    <t>Surry Green Energy Center</t>
  </si>
  <si>
    <t>Surry, VA 23883, United States</t>
  </si>
  <si>
    <t>Surry County</t>
  </si>
  <si>
    <t>Poolesville</t>
  </si>
  <si>
    <t>23883</t>
  </si>
  <si>
    <t>B13KQG</t>
  </si>
  <si>
    <t>4e379a5550d8d51f09ba4f7fa5d5e7e7e88321961acdb84d5a4afccd44bbf051</t>
  </si>
  <si>
    <t>Greenidge Generation</t>
  </si>
  <si>
    <t>Greenidge Generation New York</t>
  </si>
  <si>
    <t>590 Plant Rd, Penn Yan, NY 14527</t>
  </si>
  <si>
    <t>Yates County</t>
  </si>
  <si>
    <t>Town of Torrey</t>
  </si>
  <si>
    <t>14441</t>
  </si>
  <si>
    <t>Rp715B</t>
  </si>
  <si>
    <t>26a9a3429aacabb6a64b1b3908e740a3848bbcc70851ea9c48d7213639673d97</t>
  </si>
  <si>
    <t>Grupo ACS</t>
  </si>
  <si>
    <t>Fort Worth Campus</t>
  </si>
  <si>
    <t>10059 Hicks Field Rd. Fort Worth, TX 76179</t>
  </si>
  <si>
    <t>76179</t>
  </si>
  <si>
    <t>GrllgB</t>
  </si>
  <si>
    <t>a34ca328e78dede34b0a87601a85fb532198e63c9417794b875e2c8456ad2172</t>
  </si>
  <si>
    <t>H5 Data Centers</t>
  </si>
  <si>
    <t>Ashburn Data Center</t>
  </si>
  <si>
    <t>21800 Beaumeade Cir, Ashburn, VA 20147</t>
  </si>
  <si>
    <t>qB104w</t>
  </si>
  <si>
    <t>e9a619281402eb87e0b52308c3d9ed793d6979b929e1107eb3a023115ff77cec</t>
  </si>
  <si>
    <t>Buffalo I</t>
  </si>
  <si>
    <t>5319 Enterprise Dr, Lockport, NY 14094</t>
  </si>
  <si>
    <t>Town of Lockport</t>
  </si>
  <si>
    <t>14094</t>
  </si>
  <si>
    <t>weJNNB</t>
  </si>
  <si>
    <t>36a68a2df348d329f8c5787fa1ddcf23c005d274ff134ec6fb12e46684645087</t>
  </si>
  <si>
    <t>2600 W Germann Rd, Chandler, AZ 85286</t>
  </si>
  <si>
    <t>pGDz5B</t>
  </si>
  <si>
    <t>e1e46827d0f94997ee02a5183602a0990352bc2d00dca276699a469126ea7e99</t>
  </si>
  <si>
    <t>Charlotte Data Center</t>
  </si>
  <si>
    <t>10105 David Taylor Drive, Charlotte, NC, 28262</t>
  </si>
  <si>
    <t>yGlVnB</t>
  </si>
  <si>
    <t>ba213c809cf75ed4923cd6555fb466de09213f1de2ffa0e2774af0d18bd0d010</t>
  </si>
  <si>
    <t>H5 Albuquerque</t>
  </si>
  <si>
    <t>505 Marquette Ave NW, Albuquerque, New Mexico 87102, USA</t>
  </si>
  <si>
    <t>4RKzeB</t>
  </si>
  <si>
    <t>d017249f168473efeea008f80f15a1d20464383a6af825a86e2243dc02b1b633</t>
  </si>
  <si>
    <t>H5 Atlanta</t>
  </si>
  <si>
    <t>345 Courtland St. NE Atlanta, GA 30308</t>
  </si>
  <si>
    <t>Old Fourth Ward</t>
  </si>
  <si>
    <t>YBgnWw</t>
  </si>
  <si>
    <t>8f9cebac66e49319929226aa21995aca7958297d3d875559afe9ef540a15afee</t>
  </si>
  <si>
    <t>H5 Cincinnati I</t>
  </si>
  <si>
    <t>360 Gest St, Cincinnati, OH 45203</t>
  </si>
  <si>
    <t>45203</t>
  </si>
  <si>
    <t>XRj3eG</t>
  </si>
  <si>
    <t>75f8cdc7391509c04bfcfbb071227b1cc37efa6561a6ee66a6e3ba7192809c7a</t>
  </si>
  <si>
    <t>H5 Cincinnati II</t>
  </si>
  <si>
    <t>925 Dalton Ave, Cincinnati, OH 45203</t>
  </si>
  <si>
    <t>Queensgate</t>
  </si>
  <si>
    <t>GrVarG</t>
  </si>
  <si>
    <t>0053d788f5117790192057ab98893177ec161f8ba46900e84f619b5fb77ac109</t>
  </si>
  <si>
    <t>H5 Cleveland</t>
  </si>
  <si>
    <t>1625 Rockwell Avenue Cleveland, OH 44114</t>
  </si>
  <si>
    <t>44114</t>
  </si>
  <si>
    <t>mGrkow</t>
  </si>
  <si>
    <t>caae4dfb7049667d5de9e0f57c2eb00929609685b713444f3f3d4e868a52932a</t>
  </si>
  <si>
    <t>H5 Denver</t>
  </si>
  <si>
    <t>5350 S Valentia Way, Greenwood Village, Colorado 80111, USA</t>
  </si>
  <si>
    <t>Greenwood Village</t>
  </si>
  <si>
    <t>80111</t>
  </si>
  <si>
    <t>lR80vR</t>
  </si>
  <si>
    <t>7e72519c33a958675ba85d9f8a5f333898ee11dcd033f9983fe5740b21a40405</t>
  </si>
  <si>
    <t>H5 Minneapolis</t>
  </si>
  <si>
    <t>1125 Energy Park Dr., Suite 100, St. Paul, MN 55108</t>
  </si>
  <si>
    <t>Ramsey County</t>
  </si>
  <si>
    <t>St. Paul</t>
  </si>
  <si>
    <t>55103</t>
  </si>
  <si>
    <t>Como Park</t>
  </si>
  <si>
    <t>BE8lYw</t>
  </si>
  <si>
    <t>8345e251c09b07cea1446861a6848b26001a5c7159b13020026334f6aaa95e16</t>
  </si>
  <si>
    <t>H5 Nashville</t>
  </si>
  <si>
    <t>211 Commerce St., Suite 700, Nashville, TN 37201</t>
  </si>
  <si>
    <t>37201</t>
  </si>
  <si>
    <t>GDr01B</t>
  </si>
  <si>
    <t>d37a4c3ec81f9d66d23fe83175dfaf57c0b457169824f6c4977aeb4d9220c69a</t>
  </si>
  <si>
    <t>H5 New Jersey</t>
  </si>
  <si>
    <t>200B Meadowlands Parkway, Secaucus, NJ 07094</t>
  </si>
  <si>
    <t>w5zQgB</t>
  </si>
  <si>
    <t>9891a62642738b13e1972a46cea5b4f61355dbb6f6e3b0df1447cf9b9e552365</t>
  </si>
  <si>
    <t>H5 New York</t>
  </si>
  <si>
    <t>325 Hudson St, New York, NY 10013</t>
  </si>
  <si>
    <t>Manhattan Community Board 2</t>
  </si>
  <si>
    <t>wVVnKw</t>
  </si>
  <si>
    <t>dabf8c1373ab143578812615a39103233ac34730e27361f46a3fbab99561eeb5</t>
  </si>
  <si>
    <t>H5 Philadelphia</t>
  </si>
  <si>
    <t>1500 Spring Garden St Suite 520, Philadelphia, PA 19130</t>
  </si>
  <si>
    <t>G3M5YB</t>
  </si>
  <si>
    <t>9aecd2abaf16078be9421b26e0b190d8d43ae82dc7cab5ab2c36026da6b9541b</t>
  </si>
  <si>
    <t>H5 Pittsburgh</t>
  </si>
  <si>
    <t>2202 Liberty Ave, Pittsburgh, PA 15222</t>
  </si>
  <si>
    <t>Strip District</t>
  </si>
  <si>
    <t>woQlXR</t>
  </si>
  <si>
    <t>266398b19777fe762dc0ae8d1c097986340d14ff82027b7ae1ab2ebb86301c4b</t>
  </si>
  <si>
    <t>H5 Portland</t>
  </si>
  <si>
    <t>1233 NW 12th Avenue, Suite 201, Portland, OR 97209</t>
  </si>
  <si>
    <t>97209</t>
  </si>
  <si>
    <t>Pearl District</t>
  </si>
  <si>
    <t>wVVkVw</t>
  </si>
  <si>
    <t>26e8012b9f22899304eb927cdb6bf2161cadb6f81c872db8407c341f710532b0</t>
  </si>
  <si>
    <t>H5 Quincy</t>
  </si>
  <si>
    <t>1711 M St NE, Quincy, WA 98848</t>
  </si>
  <si>
    <t>DBAzmR</t>
  </si>
  <si>
    <t>a7632d25257bc3d16e84849fed7b6f595d103b4d8b5236ce90dbeb7467453f62</t>
  </si>
  <si>
    <t>H5 San Antonio</t>
  </si>
  <si>
    <t>100 Taylor Street, San Antonio, Texas 78205, USA</t>
  </si>
  <si>
    <t>78205</t>
  </si>
  <si>
    <t>River Bend District</t>
  </si>
  <si>
    <t>weX53G</t>
  </si>
  <si>
    <t>804abb435fbc71f38c0cc96585a43b0d135b91512157bc1d80c2fad88f1d1c1b</t>
  </si>
  <si>
    <t>H5 San Jose</t>
  </si>
  <si>
    <t>2030 Fortune Dr San Jose, CA 95131</t>
  </si>
  <si>
    <t>DGnWVw</t>
  </si>
  <si>
    <t>e83522d7be50a97cd2b22fb4275dcc1587220e7c8185fe41c83ce6fb23db0f19</t>
  </si>
  <si>
    <t>H5 San Luis Obispo</t>
  </si>
  <si>
    <t>3610 Sacramento Drive, San Luis Obispo, CA</t>
  </si>
  <si>
    <t>2Rp4rR</t>
  </si>
  <si>
    <t>d9f0366fc22d4216a274eeaf29988d77ad551b2a6da8a85003516fc9a1206c72</t>
  </si>
  <si>
    <t>H5 Seattle</t>
  </si>
  <si>
    <t>1000 Denny Way Seattle, WA 98109</t>
  </si>
  <si>
    <t>South Lake Union</t>
  </si>
  <si>
    <t>qBJzWB</t>
  </si>
  <si>
    <t>57616aadf935dcc7212338391b49262dc50fcf50d359b515e24c805a7d87a91b</t>
  </si>
  <si>
    <t>470 &amp; 480 Springpark Pl, Herndon, VA 20170</t>
  </si>
  <si>
    <t>20170</t>
  </si>
  <si>
    <t>Rj09zw</t>
  </si>
  <si>
    <t>d09af881299b7e0bfb2b5881e48d60b99ee9a9b3d792e2b63f0ad4204186ff4e</t>
  </si>
  <si>
    <t>Silicon Valley Data Center</t>
  </si>
  <si>
    <t>1360 KIFER ROAD, SUNNYVALE, CA 94086</t>
  </si>
  <si>
    <t>94086</t>
  </si>
  <si>
    <t>BblDaG</t>
  </si>
  <si>
    <t>5defdc383d8ddee7ed6c25559dd4bbe0b5d1ff32b54b5605ed80459595b7d7f4</t>
  </si>
  <si>
    <t>Virginia Data Center</t>
  </si>
  <si>
    <t>4050 Lafayette Center Dr Chantilly VA 20151</t>
  </si>
  <si>
    <t>RYMXeR</t>
  </si>
  <si>
    <t>1a710e9b9c6ad2e910f3d7746f065b71a340843e2da20e210af1bc7d52ae9790</t>
  </si>
  <si>
    <t>Aurora Data Centre</t>
  </si>
  <si>
    <t>1001 12th St. Aurora, NE 68818, USA</t>
  </si>
  <si>
    <t>68818</t>
  </si>
  <si>
    <t>4</t>
  </si>
  <si>
    <t>RxPJKR</t>
  </si>
  <si>
    <t>42a963a09ac2f21e263ab0e40e1d61006d8878fcfb79ee8ba0d67236d2f4c1a7</t>
  </si>
  <si>
    <t>Hampton Technology Park Owner, LLC</t>
  </si>
  <si>
    <t>Hampton Technology Park</t>
  </si>
  <si>
    <t>1100 Site Parkway Hampton GA 30228</t>
  </si>
  <si>
    <t>30228</t>
  </si>
  <si>
    <t>RYNe4G</t>
  </si>
  <si>
    <t>9fe99633a8a2d297508e83191784af88a296ed037e4f7cd515a8f3d97a2ae867</t>
  </si>
  <si>
    <t>Hancock Whitney Bank</t>
  </si>
  <si>
    <t>20491 Landon Road</t>
  </si>
  <si>
    <t>20491 Landon Road Hancock, Gulfport, MS 39503, United States</t>
  </si>
  <si>
    <t>Gulfport</t>
  </si>
  <si>
    <t>39503</t>
  </si>
  <si>
    <t>R8JoMw</t>
  </si>
  <si>
    <t>8a5d686e9dc53a2dd744110310b4891fe9203839c2285f35b23557d9723e7eb1</t>
  </si>
  <si>
    <t>Hawaiian Telcom</t>
  </si>
  <si>
    <t>Endeavor Data Center</t>
  </si>
  <si>
    <t>2339 Kamehameha Hwy, Honolulu, Hawaii 96819, USA</t>
  </si>
  <si>
    <t>Kahauiki Village</t>
  </si>
  <si>
    <t>Kalihi Kai</t>
  </si>
  <si>
    <t>BEWYyG</t>
  </si>
  <si>
    <t>cfc9bc77ce0775a31851990d200737952ee7e425f25d5cc5e48c3474c4774467</t>
  </si>
  <si>
    <t>HCA</t>
  </si>
  <si>
    <t>Nashville Data Center Crossings Center</t>
  </si>
  <si>
    <t>5900 Crossings Blvd, Antioch, TN 37013, USA</t>
  </si>
  <si>
    <t>Antioch</t>
  </si>
  <si>
    <t>37013</t>
  </si>
  <si>
    <t>Kimbro</t>
  </si>
  <si>
    <t>wV6eKw</t>
  </si>
  <si>
    <t>a7b7e41922c2e2aa466c5f341f531eb876987d2791152d46ba62ae5939622061</t>
  </si>
  <si>
    <t>HCL Technologies</t>
  </si>
  <si>
    <t>61 Walsh Drive</t>
  </si>
  <si>
    <t>61 Walsh Dr, Parsippany, NJ 07054</t>
  </si>
  <si>
    <t>Parsippany</t>
  </si>
  <si>
    <t>Parsippany-Troy Hills Township</t>
  </si>
  <si>
    <t>RN8xLw</t>
  </si>
  <si>
    <t>508d2f11db3f584f5ae718582499c1d48dd02013e069a280b5827b8322a3317b</t>
  </si>
  <si>
    <t>Heartland Technology</t>
  </si>
  <si>
    <t>1151 12th St</t>
  </si>
  <si>
    <t>1151 12th St, Jesup, IA 50648</t>
  </si>
  <si>
    <t>Buchanan County</t>
  </si>
  <si>
    <t>Jesup</t>
  </si>
  <si>
    <t>50648</t>
  </si>
  <si>
    <t>Gn4EoB</t>
  </si>
  <si>
    <t>5fbbff33caeb2b68ff02288fecb24ffeb2666006b1941448b56a628220378eb8</t>
  </si>
  <si>
    <t>Hewlett-Packard</t>
  </si>
  <si>
    <t>9014 Research Dr Charlotte</t>
  </si>
  <si>
    <t>9014 Research Dr, Charlotte, NC 28262, USA</t>
  </si>
  <si>
    <t>RxPQvR</t>
  </si>
  <si>
    <t>d5c16f27f49586a44db1df355dd569f063a25a6dee8e93f4937c690fa3ccbe42</t>
  </si>
  <si>
    <t>Hivelocity</t>
  </si>
  <si>
    <t>ColoHouse Philadelphia</t>
  </si>
  <si>
    <t>2401 Locust St, Philadelphia, PA 19103</t>
  </si>
  <si>
    <t>Rittenhouse Square</t>
  </si>
  <si>
    <t>B1X8xw</t>
  </si>
  <si>
    <t>7e39cf84621153bd1c4931c28bc342b8a1349d04f369f3e60ce0721598db0fa9</t>
  </si>
  <si>
    <t>Hivelocity LA1</t>
  </si>
  <si>
    <t>BE8QXw</t>
  </si>
  <si>
    <t>9b2bfb05648caec2395c2ae67e7a05fc330167f4d724f9a5f67af41496259753</t>
  </si>
  <si>
    <t>Hivelocity LA2</t>
  </si>
  <si>
    <t>BXpXWB</t>
  </si>
  <si>
    <t>f74e51641c3b234538cc9e71097f0da57ee6ae3b36b9301d2f7ab6538af7e186</t>
  </si>
  <si>
    <t>HMC Capital</t>
  </si>
  <si>
    <t>HMC</t>
  </si>
  <si>
    <t>1977 Saturn St, Monterey Park, CA 91755</t>
  </si>
  <si>
    <t>Monterey Park</t>
  </si>
  <si>
    <t>91755</t>
  </si>
  <si>
    <t>Gl44gG</t>
  </si>
  <si>
    <t>c6821333f9f9f2d99ee525a711fa61453dc5e6fa2635681ef3a0b2eaa6ef0070</t>
  </si>
  <si>
    <t>HMSA</t>
  </si>
  <si>
    <t>818 Ke’eaumoku St, Honolulu, Hawaii 96814, USA</t>
  </si>
  <si>
    <t>96814</t>
  </si>
  <si>
    <t>Koreatown</t>
  </si>
  <si>
    <t>Pawaa</t>
  </si>
  <si>
    <t>BgAeWG</t>
  </si>
  <si>
    <t>f7819cb46ce09068d7e1efce0be76e58786e0b95ac44658f249ada8172dcbe26</t>
  </si>
  <si>
    <t>Homer City Redevelopment</t>
  </si>
  <si>
    <t>Homer Energy Campus</t>
  </si>
  <si>
    <t>1750 Power Plant Rd, Homer City, PA 15748</t>
  </si>
  <si>
    <t>Indiana County</t>
  </si>
  <si>
    <t>15731</t>
  </si>
  <si>
    <t>Homer City Generating Station</t>
  </si>
  <si>
    <t>wODDgB</t>
  </si>
  <si>
    <t>b20e86036e05ec111dab9445c401369c182d662a4345bea307b250a5cad23c97</t>
  </si>
  <si>
    <t>HopOne Internet</t>
  </si>
  <si>
    <t>HopOne DCA2</t>
  </si>
  <si>
    <t>8201 GREENSBORO DRIVE TYSONS CORNER, VA 22102</t>
  </si>
  <si>
    <t>Rpqk3G</t>
  </si>
  <si>
    <t>a441cc705fd08e1ac01086af176ae0e00f48c8dd1326a793abd5f66ae99f6eb8</t>
  </si>
  <si>
    <t>HostDime</t>
  </si>
  <si>
    <t>Orlando - Eatonville</t>
  </si>
  <si>
    <t>1 Innovative Pl, Maitland, FL 32751</t>
  </si>
  <si>
    <t>Maitland</t>
  </si>
  <si>
    <t>32751</t>
  </si>
  <si>
    <t>BXppaB</t>
  </si>
  <si>
    <t>544efcbb38814cf0c35dfc4db1058eadcab5a825c2e6d211f7607a9e7abdb9df</t>
  </si>
  <si>
    <t>HostRocket</t>
  </si>
  <si>
    <t>21 Corporate Dr, Clifton Park, NY 12065, USA</t>
  </si>
  <si>
    <t>Saratoga County</t>
  </si>
  <si>
    <t>Town of Clifton Park</t>
  </si>
  <si>
    <t>12065</t>
  </si>
  <si>
    <t>GlWJgR</t>
  </si>
  <si>
    <t>b10180094e4ac81ca646ddbd27640f5969e6ea6f34bb368183e70c8f297c9ea8</t>
  </si>
  <si>
    <t>Hourigan</t>
  </si>
  <si>
    <t>Sussex Tech, LLC</t>
  </si>
  <si>
    <t>Sussex County VA 23890</t>
  </si>
  <si>
    <t>Sussex</t>
  </si>
  <si>
    <t>RvXo0w</t>
  </si>
  <si>
    <t>fdfb8e71ec3e6c3d63050b029d5038b84965d40fab2a72bce4d64cf3344f0dee</t>
  </si>
  <si>
    <t>Hudson Interxchange</t>
  </si>
  <si>
    <t>60 Hudson Street</t>
  </si>
  <si>
    <t>Bqlbyw</t>
  </si>
  <si>
    <t>d64e8d12b33b88a35be05df7822a4bb5a25dbf8177db80930ebe390e6f2d1bad</t>
  </si>
  <si>
    <t>Huntley LLC</t>
  </si>
  <si>
    <t>Page, AZ Campus</t>
  </si>
  <si>
    <t>Page, Arizona 86040</t>
  </si>
  <si>
    <t>Coconino County</t>
  </si>
  <si>
    <t>Page</t>
  </si>
  <si>
    <t>86040</t>
  </si>
  <si>
    <t>Ga796B</t>
  </si>
  <si>
    <t>f0f49e9113e395136e88b30fa99e034c3f00ed2f89ce1746bb7d040d28118b9b</t>
  </si>
  <si>
    <t>Hurricane Electric</t>
  </si>
  <si>
    <t>Hurricane Fremont 1</t>
  </si>
  <si>
    <t>760 Mission Ct, Fremont, CA 94539</t>
  </si>
  <si>
    <t>Fremont</t>
  </si>
  <si>
    <t>94539</t>
  </si>
  <si>
    <t>Warm Springs District</t>
  </si>
  <si>
    <t>RQZz1G</t>
  </si>
  <si>
    <t>4f7bd60f8207c0a5817a3e286f012b2eb38de86b3601cfea7b2ad7b1a3629f65</t>
  </si>
  <si>
    <t>Hurricane Fremont 2</t>
  </si>
  <si>
    <t>48233 Warm Springs Blvd, Fremont, CA 94539</t>
  </si>
  <si>
    <t>Curtner</t>
  </si>
  <si>
    <t>R2n06R</t>
  </si>
  <si>
    <t>ae48faaf8f5998229bcd7524ef2c0dcdd78030099b854f9787c631bb432ffd75</t>
  </si>
  <si>
    <t>Hut 8</t>
  </si>
  <si>
    <t>River Bend Campus</t>
  </si>
  <si>
    <t>Adjacent to State Route 964</t>
  </si>
  <si>
    <t>West Feliciana Parish</t>
  </si>
  <si>
    <t>70775</t>
  </si>
  <si>
    <t>RjJLER</t>
  </si>
  <si>
    <t>57334b6a48997168c9c647883179ee8d38331f015f141661f0999fb3090d738b</t>
  </si>
  <si>
    <t>woW4bw</t>
  </si>
  <si>
    <t>a4f6b6127738152bc07b88510f737275d3dfce2170bb61617fc76df3bda02606</t>
  </si>
  <si>
    <t>HydraVault</t>
  </si>
  <si>
    <t>2538 South Wabash Avenue</t>
  </si>
  <si>
    <t>2538 S Wabash Ave, Chicago, IL 60616</t>
  </si>
  <si>
    <t>Bronzeville</t>
  </si>
  <si>
    <t>BXJ3JG</t>
  </si>
  <si>
    <t>5a3aa0787f069d3e165055cba94f9529f6020a6d9a6db61596652581c687f6b5</t>
  </si>
  <si>
    <t>Hyperscale Data Inc</t>
  </si>
  <si>
    <t>Hyperscale Data Michigan</t>
  </si>
  <si>
    <t>415 E Prairie Ronde St, Dowagiac, MI 49047</t>
  </si>
  <si>
    <t>Dowagiac</t>
  </si>
  <si>
    <t>49047</t>
  </si>
  <si>
    <t>R2Lybw</t>
  </si>
  <si>
    <t>aa847ae98aba34bbae6312cb61fd764f87cdb86069587e02cdd1eecd287f4b50</t>
  </si>
  <si>
    <t>I-Evolve</t>
  </si>
  <si>
    <t>I-Evolve Getzville</t>
  </si>
  <si>
    <t>501 John James Audubon Pkwy, Suite 201, Getzville, NY 14068</t>
  </si>
  <si>
    <t>Town of Amherst</t>
  </si>
  <si>
    <t>Ellicott Complex</t>
  </si>
  <si>
    <t>GLvPbB</t>
  </si>
  <si>
    <t>d1af6cc62695456e8685023392e162662fb1874ea0fb110b7232a5631a667e01</t>
  </si>
  <si>
    <t>IBM</t>
  </si>
  <si>
    <t>Research Triangle Park, Durham, NC, USA</t>
  </si>
  <si>
    <t>27709</t>
  </si>
  <si>
    <t>Gn4ZOB</t>
  </si>
  <si>
    <t>978022209c40167de2fd3f34a6401f90bb0077f4391b6f44dc376865ec68182c</t>
  </si>
  <si>
    <t>IC2NET</t>
  </si>
  <si>
    <t>IC2NET Tustin</t>
  </si>
  <si>
    <t>14351 Myford Rd, Tustin, CA 92780</t>
  </si>
  <si>
    <t>Tustin</t>
  </si>
  <si>
    <t>92780</t>
  </si>
  <si>
    <t>Walnut</t>
  </si>
  <si>
    <t>Glov7R</t>
  </si>
  <si>
    <t>bebb9c6f40d87960c9f54a677f7d33b897d924ac20670fedeaa9dc7669e50e9d</t>
  </si>
  <si>
    <t>ICS Technology Group</t>
  </si>
  <si>
    <t>ICS Corporate Center 1</t>
  </si>
  <si>
    <t>175 South Third Street, Suite 340 ​Columbus, Ohio 43215</t>
  </si>
  <si>
    <t>BPJWVG</t>
  </si>
  <si>
    <t>4b1d3f9534c57a8517d546046ae03bfe0baaa5ee4ea54cd7162ecb2d750577bc</t>
  </si>
  <si>
    <t>Idaho National Laboratory</t>
  </si>
  <si>
    <t>Collaborative Computing Center</t>
  </si>
  <si>
    <t>955 MK Simpson Boulevard, Idaho Falls, ID 83415</t>
  </si>
  <si>
    <t>Bonneville County</t>
  </si>
  <si>
    <t>Idaho Falls</t>
  </si>
  <si>
    <t>83401</t>
  </si>
  <si>
    <t>G6nl3G</t>
  </si>
  <si>
    <t>6ef9a0af2e55d4843153f6ea2f3f316032961d86ce65bee99619155cffa1af7b</t>
  </si>
  <si>
    <t>Cybercore Integration Center</t>
  </si>
  <si>
    <t>805 MK Simpson Blvd, Idaho Falls, ID 83401</t>
  </si>
  <si>
    <t>R0l2MR</t>
  </si>
  <si>
    <t>f077e57a177c6257c643f35a670ab3d0472ee9f92fe19f4065a986cd655b14e8</t>
  </si>
  <si>
    <t>IgLou Internet Services</t>
  </si>
  <si>
    <t>3315 Gilmore Industrial Blvd</t>
  </si>
  <si>
    <t>3315 Gilmore Industrial Blvd 40213 Louisville Kentucky, USA</t>
  </si>
  <si>
    <t>40213</t>
  </si>
  <si>
    <t>R4JvXw</t>
  </si>
  <si>
    <t>94a493399a5c652ef2e87a581ef7218c571692b5a0dc2526387c1f8d284460c7</t>
  </si>
  <si>
    <t>Illinois Department of Central Management Services (CMS)</t>
  </si>
  <si>
    <t>Central Computing Facility (CCF)</t>
  </si>
  <si>
    <t>2900 E Dotmar Dr, Springfield, IL 62703, USA</t>
  </si>
  <si>
    <t>Sangamon County</t>
  </si>
  <si>
    <t>62703</t>
  </si>
  <si>
    <t>Capital Township</t>
  </si>
  <si>
    <t>B133QG</t>
  </si>
  <si>
    <t>ee3a24d4b0150d0b9fe44bf7b604ac7dbfd90e109d34a587e9f5ba94de6519a3</t>
  </si>
  <si>
    <t>iM Critical</t>
  </si>
  <si>
    <t>100 NE 80th Terrace, Miami, Florida, 33138</t>
  </si>
  <si>
    <t>33138</t>
  </si>
  <si>
    <t>BAylAB</t>
  </si>
  <si>
    <t>223641edca2f6b6f7155d742f59d501b9dbb8d0c3fa5e65494078706f804d752</t>
  </si>
  <si>
    <t>Pittsburgh - iM Critical</t>
  </si>
  <si>
    <t>900 Brinton Rd, Pittsburgh, PA 15218</t>
  </si>
  <si>
    <t>15221</t>
  </si>
  <si>
    <t>Wilkinsburg</t>
  </si>
  <si>
    <t>Regent Square</t>
  </si>
  <si>
    <t>BPJ6KG</t>
  </si>
  <si>
    <t>3cae984b80e8416949e4768938164882fc500e2b79d10ff811879f88dc3cc9c8</t>
  </si>
  <si>
    <t>ImOn Communications</t>
  </si>
  <si>
    <t>1605 9th St</t>
  </si>
  <si>
    <t>1605 9th St, Sioux City, IA 51101, United States</t>
  </si>
  <si>
    <t>Woodbury County</t>
  </si>
  <si>
    <t>Sioux City</t>
  </si>
  <si>
    <t>51101</t>
  </si>
  <si>
    <t>GnqYVR</t>
  </si>
  <si>
    <t>2979e5bc796dd96c8da08fa99f0da9173332d12db285dabd12eb22f95ab01cf0</t>
  </si>
  <si>
    <t>713 Nebraska St</t>
  </si>
  <si>
    <t>713 Nebraska St, Sioux City, IA 51101, USA</t>
  </si>
  <si>
    <t>BAQ2mB</t>
  </si>
  <si>
    <t>d63a762932433f2c4858ae1c1b00a7704423d045f2d83de71959318120e31214</t>
  </si>
  <si>
    <t>ImpactData</t>
  </si>
  <si>
    <t>Gateway Research Park</t>
  </si>
  <si>
    <t>Gateway Research Park, Greensboro, NC 27401, United States</t>
  </si>
  <si>
    <t>GmxgVR</t>
  </si>
  <si>
    <t>da9ff0e6ae8a9c8ee8cecf0fe396cd338c489a15702c7936cdd8200c6a4882b1</t>
  </si>
  <si>
    <t>INAP</t>
  </si>
  <si>
    <t>Dallas Data Center</t>
  </si>
  <si>
    <t>1221 Coit Road, Plano, Texas 75075, USA</t>
  </si>
  <si>
    <t>wMP54G</t>
  </si>
  <si>
    <t>bd207b0141c6be7e72c718d86fdcf98f7c038ea412b8cf9bde3ceebaf3673a1c</t>
  </si>
  <si>
    <t>INAP Santa Clara</t>
  </si>
  <si>
    <t>2151 Mission College Blvd, Santa Clara, CA 95054</t>
  </si>
  <si>
    <t>weXr6G</t>
  </si>
  <si>
    <t>8fe810a1c2e0ca3c66f44af1388371ac678ff175c77ba4a5db30e09027f74a04</t>
  </si>
  <si>
    <t>Los Angeles Data Center</t>
  </si>
  <si>
    <t>3690 Redondo Beach Avenue, Redondo Beach, California, 90278, USA</t>
  </si>
  <si>
    <t>Redondo Beach</t>
  </si>
  <si>
    <t>90278</t>
  </si>
  <si>
    <t>G6o7Nw</t>
  </si>
  <si>
    <t>d8645310a7b2160c739914b980608c48c50186562100c4bbcf98effb1df7d9c9</t>
  </si>
  <si>
    <t>2500 W Frye Road , Chandler, Arizona, 85224, USA</t>
  </si>
  <si>
    <t>85224</t>
  </si>
  <si>
    <t>GmKbJB</t>
  </si>
  <si>
    <t>36d32beb38064ce72ee20eb139554cb1d1ec06d86a04d9adf197b3ba1aedc71a</t>
  </si>
  <si>
    <t>620 Coliseum Blvd W #1298, Fort Wayne, IN 46808, United States</t>
  </si>
  <si>
    <t>46808</t>
  </si>
  <si>
    <t>Washington Township</t>
  </si>
  <si>
    <t>R0mdgG</t>
  </si>
  <si>
    <t>76fb356e968d6351639a1a8f05a20cf8d5defa3a9d8f79d460d75438b1461765</t>
  </si>
  <si>
    <t>Industrial VI Enterprises, LLC</t>
  </si>
  <si>
    <t>75 South Data Center Campus</t>
  </si>
  <si>
    <t>TOMOCHICHI RD</t>
  </si>
  <si>
    <t>Spalding County</t>
  </si>
  <si>
    <t>30223</t>
  </si>
  <si>
    <t>BE1jdB</t>
  </si>
  <si>
    <t>e40d015dd95eba39e9d21b3b61c14dc991f3021a24060306c589dd593145c7d8</t>
  </si>
  <si>
    <t>InfoBunker</t>
  </si>
  <si>
    <t>3101 Ingersoll Ave 50312 Des Moines Iowa, USA</t>
  </si>
  <si>
    <t>50312</t>
  </si>
  <si>
    <t>Arbor Peaks</t>
  </si>
  <si>
    <t>Rp7KqB</t>
  </si>
  <si>
    <t>128ff9b6765611995cb2807a4f74437b31d2b59dd48803e4b98e7f3eee98be6f</t>
  </si>
  <si>
    <t>Infotel</t>
  </si>
  <si>
    <t>Richmond VOIP Facility</t>
  </si>
  <si>
    <t>6008 Hermitage Road 23228 Henrico Virginia, USA</t>
  </si>
  <si>
    <t>GkYq0B</t>
  </si>
  <si>
    <t>b864338108ffdaa3e27baabe995cd2f9d882e2721b2bce09b912c99afd458c6c</t>
  </si>
  <si>
    <t>InfraDMS</t>
  </si>
  <si>
    <t>IDMS - BALT01</t>
  </si>
  <si>
    <t>1 South St, Baltimore, MD 21202</t>
  </si>
  <si>
    <t>21233</t>
  </si>
  <si>
    <t>Inner Harbor</t>
  </si>
  <si>
    <t>GzYd7R</t>
  </si>
  <si>
    <t>e4624bd480101531d88c51696f80dab064099f36dc8ce2099b14fc8bbcaf6fb7</t>
  </si>
  <si>
    <t>INOC</t>
  </si>
  <si>
    <t>4 Tower Place (ALB3)</t>
  </si>
  <si>
    <t>4 Tower Pl, Albany, NY 12203</t>
  </si>
  <si>
    <t>Town of Guilderland</t>
  </si>
  <si>
    <t>12203</t>
  </si>
  <si>
    <t>RN8QLw</t>
  </si>
  <si>
    <t>fe0073a90892fa07f0a7eb764d2f225fece84e1a0a918248e990e8ec13d32fca</t>
  </si>
  <si>
    <t>80 State Street (ALB1)</t>
  </si>
  <si>
    <t>80 State St, Albany, NY 12207</t>
  </si>
  <si>
    <t>GdAdbw</t>
  </si>
  <si>
    <t>89089894efabed078a021c95798b44529d8699daa362adafa75b89582cff7e87</t>
  </si>
  <si>
    <t>Interserver</t>
  </si>
  <si>
    <t>TEB2</t>
  </si>
  <si>
    <t>110B Meadowlands Parkway, Secaucus New Jersey 07094</t>
  </si>
  <si>
    <t>GrZ8rG</t>
  </si>
  <si>
    <t>5550257d17f5ab82006d2dc1bf03a60c161a67c8db072de6862ebd0f708bc4fc</t>
  </si>
  <si>
    <t>Interstate Health Systems, LLC</t>
  </si>
  <si>
    <t>Highway 16 Interstate Health Development</t>
  </si>
  <si>
    <t>Butts County</t>
  </si>
  <si>
    <t>30233</t>
  </si>
  <si>
    <t>R88vZR</t>
  </si>
  <si>
    <t>2a9cb5317bd3487cddaa927521b93d0cf6179e8b89155c30f054062a5ab31d48</t>
  </si>
  <si>
    <t>IREN</t>
  </si>
  <si>
    <t>Childress</t>
  </si>
  <si>
    <t>620 FM1033, Childress, TX 79201</t>
  </si>
  <si>
    <t>Childress County</t>
  </si>
  <si>
    <t>79201</t>
  </si>
  <si>
    <t>BqgvvG</t>
  </si>
  <si>
    <t>e7107aceef647f11b93a31d0dbc31ed25b0b710ad175bfca74ae0f9a43cdb8fb</t>
  </si>
  <si>
    <t>Sweetwater I</t>
  </si>
  <si>
    <t>860 FM611, Sweetwater, TX 79556</t>
  </si>
  <si>
    <t>Fisher County</t>
  </si>
  <si>
    <t>79556</t>
  </si>
  <si>
    <t>RYNdaG</t>
  </si>
  <si>
    <t>cc20b331bbf96a99bc1058d39835ce50e56c3f4d367d410e242e6de93195715d</t>
  </si>
  <si>
    <t>Sweetwater II</t>
  </si>
  <si>
    <t>1782 FM540, Hamlin, TX 79520</t>
  </si>
  <si>
    <t>Hamlin</t>
  </si>
  <si>
    <t>79520-</t>
  </si>
  <si>
    <t>we8bzG</t>
  </si>
  <si>
    <t>769e3aebf6efb11ba60af7b0445d7baedf2b20ef9c9130f28c4440532e81f775</t>
  </si>
  <si>
    <t>Iron Mountain</t>
  </si>
  <si>
    <t>AZP-1</t>
  </si>
  <si>
    <t>615 N 48th St, Phoenix, AZ 85008, United States</t>
  </si>
  <si>
    <t>85008</t>
  </si>
  <si>
    <t>Tovrea</t>
  </si>
  <si>
    <t>3RxoeB</t>
  </si>
  <si>
    <t>5f2370fcafbfd76ada35789838e99fcd943fdfb475aa0c18ea68102f4db14c32</t>
  </si>
  <si>
    <t>AZP-2</t>
  </si>
  <si>
    <t>4802 E Van Buren St, Phoenix, AZ 85008, United States</t>
  </si>
  <si>
    <t>VwM75R</t>
  </si>
  <si>
    <t>dddda04a06b19e2273a8624aaf37e2c50a243b71d689071c19bae8f9af8f0392</t>
  </si>
  <si>
    <t>AZP-3</t>
  </si>
  <si>
    <t>5100 E Roosevelt St, Phoenix, AZ</t>
  </si>
  <si>
    <t>Minnesota Court</t>
  </si>
  <si>
    <t>R2LA6w</t>
  </si>
  <si>
    <t>49064d85c3cd6693c1870117b1077a23816d43f9e1e0e920a37ea84228a0f176</t>
  </si>
  <si>
    <t>AZS-1</t>
  </si>
  <si>
    <t>8521 E Princess Dr, Scottsdale, AZ 85255, United States</t>
  </si>
  <si>
    <t>Scottsdale</t>
  </si>
  <si>
    <t>85255</t>
  </si>
  <si>
    <t>ARN7oG</t>
  </si>
  <si>
    <t>dcc073ffb418e818869dd7bd612226401c73a0a6ee0a1ea11d864be31cf47d2e</t>
  </si>
  <si>
    <t>BOS-1</t>
  </si>
  <si>
    <t>171 Bearfoot Rd, Northborough, MA</t>
  </si>
  <si>
    <t>Northborough</t>
  </si>
  <si>
    <t>01503</t>
  </si>
  <si>
    <t>QBbQaw</t>
  </si>
  <si>
    <t>af8f92dd6d86e67353836b8dbc6abcaee05123158ee3a22b779008ef7de3a9ba</t>
  </si>
  <si>
    <t>CHI-1</t>
  </si>
  <si>
    <t>1680 E Touhy Ave Des Plaines, IL 60018 United States</t>
  </si>
  <si>
    <t>Rosemont</t>
  </si>
  <si>
    <t>Maine Township</t>
  </si>
  <si>
    <t>GyPrVR</t>
  </si>
  <si>
    <t>9bb43aee277be73676aa489e9928c195e93ed5a0a40372fbc7648dfbc448fb8c</t>
  </si>
  <si>
    <t>DEN-1</t>
  </si>
  <si>
    <t>4300 Brighton Blvd, Denver, Colorado 80216, USA</t>
  </si>
  <si>
    <t>8RvJNR</t>
  </si>
  <si>
    <t>5db114a3ed0aa9a6e5e5c74ada92843ac7ea02c7fb209116a92d4afa50a9b99d</t>
  </si>
  <si>
    <t>Iron Mountain Manassas</t>
  </si>
  <si>
    <t>Manassas, VA 20109</t>
  </si>
  <si>
    <t>TGM Bull Run</t>
  </si>
  <si>
    <t>RpZXVw</t>
  </si>
  <si>
    <t>e7fdf01c6277a7ef3f3c9929de2c8f92ac35400607bee5e65a68c06cfb1370cf</t>
  </si>
  <si>
    <t>Iron Mountain VA Campus - Future Expansion</t>
  </si>
  <si>
    <t>RKvdeB</t>
  </si>
  <si>
    <t>068343385f8582c0c41bf8f659e0f5940338073da9c8609f16e026bcf89238d7</t>
  </si>
  <si>
    <t>KCM-1</t>
  </si>
  <si>
    <t>6301 Winchester Ave, Kansas City, USA</t>
  </si>
  <si>
    <t>64133</t>
  </si>
  <si>
    <t>PGyV1w</t>
  </si>
  <si>
    <t>de115ffdca606ecb0cfaadddce6767cbe59df008422e9fb735f136aa7bd93cdf</t>
  </si>
  <si>
    <t>MIA-1</t>
  </si>
  <si>
    <t>2925 NW 120th Terrace, Miami, Florida, 33167</t>
  </si>
  <si>
    <t>33167-2503</t>
  </si>
  <si>
    <t>Gl4PxG</t>
  </si>
  <si>
    <t>f9ee8f90a67e8619bc0e11784951f9a65a2045aa68e2bbb0fbfc65c81e12ce77</t>
  </si>
  <si>
    <t>NJE-1</t>
  </si>
  <si>
    <t>3003 Woodbridge Ave, Edison, NJ, USA</t>
  </si>
  <si>
    <t>Edison</t>
  </si>
  <si>
    <t>Vw55gw</t>
  </si>
  <si>
    <t>d374e7b49b64df4525c06d0b65406e3e6df9fca4bb58cac7fbece40d5ab526ee</t>
  </si>
  <si>
    <t>OHS-1</t>
  </si>
  <si>
    <t>3366 S. Tech Blvd.  45342 Miamisburg  Ohio, USA</t>
  </si>
  <si>
    <t>Miamisburg</t>
  </si>
  <si>
    <t>45342</t>
  </si>
  <si>
    <t>Clear Creek Township</t>
  </si>
  <si>
    <t>nR25xB</t>
  </si>
  <si>
    <t>eeed150c3e446659d5ea8103b2ddff338094af99248266b1c5f0925451a9a49d</t>
  </si>
  <si>
    <t>Richmond, Virginia</t>
  </si>
  <si>
    <t>6110 Technology Creek Dr, Sandston, VA 23150</t>
  </si>
  <si>
    <t>Sandston</t>
  </si>
  <si>
    <t>23150</t>
  </si>
  <si>
    <t>Old Cannon Estates</t>
  </si>
  <si>
    <t>Bqv7lR</t>
  </si>
  <si>
    <t>bb3e21d7078f4bcbc6d85036eb7a718b5bac7eb1bb6deea2bc4e65f2b47e3bf7</t>
  </si>
  <si>
    <t>VA-1</t>
  </si>
  <si>
    <t>11680 Hayden Rd, Manassas, VA 20109</t>
  </si>
  <si>
    <t>EG65gR</t>
  </si>
  <si>
    <t>9f405eb2efec735e95c2d85c93ec69729916baee5ab61a785dca9c5f749c4f37</t>
  </si>
  <si>
    <t>VA-2</t>
  </si>
  <si>
    <t xml:space="preserve"> 11660 Hayden Rd, Manassas, VA 20109</t>
  </si>
  <si>
    <t>RNQOoB</t>
  </si>
  <si>
    <t>848c2b18f7e9d18f546d81f5ce29c027e13fc77bbe0dd2c3ee231901e46e076e</t>
  </si>
  <si>
    <t>VA-3</t>
  </si>
  <si>
    <t>Manassas, Virginia 20109</t>
  </si>
  <si>
    <t>Linton Hall</t>
  </si>
  <si>
    <t>woWVbw</t>
  </si>
  <si>
    <t>5c0af4936b0e76cd14c792f2e3423cdfcb95242b1671509fa0055446332eddf6</t>
  </si>
  <si>
    <t>VA-4</t>
  </si>
  <si>
    <t>Hayden Rd, Manassas, VA 20109</t>
  </si>
  <si>
    <t>BgA6KG</t>
  </si>
  <si>
    <t>50296c852fd8512ee8eae61ddeddfe4e71893f845ee3df94a4e45ee314bfa239</t>
  </si>
  <si>
    <t>VA-5</t>
  </si>
  <si>
    <t>GlP1rG</t>
  </si>
  <si>
    <t>25fcfcf5ce34df7fb0725461db05ff59fe97be3f0ebffce4f31746f81cc5717f</t>
  </si>
  <si>
    <t>VA-6</t>
  </si>
  <si>
    <t>11891 Sudley Manor Drive, Manassas, VA, USA</t>
  </si>
  <si>
    <t>GDL5YG</t>
  </si>
  <si>
    <t>ca7954e5fc0cfbdccd130a8441ee006905e8074b2e45dc7a384ebd78df5a4f38</t>
  </si>
  <si>
    <t>VA-7</t>
  </si>
  <si>
    <t>8330 Bethlehem Rd, Manassas, VA 20109</t>
  </si>
  <si>
    <t>Gz3bMw</t>
  </si>
  <si>
    <t>a954aec088482c7edc872a61699f3cd07a00dd8ce38acb3d202100150635f1f1</t>
  </si>
  <si>
    <t>VA-9</t>
  </si>
  <si>
    <t>11550 ELEVATE DR, MANASSAS, VA 20109</t>
  </si>
  <si>
    <t>B1jLOR</t>
  </si>
  <si>
    <t>a2e5637c43291f9ca68ea30fe8b6c9dfbd4dab5c4a1d57c9ec7db758e718f443</t>
  </si>
  <si>
    <t>WPA-1</t>
  </si>
  <si>
    <t>1137 Branchton Rd, Boyers, PA, USA</t>
  </si>
  <si>
    <t>Cherry Township</t>
  </si>
  <si>
    <t>16020</t>
  </si>
  <si>
    <t>WRQMaR</t>
  </si>
  <si>
    <t>94d415e7da9787ef7a107a0fb2fe4cdd8cbf4f830378bad68b95a817be0f5671</t>
  </si>
  <si>
    <t>IronGate</t>
  </si>
  <si>
    <t>Twin Cities East</t>
  </si>
  <si>
    <t>401 Bielenberg Dr, Woodbury, MN 55125</t>
  </si>
  <si>
    <t>Woodbury</t>
  </si>
  <si>
    <t>55125</t>
  </si>
  <si>
    <t>Gm65Dw</t>
  </si>
  <si>
    <t>6ae408a8b6f6eb3f863f8a208386ef1d3b01535bfe621f0c2665c68b8bd54a6f</t>
  </si>
  <si>
    <t>Twin Cities West</t>
  </si>
  <si>
    <t>Undisclosed</t>
  </si>
  <si>
    <t>RKvlVB</t>
  </si>
  <si>
    <t>2a7db268e4010c0693f5ce88d35d1d5ab1a78d0c6e161a8a7d83cb2cb7a1cbaa</t>
  </si>
  <si>
    <t>ITS</t>
  </si>
  <si>
    <t>22068 Business Hwy 151</t>
  </si>
  <si>
    <t>22068 Business Hwy 151 Monticello, IA 52310</t>
  </si>
  <si>
    <t>Jones County</t>
  </si>
  <si>
    <t>Monticello</t>
  </si>
  <si>
    <t>52310</t>
  </si>
  <si>
    <t>RKZ6ZB</t>
  </si>
  <si>
    <t>303e8427d9f4be2e54d2c7fd34a9bed6c4b5e2aa2cd9ddf3a76d5b94ca9234b0</t>
  </si>
  <si>
    <t>JeanComputech</t>
  </si>
  <si>
    <t>Brockton</t>
  </si>
  <si>
    <t>37 Belmont St Suite C Brockton, Massachusetts 02301</t>
  </si>
  <si>
    <t>02303</t>
  </si>
  <si>
    <t>RxPNKR</t>
  </si>
  <si>
    <t>66ae2aeb4d5c43299b9cad0b54d6e771f72f90fb38312167dadb717981cfe5bb</t>
  </si>
  <si>
    <t>JK Land Holdings</t>
  </si>
  <si>
    <t>11101 University Boulevard</t>
  </si>
  <si>
    <t>11101 University Blvd, Manassas, VA 20110</t>
  </si>
  <si>
    <t>RjWMmG</t>
  </si>
  <si>
    <t>28c6dc980bc1c3bba75855096592b8c2b577367293d1337c83bf470791b08053</t>
  </si>
  <si>
    <t>19508 Freedom Trail Road</t>
  </si>
  <si>
    <t>19508 Freedom Trail Rd, Ashburn, VA 20147</t>
  </si>
  <si>
    <t>BqvQ0R</t>
  </si>
  <si>
    <t>34d46d08311d722277b746240e4099e98b2c7d0bf21b5af82e9c47fbc9acb420</t>
  </si>
  <si>
    <t>19886 Ashburn Road</t>
  </si>
  <si>
    <t>19886 Ashburn Rd, Ashburn, VA 20147</t>
  </si>
  <si>
    <t>GDLX5G</t>
  </si>
  <si>
    <t>f3007fec6542892579bbb9a86bb4e5eb6b24f8469f0eab8e8019aa7080578a0c</t>
  </si>
  <si>
    <t>Cross Mill Center</t>
  </si>
  <si>
    <t>Sycolin Road &amp; Crosstrail Boulevard, Leesburg, VA 20175</t>
  </si>
  <si>
    <t>Sycolin</t>
  </si>
  <si>
    <t>Ga7rYB</t>
  </si>
  <si>
    <t>ef3c48b4ef478de52f3a05148623108c49a2fee6a21439299a961f12e54a6637</t>
  </si>
  <si>
    <t>Greenlin Park</t>
  </si>
  <si>
    <t>20252 Sycolin Rd, Leesburg, VA 20175</t>
  </si>
  <si>
    <t>Goose Creek Village</t>
  </si>
  <si>
    <t>BAQdmB</t>
  </si>
  <si>
    <t>03b4f570bd0b2345a3040ae2da9cfd35c7c735a04e689edf74c540debfd0c1dc</t>
  </si>
  <si>
    <t>Hunter Trust</t>
  </si>
  <si>
    <t xml:space="preserve">8613 Linton Hall Rd. Bristow, VA 20136 </t>
  </si>
  <si>
    <t>Broad Run Village</t>
  </si>
  <si>
    <t>GrvDXG</t>
  </si>
  <si>
    <t>df1f9a71bfc7415baf71316a3fcc01bb87ee73e3284e692c8313dc56c8637f32</t>
  </si>
  <si>
    <t>JK Technology Park 2</t>
  </si>
  <si>
    <t>Aldie, VA 20105</t>
  </si>
  <si>
    <t>R4Dg8R</t>
  </si>
  <si>
    <t>c961a3accdf907f50e86c465acfe608bb246e3a1faaf135b782f21fb7a0793e7</t>
  </si>
  <si>
    <t>Manassas Properties</t>
  </si>
  <si>
    <t>Gm6ymw</t>
  </si>
  <si>
    <t>8cebd1e3e2299258ab5ded0e3cb7944cc3d6e2f12bf8ccee60160b122a95e992</t>
  </si>
  <si>
    <t>JLL</t>
  </si>
  <si>
    <t>Project Hydroscale</t>
  </si>
  <si>
    <t>Alabama, New York 14013</t>
  </si>
  <si>
    <t>Genesee County</t>
  </si>
  <si>
    <t>Basom</t>
  </si>
  <si>
    <t>14013</t>
  </si>
  <si>
    <t>w9qvgw</t>
  </si>
  <si>
    <t>28749c4598a1a5c8db1f44bfd7310e502655d8a844e9a741d21d654165fdc768</t>
  </si>
  <si>
    <t>Joe's Datacenter</t>
  </si>
  <si>
    <t>1325 Tracy Ave. Kansas City, MO 64106</t>
  </si>
  <si>
    <t>64106</t>
  </si>
  <si>
    <t>18th &amp; Vine Jazz District</t>
  </si>
  <si>
    <t>Gaga9B</t>
  </si>
  <si>
    <t>2501f412fbcc2a849f7dc378a2a2556077e779ebc7d32d6280d00d164673310a</t>
  </si>
  <si>
    <t>JP Morgan</t>
  </si>
  <si>
    <t>600 Central Boulevard</t>
  </si>
  <si>
    <t>600 Central Blvd, Carlstadt, NJ 07072</t>
  </si>
  <si>
    <t>07072</t>
  </si>
  <si>
    <t>RYM4aR</t>
  </si>
  <si>
    <t>441fed4bfb9e554641c4a9ba25e4ee339eada3abc27c033ee459c97e3f4d1ccc</t>
  </si>
  <si>
    <t>65 3rd Ave, Orangeburg, NY</t>
  </si>
  <si>
    <t>G3VYlR</t>
  </si>
  <si>
    <t>e014eea103ae8314386fd854af6b2e961b4134b1c9923aa0d94685f7e2a0a096</t>
  </si>
  <si>
    <t>JSLLC</t>
  </si>
  <si>
    <t>Bozeman Data Center</t>
  </si>
  <si>
    <t>112 North Black Avenue, Bozeman, MT 59715, USA</t>
  </si>
  <si>
    <t>Gallatin County</t>
  </si>
  <si>
    <t>Bozeman</t>
  </si>
  <si>
    <t>59715</t>
  </si>
  <si>
    <t>North Tracy Avenue</t>
  </si>
  <si>
    <t>BX6EaG</t>
  </si>
  <si>
    <t>0ec65b6a0a5a7afc5758d3aab4f3f0e4d555c5ea8b6c87c251b60c592b957ae6</t>
  </si>
  <si>
    <t>Judd Ventures LLC</t>
  </si>
  <si>
    <t>SunHill Project</t>
  </si>
  <si>
    <t>Florence, AZ</t>
  </si>
  <si>
    <t>Pinal County</t>
  </si>
  <si>
    <t>85132</t>
  </si>
  <si>
    <t>RN8rZw</t>
  </si>
  <si>
    <t>d9e9b1d3154c5cde1135e5a8e5ae4814ba993bbc66563de6950cb2a18f827146</t>
  </si>
  <si>
    <t>KDDI Telehouse</t>
  </si>
  <si>
    <t>Telehouse Los Angeles Center</t>
  </si>
  <si>
    <t>626 Wilshire Blvd, Los Angeles, CA 90017</t>
  </si>
  <si>
    <t>qR0Nnw</t>
  </si>
  <si>
    <t>8a25539e06108420f144198cc458ddf16d58f4611f1f03c88d9ecb05c4601885</t>
  </si>
  <si>
    <t>Telehouse New York Chelsea</t>
  </si>
  <si>
    <t>85 10th Ave, New York, NY 10011</t>
  </si>
  <si>
    <t>ARNblR</t>
  </si>
  <si>
    <t>c7651c9b9c0b585247c1c1bd83c591f54dfef8c1062d171a3847ed62b423ca0d</t>
  </si>
  <si>
    <t>Telehouse New York Teleport</t>
  </si>
  <si>
    <t>7 Teleport Dr, Staten Island, NY 10311</t>
  </si>
  <si>
    <t>10314</t>
  </si>
  <si>
    <t>Staten Island</t>
  </si>
  <si>
    <t>Bull's Head</t>
  </si>
  <si>
    <t>EG6NxG</t>
  </si>
  <si>
    <t>e55429f28795ceaf82c6b58ca336140e7d59cf0439ae2a481b5e62fa8d506b2c</t>
  </si>
  <si>
    <t>Kimely-Horn</t>
  </si>
  <si>
    <t>21300 Coach Gibbs Drive</t>
  </si>
  <si>
    <t>21300 Coach Gibbs Dr, Ashburn, VA 20147</t>
  </si>
  <si>
    <t>BbAEew</t>
  </si>
  <si>
    <t>f833ee95b4c3d81c5040e2baa15481e768965df0c081d7d36868a831243ac2bb</t>
  </si>
  <si>
    <t>Kyndryl</t>
  </si>
  <si>
    <t>4499 Fisher Rd</t>
  </si>
  <si>
    <t>4499 Fisher Rd, Columbus, OH 43228, USA</t>
  </si>
  <si>
    <t>43228</t>
  </si>
  <si>
    <t>B7Vx8w</t>
  </si>
  <si>
    <t>69e484d0b459f5917177856df900253dbf4dded44983323eb8af709182dd2d71</t>
  </si>
  <si>
    <t>LaBella Associates</t>
  </si>
  <si>
    <t>Wildcat Ridge AI Data Center Campus</t>
  </si>
  <si>
    <t>18403</t>
  </si>
  <si>
    <t>RYNqmG</t>
  </si>
  <si>
    <t>65855fb06b7f158e691c30175eddaab08c32a02906a6bd2f4107dabd9fae8a8a</t>
  </si>
  <si>
    <t>Landmark Dividend</t>
  </si>
  <si>
    <t>PayPal Data Center</t>
  </si>
  <si>
    <t>4010 N 3rd St, Phoenix, AZ 85012, United States</t>
  </si>
  <si>
    <t>85012</t>
  </si>
  <si>
    <t>BA3WPG</t>
  </si>
  <si>
    <t>4e8926fbe2d968b01c43957524a4f983a8775c3040a095457a8eaed8c1adac1e</t>
  </si>
  <si>
    <t>LeFrak</t>
  </si>
  <si>
    <t>111 Town Square Place</t>
  </si>
  <si>
    <t>111 Town Square Pl, Jersey City, NJ 07310</t>
  </si>
  <si>
    <t>07310</t>
  </si>
  <si>
    <t>Newport</t>
  </si>
  <si>
    <t>BJL4eG</t>
  </si>
  <si>
    <t>bd4dd586f3887936f6e3b70a3b08e69d07a239a149ae04de632d19705b46e03b</t>
  </si>
  <si>
    <t>Lenovo</t>
  </si>
  <si>
    <t>RTP</t>
  </si>
  <si>
    <t>7001 Development Dr, Morrisville, NC 27560, United States</t>
  </si>
  <si>
    <t>BA31AG</t>
  </si>
  <si>
    <t>a0fd1d7c80c3260f81aa29cfca4e57dbb883d2a8706a0c6124932e5068cecb8a</t>
  </si>
  <si>
    <t>Lerner Enterprises</t>
  </si>
  <si>
    <t>Brightseat Tech Park</t>
  </si>
  <si>
    <t>Hyattsville, MD 20785</t>
  </si>
  <si>
    <t>Hyattsville</t>
  </si>
  <si>
    <t>20785</t>
  </si>
  <si>
    <t>BAQEeB</t>
  </si>
  <si>
    <t>254a23e68e383a4f9c21cc2040efa21d9264502e675ae73253eed9df33a2b77d</t>
  </si>
  <si>
    <t>Liberty Center One</t>
  </si>
  <si>
    <t>4815 Delemere Ave</t>
  </si>
  <si>
    <t>4815 Delemere Ave. 48073 Royal Oak Michigan, USA</t>
  </si>
  <si>
    <t>Royal Oak</t>
  </si>
  <si>
    <t>48073</t>
  </si>
  <si>
    <t>wMrJnB</t>
  </si>
  <si>
    <t>a7e964a96cceed8cca6b33e11e5757add013503e9efb347fa477ce46b01fb156</t>
  </si>
  <si>
    <t>Lifeline Data Centers</t>
  </si>
  <si>
    <t>401 Shadeland Ave, Indianapolis, IN 46219, USA</t>
  </si>
  <si>
    <t>46219</t>
  </si>
  <si>
    <t>weNkLB</t>
  </si>
  <si>
    <t>5e113fd593c4839530e99d77f3c280c2e05e85cbfe317c4335a8da2940c6bd86</t>
  </si>
  <si>
    <t>7601 S Anthony Blvd, Fort Wayne, IN 46816, USA</t>
  </si>
  <si>
    <t>BPJK8G</t>
  </si>
  <si>
    <t>67cc159fd5caeb43c771286f04aefee23ddaf0954298ad80ff937d0ae15d0b73</t>
  </si>
  <si>
    <t>LightEdge</t>
  </si>
  <si>
    <t>Austin 1</t>
  </si>
  <si>
    <t>2916 Montopolis Drive, Suite 300, Austin, Texas 78741, USA</t>
  </si>
  <si>
    <t>78741</t>
  </si>
  <si>
    <t>weNO3B</t>
  </si>
  <si>
    <t>921a5d8840a98e1a5da933ef383fe601c9bb7c01186334485fa41d33a0ad646e</t>
  </si>
  <si>
    <t>Austin 2</t>
  </si>
  <si>
    <t>7000-B Burleson Road, Suite 400, Austin, Texas 78744, USA</t>
  </si>
  <si>
    <t>GWp1vw</t>
  </si>
  <si>
    <t>a5349176c1d4da5d3660cf51a7d6b118293e67b5e5cf1cdee098bfb075e5a733</t>
  </si>
  <si>
    <t>Des Moines I</t>
  </si>
  <si>
    <t>1435 Northridge Circle Altoona, IA 50009</t>
  </si>
  <si>
    <t>Altoona</t>
  </si>
  <si>
    <t>50009</t>
  </si>
  <si>
    <t>RYq2aR</t>
  </si>
  <si>
    <t>2a09e054ff6db5666f072b9753bc294ca6e3fd1fcc15e442d1acda0a6d998234</t>
  </si>
  <si>
    <t>Des Moines II</t>
  </si>
  <si>
    <t>1401 Northridge Circle Altoona, IA 50009</t>
  </si>
  <si>
    <t>Gagj6B</t>
  </si>
  <si>
    <t>d9125c75f5ffee8a71dbf471328955eeb5b5ffcbdcec9d134966223749fd42af</t>
  </si>
  <si>
    <t>9050 NE Underground Dr. 64161 Kansas City Missouri, USA</t>
  </si>
  <si>
    <t>Bb0mkG</t>
  </si>
  <si>
    <t>6541b4a4a362012bbef3767a962fb26f04138cc0a75bc4e88604ab78ad8777c0</t>
  </si>
  <si>
    <t>Lenexa, KS Cavern</t>
  </si>
  <si>
    <t>17501 West 98th Street Lenexa, KS 66219</t>
  </si>
  <si>
    <t>RQ64jG</t>
  </si>
  <si>
    <t>ca68a41a26df438b03eb2eb03ba3dfbd5da9747ae85378f38753a5f13733f8ef</t>
  </si>
  <si>
    <t>Minneapolis I</t>
  </si>
  <si>
    <t>1708 West Creek Lane , Chaska, Minnesota, 55318, USA</t>
  </si>
  <si>
    <t>GlJPZB</t>
  </si>
  <si>
    <t>532c0ee2af0d4c5dbfb033260d13ac8e91d53af783b5088e283af0a83a298c48</t>
  </si>
  <si>
    <t>Omaha Data Center</t>
  </si>
  <si>
    <t>1148 American Parkway Papillion, Nebraska 68046, USA</t>
  </si>
  <si>
    <t>GLoQNR</t>
  </si>
  <si>
    <t>be318a19600f86dcf4cc98f95fd5e1f968ea0c5ae41a4e207a9e1c49b7b55f5e</t>
  </si>
  <si>
    <t>8020 Arco Corporate Dr, Raleigh, NC 27617, USA</t>
  </si>
  <si>
    <t>27617</t>
  </si>
  <si>
    <t>Leesville Hollow</t>
  </si>
  <si>
    <t>BA39aG</t>
  </si>
  <si>
    <t>638b98968ee9b6994d6545a74808f15f996e64ffc8169f200f8eac71a26bcf66</t>
  </si>
  <si>
    <t>4267 Meridian Pkwy</t>
  </si>
  <si>
    <t>4267 Meridian Parkway 60504 Aurora Illinois, USA</t>
  </si>
  <si>
    <t>60504</t>
  </si>
  <si>
    <t>GdrQLB</t>
  </si>
  <si>
    <t>5e904145e0548132f7dd710835d085f4303f50779320b265fec9a256261d4184</t>
  </si>
  <si>
    <t>Silicon Heartland</t>
  </si>
  <si>
    <t>13826 Jug St Johnstown, Ohio 43031</t>
  </si>
  <si>
    <t>RYqZ6R</t>
  </si>
  <si>
    <t>7e733b1022555c89cc2384e8c06d66df07e6b456e1a3c01e6c5d3bc00563411a</t>
  </si>
  <si>
    <t>Lincoln Property Company</t>
  </si>
  <si>
    <t>STL1</t>
  </si>
  <si>
    <t>6400 Page Ave, St Louis, MO 63133</t>
  </si>
  <si>
    <t>St. Louis County</t>
  </si>
  <si>
    <t>63133</t>
  </si>
  <si>
    <t>University Township</t>
  </si>
  <si>
    <t>RYM56R</t>
  </si>
  <si>
    <t>ffaecd8ef4b2ca15827889d732df998d9b2b79533adc8456e4b0b06e327ea427</t>
  </si>
  <si>
    <t>Link Logistics</t>
  </si>
  <si>
    <t>The Crossings</t>
  </si>
  <si>
    <t>Evans Dr &amp; Westbrook Rd Union City, GA 30349</t>
  </si>
  <si>
    <t>Union City</t>
  </si>
  <si>
    <t>30291</t>
  </si>
  <si>
    <t>Gk4J5w</t>
  </si>
  <si>
    <t>579dcf0f2f4dcb135c84ba9674e4ba636e59ab933c6aa8a5b938d16339257470</t>
  </si>
  <si>
    <t>LKQ Corp</t>
  </si>
  <si>
    <t>LKQ Nashville Headquarters</t>
  </si>
  <si>
    <t>5846 Crossings Blvd, Antioch, TN 37013</t>
  </si>
  <si>
    <t>Mount View</t>
  </si>
  <si>
    <t>R4DOPR</t>
  </si>
  <si>
    <t>36e27b4533bc827719507c55864e0c45865255aabcece3f467949b23a48cca84</t>
  </si>
  <si>
    <t>Logistix</t>
  </si>
  <si>
    <t>Hamilton Innovation Center</t>
  </si>
  <si>
    <t>GrlNlB</t>
  </si>
  <si>
    <t>3dd6803c6d592929958c49cabac196452be4416e44b5aab702e68dc1c01c453e</t>
  </si>
  <si>
    <t>LOGIX</t>
  </si>
  <si>
    <t>811 Louisiana Street</t>
  </si>
  <si>
    <t>811 Louisiana St, Houston, Texas 77002, USA</t>
  </si>
  <si>
    <t>77002</t>
  </si>
  <si>
    <t>Gmxr9R</t>
  </si>
  <si>
    <t>cc8ab95f36c5cf037f19dabce758c760734ff98ab32fa09aca6b063aabf7485f</t>
  </si>
  <si>
    <t>1905 E. 6th Street, Austin, Texas</t>
  </si>
  <si>
    <t>78702</t>
  </si>
  <si>
    <t>Holly</t>
  </si>
  <si>
    <t>BgJQKw</t>
  </si>
  <si>
    <t>18b29113c9cc9d6a267f51422f96da182e930cdba464e47c88cf166ddd9a255d</t>
  </si>
  <si>
    <t>307 W 7th St, Fort Worth, Texas 76102, USA</t>
  </si>
  <si>
    <t>Rp7mVB</t>
  </si>
  <si>
    <t>09c329cb87e237577bb4e6da704fe148b69fd1cf1b3e060f80ae2c76ad008f72</t>
  </si>
  <si>
    <t>Long Island Interconnect</t>
  </si>
  <si>
    <t>1025 Old Country Rd, Westbury, NY 11590</t>
  </si>
  <si>
    <t>Nassau County</t>
  </si>
  <si>
    <t>Westbury</t>
  </si>
  <si>
    <t>11590</t>
  </si>
  <si>
    <t>North Hempstead</t>
  </si>
  <si>
    <t>R4oVXB</t>
  </si>
  <si>
    <t>8d8e959ea99b1868541f23452ca2fd0f8350d8a0f0b526540afc54e37687cafe</t>
  </si>
  <si>
    <t>Loring LiquidCool Data Center</t>
  </si>
  <si>
    <t>Aroostook County Data Center</t>
  </si>
  <si>
    <t>Loring Commerce Centre, Limestone, ME</t>
  </si>
  <si>
    <t>04751</t>
  </si>
  <si>
    <t>G321AR</t>
  </si>
  <si>
    <t>b975c60e5659dcfaf468fbc6496bf2e79f5c42acd997838020950b6adf9640d1</t>
  </si>
  <si>
    <t>Lumen Technologies</t>
  </si>
  <si>
    <t>1 Aerojet Way</t>
  </si>
  <si>
    <t>1 Aerojet Way North Las Vegas, NV 89030</t>
  </si>
  <si>
    <t>Wann</t>
  </si>
  <si>
    <t>weNZLB</t>
  </si>
  <si>
    <t>d691069ce15b1f15a3c096a87498eebcb9e94567e524b701b10adcf11fe25733</t>
  </si>
  <si>
    <t>112 N Myers St</t>
  </si>
  <si>
    <t>112 N Myers St, Charlotte, NC 28202, USA</t>
  </si>
  <si>
    <t>BPJ4yG</t>
  </si>
  <si>
    <t>79b869df3c9b93cbd1f08381623590328e66f8f8251b6c78b95738b5ba71ce82</t>
  </si>
  <si>
    <t>1150 Legal Row</t>
  </si>
  <si>
    <t>1150 Regal Row, Dallas, Texas 75247, USA</t>
  </si>
  <si>
    <t>wMrqxB</t>
  </si>
  <si>
    <t>658aab7c4f053e0935b1e63982cc86d81d8c2b34b8fe27f785a6e18cc72de7c1</t>
  </si>
  <si>
    <t>1401 Main St</t>
  </si>
  <si>
    <t>1401 Main St. #202, Columbia, SC 29201</t>
  </si>
  <si>
    <t>Main Street District</t>
  </si>
  <si>
    <t>RQLQ6B</t>
  </si>
  <si>
    <t>44f92c9979a5ae0360a5bdb94db07299a8b46f14912ebcfed326db4cc62b2482</t>
  </si>
  <si>
    <t>155 Locust Street</t>
  </si>
  <si>
    <t>155 Locust St, Hartford, CT 06114</t>
  </si>
  <si>
    <t>06114</t>
  </si>
  <si>
    <t>Coltsville Historic District</t>
  </si>
  <si>
    <t>GZqAgR</t>
  </si>
  <si>
    <t>ad0b92ac6bf9eb552b6fd29c7f7d0ffe8cb2b134e07ec23c8a92d4d77479c986</t>
  </si>
  <si>
    <t>1603 Jessup Street</t>
  </si>
  <si>
    <t>1603 Jessup St, Wilmington, DE 19802</t>
  </si>
  <si>
    <t>19802.0</t>
  </si>
  <si>
    <t>BgAbmG</t>
  </si>
  <si>
    <t>a26d27f9576ff6260ffcb76a3b883e6d3d050cc711a0763e51059b30c502e179</t>
  </si>
  <si>
    <t>1850 Pearl St.</t>
  </si>
  <si>
    <t>1850 Pearl St, Denver, CO 80203</t>
  </si>
  <si>
    <t>Bqg8EG</t>
  </si>
  <si>
    <t>e49aaee19d270a7b7a63781897e7560b54da0ac57c5a1ef83594cde448ba3788</t>
  </si>
  <si>
    <t>1918 Wake Forest Rd</t>
  </si>
  <si>
    <t>1918 Wake Forest Rd, Raleigh, 27608 , USA</t>
  </si>
  <si>
    <t>27608</t>
  </si>
  <si>
    <t>GZNxoG</t>
  </si>
  <si>
    <t>f5d270fc1fbf2bacdcde77d94d85115ed4a402ca5e5ad546c1f363f28e791563</t>
  </si>
  <si>
    <t>21 Harborview Avenue</t>
  </si>
  <si>
    <t>21 Harborview Ave, Stamford, CT 06902</t>
  </si>
  <si>
    <t>06902</t>
  </si>
  <si>
    <t>GyPebR</t>
  </si>
  <si>
    <t>ffd462994d4bb35460d232d96998c519a6f8064e33dbe0cfbac3ae99bb1b2fe1</t>
  </si>
  <si>
    <t>220 Gardner Street</t>
  </si>
  <si>
    <t>220 Gardner Street Reno, NV 89503</t>
  </si>
  <si>
    <t>89503</t>
  </si>
  <si>
    <t>BPJN8G</t>
  </si>
  <si>
    <t>80e85c67763a9ede34f821f933c073351d6c18d8c62eab41a20fdc892f16538d</t>
  </si>
  <si>
    <t>23901 E 6th Avenue</t>
  </si>
  <si>
    <t>23901 E 6th Ave, Aurora, CO 80018</t>
  </si>
  <si>
    <t>Aurora District</t>
  </si>
  <si>
    <t>80018</t>
  </si>
  <si>
    <t>Gz7epw</t>
  </si>
  <si>
    <t>2d50a1fb6b91c8dc366e1a01d12ed2510714068cd9ed8ee163fb625984cdbba1</t>
  </si>
  <si>
    <t>240 Scott Street</t>
  </si>
  <si>
    <t>240 Scott St, Buffalo, NY 14204</t>
  </si>
  <si>
    <t>14204</t>
  </si>
  <si>
    <t>Cobblestone District</t>
  </si>
  <si>
    <t>RvYAAB</t>
  </si>
  <si>
    <t>7ccfc3f962df909af27a9eec7c2e3eab8d3a5ec1ddb3c36e72437ea9a48345c6</t>
  </si>
  <si>
    <t>2530 Perimeter Pl Dr</t>
  </si>
  <si>
    <t>2530 Perimeter Pl Dr, Nashville, TN 37214, United States</t>
  </si>
  <si>
    <t>37214</t>
  </si>
  <si>
    <t>Merry Oaks</t>
  </si>
  <si>
    <t>GZq93R</t>
  </si>
  <si>
    <t>7264dbd25ffc78887fc071df3ef2900ef158729568b35645aba263152ceb37d0</t>
  </si>
  <si>
    <t>300 Bent St</t>
  </si>
  <si>
    <t>300 Bent St, Cambridge, MA 02141</t>
  </si>
  <si>
    <t>02142</t>
  </si>
  <si>
    <t>w9EzKw</t>
  </si>
  <si>
    <t>c1cefd4eb69774f6931fc289321857fb4d753d6f2e946354b2ffaf7a0e00ccdb</t>
  </si>
  <si>
    <t>316 N Pearl Street</t>
  </si>
  <si>
    <t>316 N Pearl St, Albany, NY 12207</t>
  </si>
  <si>
    <t>Warehouse District</t>
  </si>
  <si>
    <t>RYMJbR</t>
  </si>
  <si>
    <t>4f971ab29f26ca5705cc15cad9b8160b593d0659f45cbc984ac1c5e9f14e476a</t>
  </si>
  <si>
    <t>4021 Rose Lake Dr</t>
  </si>
  <si>
    <t>4021 Rose Lake Dr, Charlotte, NC 28217</t>
  </si>
  <si>
    <t>Rp7vmB</t>
  </si>
  <si>
    <t>da9ab14447e16adcc419424e0c8245a1e3a9939d5a48dfd3e09af4b2351121c0</t>
  </si>
  <si>
    <t>4187 E Sahara Ave</t>
  </si>
  <si>
    <t>4187 E Sahara Ave, Las Vegas, NV 89104, USA</t>
  </si>
  <si>
    <t>Sunrise Manor</t>
  </si>
  <si>
    <t>89121</t>
  </si>
  <si>
    <t>GDoLDR</t>
  </si>
  <si>
    <t>ca8dcc4cd47855ff550d6f629ff7113386374a52d978395cdc4a9c12f923efef</t>
  </si>
  <si>
    <t>4270 E Sahara Ave</t>
  </si>
  <si>
    <t>4270 E Sahara Ave, Las Vegas, NV 89104, USA</t>
  </si>
  <si>
    <t>89142</t>
  </si>
  <si>
    <t>Winterwood</t>
  </si>
  <si>
    <t>Stewart Place</t>
  </si>
  <si>
    <t>R8JmWw</t>
  </si>
  <si>
    <t>b55ab504a9cb2ec221da07d1d5fba82ad2199a10e0ffaf3866575ac2d8166c0c</t>
  </si>
  <si>
    <t>4485 East Sahara</t>
  </si>
  <si>
    <t>4485 East Sahara, Las Vegas, NV 89104, USA</t>
  </si>
  <si>
    <t>Solera at Stallion Mountain</t>
  </si>
  <si>
    <t>B1XlVw</t>
  </si>
  <si>
    <t>24ff4f1e0d28f8a81a9731d5cfd9f9b65624d43882450fd4eb844594899367ab</t>
  </si>
  <si>
    <t>85 10th Avenue</t>
  </si>
  <si>
    <t>BJV3oB</t>
  </si>
  <si>
    <t>78d6d94f817b701bd34a821ae27ecaa24c1c9cf9acf61c4870ee856df96d8912</t>
  </si>
  <si>
    <t>Atlanta 6</t>
  </si>
  <si>
    <t>874 DeKalb Ave NE, Atlanta, GA 30307, USA</t>
  </si>
  <si>
    <t>30307</t>
  </si>
  <si>
    <t>BAylOB</t>
  </si>
  <si>
    <t>4b8a55bca457ac395c899da278d467ea9c453432de2a1dfd7105373cde3869ec</t>
  </si>
  <si>
    <t>Bellevue Data  Centre</t>
  </si>
  <si>
    <t>1514 Chandler Rd, Bellevue, NE 68147, USA</t>
  </si>
  <si>
    <t>weNx3B</t>
  </si>
  <si>
    <t>d946dfaf480dca6437ff300bc93fb965b993f62a5cb3c31af3a63035f4b88324</t>
  </si>
  <si>
    <t>Cleveland Premier Select</t>
  </si>
  <si>
    <t>4000 Chester Avenue, Suite 122, Cleveland, OH</t>
  </si>
  <si>
    <t>44103</t>
  </si>
  <si>
    <t>Goodrich-Kirtland Park</t>
  </si>
  <si>
    <t>RvPMYw</t>
  </si>
  <si>
    <t>5f262c3257e7da28dbc6cb39236ef5853a9a4cb8de78eaedcdea51f1d7ed8b6a</t>
  </si>
  <si>
    <t>Crowfarn Dr Memphis</t>
  </si>
  <si>
    <t>3993 Crowfarn Dr, Memphis, TN 38118, United States</t>
  </si>
  <si>
    <t>Gn4OOB</t>
  </si>
  <si>
    <t>9d463ce9353801ac2b30b2cdaedef500dc973e4dd5754ad4a89b244b07f3acd1</t>
  </si>
  <si>
    <t>Dallas 1</t>
  </si>
  <si>
    <t>3180 Irving Blvd, Dallas, Texas 75247, USA</t>
  </si>
  <si>
    <t>Gk3e6G</t>
  </si>
  <si>
    <t>34997ec863373333c66a1faef25eee6495eddc9bc635ad6847d1468cefcd9e7b</t>
  </si>
  <si>
    <t>501 W Overland Ave, El Paso, Texas 79901, USA</t>
  </si>
  <si>
    <t>Rp7E5B</t>
  </si>
  <si>
    <t>6ad3f2ae557965e3e2785942135c5cb4a9ed4953771c53b327886db6d917c37f</t>
  </si>
  <si>
    <t>496 Gallimore Dairy Rd #F, Greensboro, NC 27409, United States</t>
  </si>
  <si>
    <t>27409</t>
  </si>
  <si>
    <t>BqWpvG</t>
  </si>
  <si>
    <t>5092b877d59f5cdc8b5a63152cab4fa29895f8d2d6aff332b32030777787363f</t>
  </si>
  <si>
    <t>Houston 3</t>
  </si>
  <si>
    <t>2300 Lyons Ave, Houston, Texas 77020, USA</t>
  </si>
  <si>
    <t>77020</t>
  </si>
  <si>
    <t>Greater Fifth Ward</t>
  </si>
  <si>
    <t>GyPJyR</t>
  </si>
  <si>
    <t>71d038a02594749b6d21c613d2b15377b76e5f7a5b8e95e209d89eabf1200839</t>
  </si>
  <si>
    <t>1902 S East St, Indianapolis, IN 46225, USA</t>
  </si>
  <si>
    <t>GyP89R</t>
  </si>
  <si>
    <t>95cf39ad32202078308904a025258db6b46b05a69b33b488077872172854982b</t>
  </si>
  <si>
    <t>Lubbock 1</t>
  </si>
  <si>
    <t>1124 Hardy St, Houston, Texas 77020, USA</t>
  </si>
  <si>
    <t>w53EYR</t>
  </si>
  <si>
    <t>698b0d759fac91f9e7196368ad515ce96000d3ab423bba02d1a7a8f46310f7f9</t>
  </si>
  <si>
    <t>Lumen Pittsburgh</t>
  </si>
  <si>
    <t>143 S 25th St, Pittsburgh, PA 15203</t>
  </si>
  <si>
    <t>15203</t>
  </si>
  <si>
    <t>South Side Flats</t>
  </si>
  <si>
    <t>R8Jp4w</t>
  </si>
  <si>
    <t>f998469485c376b7879c58bd1a229abbfa5cb82007bc84e36407eded2bb2fe6e</t>
  </si>
  <si>
    <t>Lumen Sacramento</t>
  </si>
  <si>
    <t>1005 N B St, Sacramento, CA 95811</t>
  </si>
  <si>
    <t>Sacramento</t>
  </si>
  <si>
    <t>95811</t>
  </si>
  <si>
    <t>GdJ8NB</t>
  </si>
  <si>
    <t>4e889b057e4ba7fd13b873703daadd00e9c3cb369ae9500daa7d8b892e2398dd</t>
  </si>
  <si>
    <t>Lumen Santa Clara</t>
  </si>
  <si>
    <t>3045 Raymond St, Santa Clara, CA 95054</t>
  </si>
  <si>
    <t>R0W0gB</t>
  </si>
  <si>
    <t>efb3694775346cc96405885c5a81c492bd2082c820d6f9bfee98d555f3dc0e04</t>
  </si>
  <si>
    <t>Lumen Springfield</t>
  </si>
  <si>
    <t>Gk3X6G</t>
  </si>
  <si>
    <t>0fd376f532b7e5d0300cba4093b5ec79b871a35c2d55dfb8b3931b0b015a188e</t>
  </si>
  <si>
    <t>Lumen Sunnyvale</t>
  </si>
  <si>
    <t>1380 Kifer Rd, Sunnyvale, CA 94086</t>
  </si>
  <si>
    <t>G6Q0mR</t>
  </si>
  <si>
    <t>c48263b3379dec4de41300ae7dff8e4a69b068ae76e5161dabf6195edad1637d</t>
  </si>
  <si>
    <t>Lumen Tustin</t>
  </si>
  <si>
    <t>14452 Franklin Ave, Tustin, CA 92780</t>
  </si>
  <si>
    <t>Browning Station</t>
  </si>
  <si>
    <t>RjPaQw</t>
  </si>
  <si>
    <t>e0a212bc49ee6fd5596d3f7bb05f03f21327cc933f2f5143cca5dd3e3cc76790</t>
  </si>
  <si>
    <t>Metairie</t>
  </si>
  <si>
    <t>3220 Lausat St, Metairie, LA 70001, USA</t>
  </si>
  <si>
    <t>Jefferson Parish</t>
  </si>
  <si>
    <t>70001</t>
  </si>
  <si>
    <t>Gk3v5G</t>
  </si>
  <si>
    <t>94283f1963cca9502b31daf7eadb2c4439d246519f48f6a76febd56004ff6aae</t>
  </si>
  <si>
    <t>Minnetonka Premier Select</t>
  </si>
  <si>
    <t>5400-5500 Feltl Road, Minnetonka, MI</t>
  </si>
  <si>
    <t>Hopkins</t>
  </si>
  <si>
    <t>55343</t>
  </si>
  <si>
    <t>Minnetonka</t>
  </si>
  <si>
    <t>GzY8oR</t>
  </si>
  <si>
    <t>6b21a9966150abcda4d921f4f77d285a452b537c5233b6564f992d5f85534bb4</t>
  </si>
  <si>
    <t>2208 9th Ave N, Nashville, TN 37208, USA</t>
  </si>
  <si>
    <t>37208</t>
  </si>
  <si>
    <t>North Rhodes</t>
  </si>
  <si>
    <t>RvPnqw</t>
  </si>
  <si>
    <t>a854a7ad1d1c1f79fa5d8f1751cd40c134189fafeec33bdd00510a099ffb37b8</t>
  </si>
  <si>
    <t>New York, NY</t>
  </si>
  <si>
    <t>111 8th Avenue, New York, USA</t>
  </si>
  <si>
    <t>RpgvpB</t>
  </si>
  <si>
    <t>4e59e5e60e7af29e46a39797790ab96b98df28f8161838a8e3f42208475beeee</t>
  </si>
  <si>
    <t>380 S Lake Destiny Dr , Orlando, Florida, 32810 , USA</t>
  </si>
  <si>
    <t>32810</t>
  </si>
  <si>
    <t>Lake Fairview</t>
  </si>
  <si>
    <t>RKao5w</t>
  </si>
  <si>
    <t>3450a87140ae3bc4d09d3f22b14d6f7506b76799bd7a769ea1b58942f223e939</t>
  </si>
  <si>
    <t>Salt Lake City Data Center</t>
  </si>
  <si>
    <t>5035 W Harold Gatty Drive Salt Lake City, Utah 84116 United States</t>
  </si>
  <si>
    <t>84116</t>
  </si>
  <si>
    <t>Salt Lake International Center</t>
  </si>
  <si>
    <t>Bbn1LB</t>
  </si>
  <si>
    <t>712f66df022695aa8ef66981ecf9e1d5cc6efc6cf3cf48cf5ae6c012b4f378c5</t>
  </si>
  <si>
    <t>5130 Service Center Drive, Suite 104, San Antonio, Texas 78218, USA</t>
  </si>
  <si>
    <t>78218</t>
  </si>
  <si>
    <t>Rjm4NB</t>
  </si>
  <si>
    <t>b56fe556144f9bedb1136ca8b54e8c23289256201ea352f337be7ffaf5ba0e88</t>
  </si>
  <si>
    <t>San Antonio 2</t>
  </si>
  <si>
    <t>1203 N Frio St, San Antonio, Texas 78207, USA</t>
  </si>
  <si>
    <t>78207</t>
  </si>
  <si>
    <t>Alta Vista</t>
  </si>
  <si>
    <t>BJrb8B</t>
  </si>
  <si>
    <t>56d23eaf7943ce7be45f9eade47cd65a089fced2de84987c2342f5ab2ae2ed9f</t>
  </si>
  <si>
    <t>Santa Teresa 1</t>
  </si>
  <si>
    <t>175 Harrier Drive, Santa Teresa, NM, 88008</t>
  </si>
  <si>
    <t>Doña Ana County</t>
  </si>
  <si>
    <t>Santa Teresa</t>
  </si>
  <si>
    <t>88008</t>
  </si>
  <si>
    <t>Verde Santa Teresa Logistics Park</t>
  </si>
  <si>
    <t>R8m33G</t>
  </si>
  <si>
    <t>21058497c2347479ab353a7e4586f6a1cd3457ed35f1522564dc978f0086fa8e</t>
  </si>
  <si>
    <t>South Bend 1</t>
  </si>
  <si>
    <t>140 Franklin St, South Bend, IN 46601, USA</t>
  </si>
  <si>
    <t>Gdr9NB</t>
  </si>
  <si>
    <t>12416673b97efd4ef9c9acae7457545256f3bcccd01eef50608115f796e7283b</t>
  </si>
  <si>
    <t>145 N Church St Unit 38, Spartanburg, SC 29306</t>
  </si>
  <si>
    <t>29306</t>
  </si>
  <si>
    <t>R2r7LR</t>
  </si>
  <si>
    <t>e06a2cedb99724f8d8d01d020ff007156f8daa73eccbad2457c2008c120f0009</t>
  </si>
  <si>
    <t>Tucson Data Center</t>
  </si>
  <si>
    <t>135 N. 6th Avenue Tucson, AZ 85701</t>
  </si>
  <si>
    <t>85716</t>
  </si>
  <si>
    <t>GaA6KG</t>
  </si>
  <si>
    <t>fe72580af2bde243796155e298f38a088cea87da9d67f22eb64936c4c984a078</t>
  </si>
  <si>
    <t>Lumos</t>
  </si>
  <si>
    <t>342 N Court Avenue</t>
  </si>
  <si>
    <t>342 N Court Ave, Covington, VA 24426</t>
  </si>
  <si>
    <t>24426</t>
  </si>
  <si>
    <t>wVqqpG</t>
  </si>
  <si>
    <t>b6c76dae8c90cd5add25ea82d0418c6497b22bf1b12f26f0cd93e56c829f3614</t>
  </si>
  <si>
    <t>524 W Broad Street</t>
  </si>
  <si>
    <t>524 W Broad St, Waynesboro, VA 22980</t>
  </si>
  <si>
    <t>City of Waynesboro</t>
  </si>
  <si>
    <t>Waynesboro</t>
  </si>
  <si>
    <t>22980</t>
  </si>
  <si>
    <t>woWWKw</t>
  </si>
  <si>
    <t>2732a2ac721c97d3d3505e16eff5e6f4e273337f270a9e31f9b6ec02444a2a53</t>
  </si>
  <si>
    <t>Lunavi</t>
  </si>
  <si>
    <t>Bellingham</t>
  </si>
  <si>
    <t>851 Coho Way #206, Bellingham, WA 98225, United States</t>
  </si>
  <si>
    <t>Whatcom County</t>
  </si>
  <si>
    <t>98225</t>
  </si>
  <si>
    <t>City Center</t>
  </si>
  <si>
    <t>R8JxMw</t>
  </si>
  <si>
    <t>2b8bd4da9ac4d2e430d3dd76227edeed5ad3d23e3f77bd5d8762b8fb9e05ad01</t>
  </si>
  <si>
    <t>Cheyenne Data Centre</t>
  </si>
  <si>
    <t>340 Progress Cir, Cheyenne, WY 82007, USA</t>
  </si>
  <si>
    <t>Laramie County</t>
  </si>
  <si>
    <t>Cheyenne</t>
  </si>
  <si>
    <t>82007</t>
  </si>
  <si>
    <t>Gk3aWG</t>
  </si>
  <si>
    <t>55d57ca0ea3d7b3e9e8438fb9b636b5758dc8e7cfb2bd09319cf720302cbb636</t>
  </si>
  <si>
    <t>LV.Net</t>
  </si>
  <si>
    <t>LAS02</t>
  </si>
  <si>
    <t>1221 Casino Center Drive, Las Vegas, NV 89104, USA</t>
  </si>
  <si>
    <t>Downtown South</t>
  </si>
  <si>
    <t>BgAd6G</t>
  </si>
  <si>
    <t>be832aaf427e2ce04734495a42686ec08e5c870bbcb2492e8265336d723444a9</t>
  </si>
  <si>
    <t>Technology Center LAS01</t>
  </si>
  <si>
    <t>2595 Fremont Street, Las Vegas, NV 89104, United States</t>
  </si>
  <si>
    <t>89104</t>
  </si>
  <si>
    <t>Downtown East</t>
  </si>
  <si>
    <t>RxZ5Kw</t>
  </si>
  <si>
    <t>c4955aee2a6696758272841b2a783fdea370bb48a0bf328fab23a9ba5d742eff</t>
  </si>
  <si>
    <t>M5 Hosting</t>
  </si>
  <si>
    <t>SDTC</t>
  </si>
  <si>
    <t>9725 Scranton Road, San Diego, CA 92121</t>
  </si>
  <si>
    <t>GamKKG</t>
  </si>
  <si>
    <t>3dbb9331838994ed3250d433551c884c4ee2925653c1c15936b259ac5dbcf5d2</t>
  </si>
  <si>
    <t>ManagedWay</t>
  </si>
  <si>
    <t>Troy Datacenter</t>
  </si>
  <si>
    <t>319 Executive Dr, Troy, MI 48083, USA</t>
  </si>
  <si>
    <t>Troy</t>
  </si>
  <si>
    <t>48083</t>
  </si>
  <si>
    <t>GDL3bG</t>
  </si>
  <si>
    <t>fbb7ea6e6f51f7c495dfc53ef5e9dcb40fab7c7529e565a74f737d7e9488f263</t>
  </si>
  <si>
    <t>TYM2</t>
  </si>
  <si>
    <t>600 Executive Dr. 48083 Troy Michigan, USA</t>
  </si>
  <si>
    <t>RYqrmR</t>
  </si>
  <si>
    <t>43575feaa58a2b2663848185ee00e4a8588b48f8b59183af8750ebd375889cc3</t>
  </si>
  <si>
    <t>Management Science Associates, Inc.</t>
  </si>
  <si>
    <t>Evergreen Heights</t>
  </si>
  <si>
    <t>115 Evergreen Heights Drive, Pittsburgh, PA 15229</t>
  </si>
  <si>
    <t>15229</t>
  </si>
  <si>
    <t>Ross Township</t>
  </si>
  <si>
    <t>Ivory Avenue</t>
  </si>
  <si>
    <t>weN4AB</t>
  </si>
  <si>
    <t>2600952c937b3c56119cbe4a11946a5170fd66d69acbd5c71a5513155c3b4ae4</t>
  </si>
  <si>
    <t>RockPointe</t>
  </si>
  <si>
    <t>400 MSA Drive, Tarentum, PA 15084</t>
  </si>
  <si>
    <t>West Deer Township</t>
  </si>
  <si>
    <t>15075</t>
  </si>
  <si>
    <t>GWpjEw</t>
  </si>
  <si>
    <t>2d4d4c404ed2711452181e0a77eb5eaf74dea6911fae2ce53531ebf662ca2b06</t>
  </si>
  <si>
    <t>Mapletree</t>
  </si>
  <si>
    <t>1001 Windward Concourse</t>
  </si>
  <si>
    <t>1001 Windward Concourse, Alpharetta, GA 30005, United States</t>
  </si>
  <si>
    <t>30005</t>
  </si>
  <si>
    <t>GZZ79G</t>
  </si>
  <si>
    <t>edcd98f9370b24a18f128b4b59623025b291108a8f92b8ec75e1a891bb105c8c</t>
  </si>
  <si>
    <t>Mapletree Industrial</t>
  </si>
  <si>
    <t>1400 Cross Beam Dr Charlotte</t>
  </si>
  <si>
    <t>1400 Cross Beam Dr, Charlotte, NC 28217, United States</t>
  </si>
  <si>
    <t>Southwest Charlotte</t>
  </si>
  <si>
    <t>wod8eB</t>
  </si>
  <si>
    <t>296efbb1f60d4c9289776d9b23c23db2c1b127d9084a834ad99687e99859e0cd</t>
  </si>
  <si>
    <t>2455 Alft Lane, Elgin</t>
  </si>
  <si>
    <t>2455 Alft Ln, Elgin, IL 60124, USA</t>
  </si>
  <si>
    <t>Elgin</t>
  </si>
  <si>
    <t>60124</t>
  </si>
  <si>
    <t>Elgin Township</t>
  </si>
  <si>
    <t>w5AlZw</t>
  </si>
  <si>
    <t>741907f56f602239cb94182ba59f75b341c903b9c9cb34ebb08e37f3e6a5a6a4</t>
  </si>
  <si>
    <t>3300 Essex Drive</t>
  </si>
  <si>
    <t>3300 Essex Drive, Richardson, Texas 75082, USA</t>
  </si>
  <si>
    <t>R0mJgG</t>
  </si>
  <si>
    <t>bdc56493aa40f6416eb393c82508eefb88c67672f93761ebb2b57c29959e2e5f</t>
  </si>
  <si>
    <t>Mapletree Industrial Trust</t>
  </si>
  <si>
    <t>N15W24250 Riverwood Drive, Pewaukee</t>
  </si>
  <si>
    <t>N15W24250 Riverwood Dr, Waukesha, WI 53188, USA</t>
  </si>
  <si>
    <t>Waukesha County</t>
  </si>
  <si>
    <t>Waukesha</t>
  </si>
  <si>
    <t>53188</t>
  </si>
  <si>
    <t>Pewaukee</t>
  </si>
  <si>
    <t>RxY1vG</t>
  </si>
  <si>
    <t>a3cd1547e256bd39d9fc8a9d7325673d2281b5341f0e2f277b18cfa063371e71</t>
  </si>
  <si>
    <t>Marathon Digital Holdings</t>
  </si>
  <si>
    <t>Kearney</t>
  </si>
  <si>
    <t>3215 Global Dr, Kearney, NE 68847, USA</t>
  </si>
  <si>
    <t>Buffalo County</t>
  </si>
  <si>
    <t>Center</t>
  </si>
  <si>
    <t>R8J4Mw</t>
  </si>
  <si>
    <t>4f6c8e9576d1f581ea7aea79b3507bd7e89d6dcde504876de69330c0e33b7361</t>
  </si>
  <si>
    <t>Markley</t>
  </si>
  <si>
    <t>Lowell</t>
  </si>
  <si>
    <t>1 Markley Way, Lowell, MA 01852, United States</t>
  </si>
  <si>
    <t>01825</t>
  </si>
  <si>
    <t>RKaAzw</t>
  </si>
  <si>
    <t>bbf8abecf7841e23822335c64e4719d22e132c1c61c358d333f92d299fa0d9e8</t>
  </si>
  <si>
    <t>One Summer Street</t>
  </si>
  <si>
    <t>1 Summer St, Boston, MA 02110</t>
  </si>
  <si>
    <t>02111</t>
  </si>
  <si>
    <t>Downtown Crossing</t>
  </si>
  <si>
    <t>Downtown Boston</t>
  </si>
  <si>
    <t>GL2nNB</t>
  </si>
  <si>
    <t>a42a5c2625aed2ecb7199f6f9ba2504f0005833f1b413ff74478730a1defedc1</t>
  </si>
  <si>
    <t>Mass General Brigham</t>
  </si>
  <si>
    <t>Mass General Brigham Data Centre</t>
  </si>
  <si>
    <t>555 Forest St, Marlborough, MA 01752</t>
  </si>
  <si>
    <t>GrvVrG</t>
  </si>
  <si>
    <t>2ea2d8d53156b8fd1bc218649a7c6e8a107020cfbf70245bd421799c49973f7e</t>
  </si>
  <si>
    <t>MCBH</t>
  </si>
  <si>
    <t>Data Center B208</t>
  </si>
  <si>
    <t>MCBH Kaneohe Bay, O'ahu, Hawaii 96863, USA</t>
  </si>
  <si>
    <t>96863</t>
  </si>
  <si>
    <t>wOLPnB</t>
  </si>
  <si>
    <t>34095e59ffd7623b94dc0866486e142cd18de8461df009603643dfbd87880e98</t>
  </si>
  <si>
    <t>MCD 7 LLC</t>
  </si>
  <si>
    <t>Project Laurel</t>
  </si>
  <si>
    <t>3145 Sanatoga Rd, Pottstown, PA 19464</t>
  </si>
  <si>
    <t>Pottstown</t>
  </si>
  <si>
    <t>19464</t>
  </si>
  <si>
    <t>Limerick Township</t>
  </si>
  <si>
    <t>Gl4aYG</t>
  </si>
  <si>
    <t>77a8bc67382ec90bbd8b26c582de3a8d31b903612e038344be3bc6aa5584ecc3</t>
  </si>
  <si>
    <t>MCNC</t>
  </si>
  <si>
    <t>Rosman</t>
  </si>
  <si>
    <t>1 Pari Dr, Rosman, NC 28772, United States</t>
  </si>
  <si>
    <t>Transylvania County</t>
  </si>
  <si>
    <t>RKZQDB</t>
  </si>
  <si>
    <t>8a260927b6b5d82a87bd5a1dbbbb433b75b4e91c3e170b90a5210c600b7a495c</t>
  </si>
  <si>
    <t>3021 E Cornwallis Rd, Research Triangle Park, NC 27709, United States</t>
  </si>
  <si>
    <t>Rp755B</t>
  </si>
  <si>
    <t>bbe907c950cacea02ed7f68eb209095336bde15057d33d2b5eca1a0865c586ea</t>
  </si>
  <si>
    <t>MDC Data Centers</t>
  </si>
  <si>
    <t>ELP1</t>
  </si>
  <si>
    <t>11455 Cedar Oak Dr, El Paso, Texas 79936, USA</t>
  </si>
  <si>
    <t>79936</t>
  </si>
  <si>
    <t>G3VXPR</t>
  </si>
  <si>
    <t>246a41544cb97a5de6dae0e06ba5be3923b1eb5150f78269a8f5071729ab64f7</t>
  </si>
  <si>
    <t>LDO1</t>
  </si>
  <si>
    <t>13619 Cabezut Dr, Laredo, Texas 78045, USA</t>
  </si>
  <si>
    <t>Laredo</t>
  </si>
  <si>
    <t>78045</t>
  </si>
  <si>
    <t>Unitec Industrial Park</t>
  </si>
  <si>
    <t>wodJlB</t>
  </si>
  <si>
    <t>c8f60a701cf79bf19ec163c0633568dae1c73254ca1e6345924157e4e6c4a82a</t>
  </si>
  <si>
    <t>MCA1</t>
  </si>
  <si>
    <t>200 S 10th St, Suite 702, McAllen, Texas 78501, USA</t>
  </si>
  <si>
    <t>w9EOEw</t>
  </si>
  <si>
    <t>a2e8141d1a5ea3be549be8a301dcd1b32ec9ea3fdba3d4e45394141e8edef989</t>
  </si>
  <si>
    <t>MCA2</t>
  </si>
  <si>
    <t>422 S 11th St, McAllen, Texas 78501, USA</t>
  </si>
  <si>
    <t>Mcallen</t>
  </si>
  <si>
    <t>Bb0v6G</t>
  </si>
  <si>
    <t>7f9ecae9490f1cc66b9de523facadd2abcb5fd7e8b694becea025e0d7bb9ddca</t>
  </si>
  <si>
    <t>7014 MANYA CIRCLE. SAN DIEGO. CA 92154.</t>
  </si>
  <si>
    <t>92154</t>
  </si>
  <si>
    <t>Palm City</t>
  </si>
  <si>
    <t>GLvqqB</t>
  </si>
  <si>
    <t>cf03e5b0686795d46d7bbee54ff8a4110f4245b793c78309f72b3911fe6581ef</t>
  </si>
  <si>
    <t>Meganet</t>
  </si>
  <si>
    <t>Meganet Foundry Data Center</t>
  </si>
  <si>
    <t>275 Promenade St, Providence, RI 02908</t>
  </si>
  <si>
    <t>02908</t>
  </si>
  <si>
    <t>BEWO6G</t>
  </si>
  <si>
    <t>155737720cd7020cd909f21ffbc81d17862bc425693d204a98c2dcf8abb5e968</t>
  </si>
  <si>
    <t>Menlo Equities</t>
  </si>
  <si>
    <t>760 Doug Davis Drive</t>
  </si>
  <si>
    <t>760 Doug Davis Dr, Atlanta, GA 30354, USA</t>
  </si>
  <si>
    <t>30354</t>
  </si>
  <si>
    <t>B1XWVw</t>
  </si>
  <si>
    <t>2e01f99129a99f78dcb37c921ef203f7fd0f9e048bd52176d0f8e8e0b794b4f3</t>
  </si>
  <si>
    <t>East Thistle Data Center</t>
  </si>
  <si>
    <t>4811 E Thistle Landing Dr, Phoenix, AZ 85044, United States</t>
  </si>
  <si>
    <t>BgJyQw</t>
  </si>
  <si>
    <t>610569a145219cc997b495bd2da6dadd00cb452aa29301aaeb9a64a711191f17</t>
  </si>
  <si>
    <t>MD-VA1 (Herndon)</t>
  </si>
  <si>
    <t>13775 McLearen Rd, Herndon, VA 20171</t>
  </si>
  <si>
    <t>Sully Square</t>
  </si>
  <si>
    <t>Rxnx4w</t>
  </si>
  <si>
    <t>ecc6b0dd2cebe237cb2260fbdf1950a7fcfe9ce0eeb7e0b557a47aefe300a831</t>
  </si>
  <si>
    <t>MD-VA2 (Sterling)</t>
  </si>
  <si>
    <t>22265 Pacific Blvd, Sterling, VA 20166</t>
  </si>
  <si>
    <t>wM2ZWB</t>
  </si>
  <si>
    <t>1766f35ddcfcbb3f73b93b3a00f034b8cafae8341e58990709e6aca3bbc2accb</t>
  </si>
  <si>
    <t>MD-VA3 (Richmond)</t>
  </si>
  <si>
    <t>2255 Jamestown Dr, Petersburg, VA 23803</t>
  </si>
  <si>
    <t>Petersburg</t>
  </si>
  <si>
    <t>23803</t>
  </si>
  <si>
    <t>Spring Garden Mobile Home Park</t>
  </si>
  <si>
    <t>RNaK6B</t>
  </si>
  <si>
    <t>0d7e88c578a26f14de3266ff58a55010af305cbe546f6e82e09e0f451744ff9e</t>
  </si>
  <si>
    <t>Menlo Digital Sunnyvale</t>
  </si>
  <si>
    <t>444 Toyama Dr. Sunnyvale, CA 94089</t>
  </si>
  <si>
    <t>Gm48gR</t>
  </si>
  <si>
    <t>329c3621549fbec1768d5887bf86552fda789c86170fbb5375444a23e2a14155</t>
  </si>
  <si>
    <t>Portland Data Center</t>
  </si>
  <si>
    <t>1207 W Burnside Street, Portland, OR, 97209</t>
  </si>
  <si>
    <t>B7E1nG</t>
  </si>
  <si>
    <t>4f350392d379b9e40072c77a971a9dfdc0e792bd929b42b8761672f234466d7c</t>
  </si>
  <si>
    <t>Merrill Lynch</t>
  </si>
  <si>
    <t>Merrill Lynch Data Center</t>
  </si>
  <si>
    <t>10 Teleport Dr, Staten Island, NY 10311</t>
  </si>
  <si>
    <t>BbAgkw</t>
  </si>
  <si>
    <t>906a1bba59264e0cd0175cb0d088f80c55c5be014146b51e06a9063f45c6bc48</t>
  </si>
  <si>
    <t>Mesh Capital LLC</t>
  </si>
  <si>
    <t>40 Cabin Field Road, Lynchburg, Virginia 24504</t>
  </si>
  <si>
    <t>Campbell County</t>
  </si>
  <si>
    <t>Lynchburg</t>
  </si>
  <si>
    <t>24504</t>
  </si>
  <si>
    <t>BqgVaG</t>
  </si>
  <si>
    <t>048b0e38397b00bc693dd42424c6535cca1c529f3204c3afd3fb1be4a6cb52e1</t>
  </si>
  <si>
    <t>Meta</t>
  </si>
  <si>
    <t>Aiken</t>
  </si>
  <si>
    <t>Self-build Social Media</t>
  </si>
  <si>
    <t>29847</t>
  </si>
  <si>
    <t>B13mOG</t>
  </si>
  <si>
    <t>383439e75e4bc153471ba37ad06a60cd32a8eac7bb9bc58ed0a82092c46c8225</t>
  </si>
  <si>
    <t>Altoona Iowa</t>
  </si>
  <si>
    <t>100 Share Way NW Altoona, Iowa 50009, United States</t>
  </si>
  <si>
    <t>50035</t>
  </si>
  <si>
    <t>G6bPgG</t>
  </si>
  <si>
    <t>1fb455c8bd6082f46526ba7f47e73ec801d47824fbb9b239ee2aa4ba19b5adac</t>
  </si>
  <si>
    <t>Beaver Dam</t>
  </si>
  <si>
    <t>Dodge County</t>
  </si>
  <si>
    <t>53916</t>
  </si>
  <si>
    <t>GZ6bgG</t>
  </si>
  <si>
    <t>f91cc205ff5b715a4c8a59bbb817130410bcddd3d538682debc9038c26f32504</t>
  </si>
  <si>
    <t>DeKalb</t>
  </si>
  <si>
    <t>Metaverse Way, DeKalb, IL. 60115.</t>
  </si>
  <si>
    <t>DeKalb County</t>
  </si>
  <si>
    <t>GkYz7B</t>
  </si>
  <si>
    <t>c2339500e7e9413172ef3449099d2686066c651918e4e67be2587d9a02ae08fd</t>
  </si>
  <si>
    <t>Eagle Mountain Data Center</t>
  </si>
  <si>
    <t>1275 N Community Cir, Eagle Mountain, UT 84005</t>
  </si>
  <si>
    <t>Cedar Fort</t>
  </si>
  <si>
    <t>84013</t>
  </si>
  <si>
    <t>BqXqMw</t>
  </si>
  <si>
    <t>d27889b750841d68f68a43a26b840fbaec1c4d6bce133ebe378ee0a5d5662788</t>
  </si>
  <si>
    <t>7813 Stan Roberts Sr Ave, El Paso, TX 79934</t>
  </si>
  <si>
    <t>79934</t>
  </si>
  <si>
    <t>RpOJqB</t>
  </si>
  <si>
    <t>35fbe89e471a61feb321128e282ed57da828f0e20a4dbde5f694fddfb8ae4e08</t>
  </si>
  <si>
    <t>Forest City</t>
  </si>
  <si>
    <t>480 Social Circle, Forest City, NC 28043, United States</t>
  </si>
  <si>
    <t>28043</t>
  </si>
  <si>
    <t>R0aP5G</t>
  </si>
  <si>
    <t>4cc0f18b6603817c096768ef4405e1aa1d9402a975459f65ea4d95b57bb0f84a</t>
  </si>
  <si>
    <t>4500 Like Way, Fort Worth, Texas 76177, USA</t>
  </si>
  <si>
    <t>Heritage</t>
  </si>
  <si>
    <t>Gddl4G</t>
  </si>
  <si>
    <t>82141f9f9c618cd20fb12f40309b3af1a34695e29fb3f636b267843e27bfe960</t>
  </si>
  <si>
    <t>Gallatin</t>
  </si>
  <si>
    <t>One Meta Loop, Gallatin, TN 37066, United States</t>
  </si>
  <si>
    <t>Sumner County</t>
  </si>
  <si>
    <t>37066</t>
  </si>
  <si>
    <t>GrVjlG</t>
  </si>
  <si>
    <t>aa70d5597733f98271c9293878b1002344a1e1cf1a6150c46ab310e328c89031</t>
  </si>
  <si>
    <t>Henrico</t>
  </si>
  <si>
    <t>6200 Technology Blvd, Sandston, Virginia 23150, United States</t>
  </si>
  <si>
    <t>B7mXJG</t>
  </si>
  <si>
    <t>1de22addd480105d1678f36de7ff21d2878bc2e0f7ebb32c2a3e4aa819adf579</t>
  </si>
  <si>
    <t>100 South Profile Place NW, Huntsville, AL 35810, United States</t>
  </si>
  <si>
    <t>35810</t>
  </si>
  <si>
    <t>GmXkDR</t>
  </si>
  <si>
    <t>ab2d0b9e6467d6a0a8a8a6cefef97237002a628f1292391f72e81976dfca5b1a</t>
  </si>
  <si>
    <t>Golden Plains Technology Park, Kansas City, Missouri 64153</t>
  </si>
  <si>
    <t>Gn4XkB</t>
  </si>
  <si>
    <t>ddb25f9037fe095560e36e63080ca68464518afd55664933ba2cd005a2562328</t>
  </si>
  <si>
    <t>Los Lunas</t>
  </si>
  <si>
    <t>4250 Messenger Loop NW, Los Lunas, New Mexico 87031, USA</t>
  </si>
  <si>
    <t>Valencia County</t>
  </si>
  <si>
    <t>87031</t>
  </si>
  <si>
    <t>GzZEAG</t>
  </si>
  <si>
    <t>f71ad093838bc89b15582a7432e83354a1d456623e543d4a3c6cd58c23bd1018</t>
  </si>
  <si>
    <t>3841 S. Ellsworth Rd. Mesa, AZ</t>
  </si>
  <si>
    <t>GrvWrG</t>
  </si>
  <si>
    <t>7ab53fb0bcb79aef34cd14264b95a4fca9f1bcaf4e56a9c68bab55ee9e54f27d</t>
  </si>
  <si>
    <t>Meta Davenport</t>
  </si>
  <si>
    <t>Hillandale Road &amp; Enterprise Way, Davenport, Iowa. 52806</t>
  </si>
  <si>
    <t>52748</t>
  </si>
  <si>
    <t>B13zQG</t>
  </si>
  <si>
    <t>267eda34817a5d4e661c8dee3609b9c443fff05bfa5b1396d9cd02f11d82cda9</t>
  </si>
  <si>
    <t>Meta Jeffersonville</t>
  </si>
  <si>
    <t>Jeffersonville, IN 47130</t>
  </si>
  <si>
    <t>Jeffersonville</t>
  </si>
  <si>
    <t>47130</t>
  </si>
  <si>
    <t>Jeffersonville Township</t>
  </si>
  <si>
    <t>wVqQQG</t>
  </si>
  <si>
    <t>14c502dd38a97a135aa4823b2df2dcc939545a4f859c33e6c6286afc396ba2cd</t>
  </si>
  <si>
    <t>Meta New Albany 2</t>
  </si>
  <si>
    <t>13385 Green Chapel Rd New Albany, OH 43031</t>
  </si>
  <si>
    <t>Rj09ew</t>
  </si>
  <si>
    <t>cd7a67c90f68c8f4f063e8da134be598b335a177bba2305bdbdef9e00e7707e1</t>
  </si>
  <si>
    <t>Meta Rosemount</t>
  </si>
  <si>
    <t>1367 145th St E, Rosemount, MN 55068, USA</t>
  </si>
  <si>
    <t>Rosemount</t>
  </si>
  <si>
    <t>55068</t>
  </si>
  <si>
    <t>RQ3r1w</t>
  </si>
  <si>
    <t>cb0286294459b92766f245ea835e94880b93e5ee5964b32842a882fc60aaf91b</t>
  </si>
  <si>
    <t>Mobile Hwy, Montgomery, AL 36105, United States</t>
  </si>
  <si>
    <t>36105</t>
  </si>
  <si>
    <t>w9qaew</t>
  </si>
  <si>
    <t>41a4bef89f058f17bc71a7341820a2aa044c46ffd02c569f6fa9573935b14873</t>
  </si>
  <si>
    <t>1 Community Circle New Albany, Ohio 43054, United States</t>
  </si>
  <si>
    <t>GnqbOR</t>
  </si>
  <si>
    <t>fe975f2525aa5102f32088e56d6ef95df75a5f655f7f4ec04e3f33f576c89f6f</t>
  </si>
  <si>
    <t>735 S.W. Connect Way, Prineville, Oregon 97754, United States</t>
  </si>
  <si>
    <t>97554</t>
  </si>
  <si>
    <t>GLPKzG</t>
  </si>
  <si>
    <t>b27f294000fd1d7400ec5f5dc6b5d8572d2c6fdb38ce174d6f462d065de63274</t>
  </si>
  <si>
    <t>Project Accordion</t>
  </si>
  <si>
    <t>I-75 &amp; Route 582</t>
  </si>
  <si>
    <t>Wood</t>
  </si>
  <si>
    <t>BgJ90w</t>
  </si>
  <si>
    <t>042860d07e924e71fd3700f699f100bc2e8a81ca47b9ea9657e2ec5ce1eec602</t>
  </si>
  <si>
    <t>Project Cosmo</t>
  </si>
  <si>
    <t>1800 High Planes Road, Cheyenne, WY, 82007</t>
  </si>
  <si>
    <t>wVq1bG</t>
  </si>
  <si>
    <t>cbe158713b72f0597a186df3acb6dadecd1820635d2921ce06b8392ef303d00c</t>
  </si>
  <si>
    <t>Project Domino</t>
  </si>
  <si>
    <t>46052</t>
  </si>
  <si>
    <t>GnKeKw</t>
  </si>
  <si>
    <t>5ffa5c647fcaf776da50385a4ef390e54d943e187906f0f1cba473c6088021b6</t>
  </si>
  <si>
    <t>Project Peregrine</t>
  </si>
  <si>
    <t>6990 W Kuna Mora Road, Kuna, ID, 83634</t>
  </si>
  <si>
    <t>Kuna</t>
  </si>
  <si>
    <t>83634</t>
  </si>
  <si>
    <t>BA3yxG</t>
  </si>
  <si>
    <t>11a4936c38c607eb1a6e06c2a76e7f128d6d032f59effbd624fbf7bbeb92b6bc</t>
  </si>
  <si>
    <t>Richland Parish</t>
  </si>
  <si>
    <t>Highway 183 and Thomas Road</t>
  </si>
  <si>
    <t>71269</t>
  </si>
  <si>
    <t>RKvk4B</t>
  </si>
  <si>
    <t>1504f16edfcefef7300e3b2cfa51836c61b296c09cd665c9bca594134f47f31d</t>
  </si>
  <si>
    <t>Sarpy</t>
  </si>
  <si>
    <t>14734 Friend Plaza, Springfield, NE 68059, United States</t>
  </si>
  <si>
    <t>68059</t>
  </si>
  <si>
    <t>Facebook Data Center</t>
  </si>
  <si>
    <t>RK8EVG</t>
  </si>
  <si>
    <t>0b5c53850f14b3a2946f88efd2af153edf9bc798ca3457cecfee76e612248a18</t>
  </si>
  <si>
    <t>Stanton Springs - Campus 1</t>
  </si>
  <si>
    <t>100 Move Fast Way, Social Circle, GA 30025, United States</t>
  </si>
  <si>
    <t>Social Circle</t>
  </si>
  <si>
    <t>30025</t>
  </si>
  <si>
    <t>BXNW1G</t>
  </si>
  <si>
    <t>645feb9728f81259e754d20756e2df7acf948676805132f4ef4c763d82415cec</t>
  </si>
  <si>
    <t>Stanton Springs - Campus 2</t>
  </si>
  <si>
    <t>Shire Pkwy, Social Circle, GA 30025, United States</t>
  </si>
  <si>
    <t>BXZnjG</t>
  </si>
  <si>
    <t>f4028e08edb0e1cc56b27511b63c146449b03442d679737bc8d1bd9cfc4191aa</t>
  </si>
  <si>
    <t>Temple</t>
  </si>
  <si>
    <t>1721 Eberhart Rd, Temple, TX 76504</t>
  </si>
  <si>
    <t>Bell County</t>
  </si>
  <si>
    <t>76504</t>
  </si>
  <si>
    <t>RjWmJG</t>
  </si>
  <si>
    <t>860b4f85c56c41418c5a0965efb320bb2445c35aa565efa45099076ab9e8cf63</t>
  </si>
  <si>
    <t>MetLife</t>
  </si>
  <si>
    <t>MetLife - Rensselaer Tech Park</t>
  </si>
  <si>
    <t>500 Jordan Rd, Troy, NY 12180</t>
  </si>
  <si>
    <t>Rensselaer County</t>
  </si>
  <si>
    <t>12180</t>
  </si>
  <si>
    <t>Rensselaer Technology Park</t>
  </si>
  <si>
    <t>wOvVoG</t>
  </si>
  <si>
    <t>5deadb372a36667ca0c7f45591df0f854ecf10479777f0e2bcb94306eb88b41e</t>
  </si>
  <si>
    <t>Metrobloks</t>
  </si>
  <si>
    <t>MIA MB01</t>
  </si>
  <si>
    <t>500 NW 137th Ave., Miami, FL 33178</t>
  </si>
  <si>
    <t>33182</t>
  </si>
  <si>
    <t>Gk44Nw</t>
  </si>
  <si>
    <t>ceea31f86493cb392549c328a37df77b67c5ee9eb6e40ea2c0ad95f12779b1f5</t>
  </si>
  <si>
    <t>MetroEdge</t>
  </si>
  <si>
    <t>IMD1</t>
  </si>
  <si>
    <t>1951 West Hastings Chicago, IL</t>
  </si>
  <si>
    <t>60608</t>
  </si>
  <si>
    <t>Medical Village</t>
  </si>
  <si>
    <t>BXZp1G</t>
  </si>
  <si>
    <t>03aee05b513fb8ad7a75e5c777d4e5a0fccd1babb85debf4820a26156e14afd2</t>
  </si>
  <si>
    <t>Metronet</t>
  </si>
  <si>
    <t>Evansville</t>
  </si>
  <si>
    <t>3701 Communications Way, Evansville, IN 47715, United States</t>
  </si>
  <si>
    <t>Vanderburgh County</t>
  </si>
  <si>
    <t>Knight Township</t>
  </si>
  <si>
    <t>R8J4Dw</t>
  </si>
  <si>
    <t>f494733c3bb8962550ef440f0559f00cd621cf1746d4766a23e6f052f1b2c96d</t>
  </si>
  <si>
    <t>Microsoft</t>
  </si>
  <si>
    <t>13490 University Blvd &amp; 5941 Wellington Road</t>
  </si>
  <si>
    <t>13490 University Blvd &amp; 5941 Wellington Road, Gainesville, VA 20155</t>
  </si>
  <si>
    <t>B13oyG</t>
  </si>
  <si>
    <t>c3ea95d0ec7884472bb0e9ce304d83db8b26d135fd9fd8e315f92c29a3b177c6</t>
  </si>
  <si>
    <t>41840 Growth Mindset Lane</t>
  </si>
  <si>
    <t>41840 Growth Mindset Ln, Stone Ridge, VA 20105</t>
  </si>
  <si>
    <t>GageLB</t>
  </si>
  <si>
    <t>bba2e873b30dbc16957565c710731aa8886cd5641481cdbc0bfc837036915e5e</t>
  </si>
  <si>
    <t>Alluvion</t>
  </si>
  <si>
    <t>550 White Crane Rd, West Des Moines, IA 50265, USA</t>
  </si>
  <si>
    <t>West Des Moines</t>
  </si>
  <si>
    <t>50265</t>
  </si>
  <si>
    <t>GkWPNG</t>
  </si>
  <si>
    <t>70c9a990e4436c75d02945b537b50472f35d830599d2c6629e6f144be3d30128</t>
  </si>
  <si>
    <t>Bison Business Park</t>
  </si>
  <si>
    <t>Wapiti Trail, South Greeley, Wyoming. 82007</t>
  </si>
  <si>
    <t>BPJ0bG</t>
  </si>
  <si>
    <t>8f6fd0851c16eacca01c28b32e2fd8e90312646383ae912578492c73a7813c74</t>
  </si>
  <si>
    <t>Boyd Farms</t>
  </si>
  <si>
    <t>1260 Old Maiden Rd, Maiden, NC 28650, United States</t>
  </si>
  <si>
    <t>GLoAQR</t>
  </si>
  <si>
    <t>66dbbf9d914faa3420490fd1581b282f0d6f014aefef52beb3b0d3ba359b0c28</t>
  </si>
  <si>
    <t>Boydton</t>
  </si>
  <si>
    <t>101 Herbert Dr, Boydton, VA 23917</t>
  </si>
  <si>
    <t>23917</t>
  </si>
  <si>
    <t>RN9OVB</t>
  </si>
  <si>
    <t>deaceb7c77954e7e64d18daf9591afb94df564323dacb1e63ed881f1292dfa36</t>
  </si>
  <si>
    <t>Canyon Park Business Center</t>
  </si>
  <si>
    <t>22422 29th Dr SE, Bothell, WA 98021, USA</t>
  </si>
  <si>
    <t>Bothell</t>
  </si>
  <si>
    <t>98021</t>
  </si>
  <si>
    <t>BAQ2xB</t>
  </si>
  <si>
    <t>f15b7bb5d2cdd0f8d241c4771d10d44633a6542f195781179d15c4b7388e51c2</t>
  </si>
  <si>
    <t>Castroville Campus</t>
  </si>
  <si>
    <t>18844 FM 1957, Castroville, TX</t>
  </si>
  <si>
    <t>Medina County</t>
  </si>
  <si>
    <t>Rio Medina</t>
  </si>
  <si>
    <t>78253</t>
  </si>
  <si>
    <t>RjJEeR</t>
  </si>
  <si>
    <t>a50c3a480f0eec03ff94e12804ee9eb485c65c2061f59925e6ff08973f7bc76e</t>
  </si>
  <si>
    <t>Cheyenne Business Parkway</t>
  </si>
  <si>
    <t>7700 Commerce Circle, Cheyenne, WY, 82007</t>
  </si>
  <si>
    <t>82001</t>
  </si>
  <si>
    <t>R4J8ow</t>
  </si>
  <si>
    <t>f0d2630044c1d668d59c7bb264046be79608d5d226eb1af23820e4aebffcb8f5</t>
  </si>
  <si>
    <t>501 Port Industrial Way, Quincy, WA 98848, United States</t>
  </si>
  <si>
    <t>RpYy5G</t>
  </si>
  <si>
    <t>9e89dc7325b676dd3be7a953e5dc2a10b36670324fea62230777b3082f74f71b</t>
  </si>
  <si>
    <t>Crane Clean Energy Center</t>
  </si>
  <si>
    <t>River Rd, Middletown, PA 17057</t>
  </si>
  <si>
    <t>Dauphin County</t>
  </si>
  <si>
    <t>Londonderry Township</t>
  </si>
  <si>
    <t>Three Mile Island Nuclear Generating Station</t>
  </si>
  <si>
    <t>RvY6MB</t>
  </si>
  <si>
    <t>ed2b6ccc5c3a2a0f2363fa23b378a84958cd37d1d877f54178f8cc1d4568cced</t>
  </si>
  <si>
    <t>1601 River Road. Douglasville, GA 30122 USA</t>
  </si>
  <si>
    <t>G6E3NR</t>
  </si>
  <si>
    <t>a605658a89ae105d59f4433104d28112a16fbdb47156808f53608ee4701f2438</t>
  </si>
  <si>
    <t>DSM 14 3655 S.E Soteria Ave</t>
  </si>
  <si>
    <t>3655 SE Soteria Ave, West Des Moines, IA 50265, USA</t>
  </si>
  <si>
    <t>BJv9WB</t>
  </si>
  <si>
    <t>693a097a1b047362dfc1d283a8590ff82f59d4d4599054b621606b7b6d62a8cf</t>
  </si>
  <si>
    <t>East Point</t>
  </si>
  <si>
    <t>Ben Hill Road in Southmeadow East, close to Hartsfield-Jackson airport in Fulton County</t>
  </si>
  <si>
    <t>30349</t>
  </si>
  <si>
    <t>RNeAYB</t>
  </si>
  <si>
    <t>91c74bd3671ba1f703cee845b5f1312afe081462607df260f74239f51ba9677d</t>
  </si>
  <si>
    <t>East Wenatchee</t>
  </si>
  <si>
    <t xml:space="preserve"> Urban Industrial  Way, East Wenatchee, Washington </t>
  </si>
  <si>
    <t>98802</t>
  </si>
  <si>
    <t>BEWXdG</t>
  </si>
  <si>
    <t>35598900d354efc540295772471a7a415fb87dfc03c42ebf88506e5e87d568df</t>
  </si>
  <si>
    <t>12901 W Olive Ave, El Mirage, AZ 85335, USA</t>
  </si>
  <si>
    <t>GDoepR</t>
  </si>
  <si>
    <t>24c2954de7769a6b4827a4ddd94338de23c58522f31ad773395596ee6f13a003</t>
  </si>
  <si>
    <t>Elk Grove Technology Park</t>
  </si>
  <si>
    <t>201 Innovation Drive, Elk Grove Village, IL 60007</t>
  </si>
  <si>
    <t>RQ3Law</t>
  </si>
  <si>
    <t>e4793bb9cb6972fbaddcf7d59f9e1128d73715fd12be3560f05f05efbbf822aa</t>
  </si>
  <si>
    <t>Fairwater</t>
  </si>
  <si>
    <t>4800 90th Street, Mount Pleasant, Racine County, Wisconsin 53403</t>
  </si>
  <si>
    <t>Racine County</t>
  </si>
  <si>
    <t>Mount Pleasant</t>
  </si>
  <si>
    <t>B13K4G</t>
  </si>
  <si>
    <t>29ace144bf9102d783292ee975ffd06294550e1c30062f9e4769245adb9df8fc</t>
  </si>
  <si>
    <t>Ginger-East</t>
  </si>
  <si>
    <t>1475 SE Maffitt Lake Ct, West Des Moines, IA 50265, USA</t>
  </si>
  <si>
    <t>B13bMG</t>
  </si>
  <si>
    <t>2c2547fa6999e1e1cb19a206ef59ce6949b0bebc71af8ecf236169dac54495a5</t>
  </si>
  <si>
    <t>Ginger-West</t>
  </si>
  <si>
    <t>11100 Booneville Rd, West Des Moines, IA 50266, USA</t>
  </si>
  <si>
    <t>50266-7043</t>
  </si>
  <si>
    <t>RKv3qB</t>
  </si>
  <si>
    <t>a5f2ba529c13e55646b178974bc106f0e43083a690fef9799c853d9f1bc76343</t>
  </si>
  <si>
    <t>Goodyear 1</t>
  </si>
  <si>
    <t>3785 N Citrus Rd, Goodyear, AZ 85395, United States</t>
  </si>
  <si>
    <t>85395</t>
  </si>
  <si>
    <t>Bb08KG</t>
  </si>
  <si>
    <t>1dbebdbd2398b9a27121ce5c958daff23f271d10515b311e18632a499c4d45d4</t>
  </si>
  <si>
    <t>Goodyear 2</t>
  </si>
  <si>
    <t>14250 W La Estrella, Goodyear, AZ 85338, United States</t>
  </si>
  <si>
    <t>RvPX0w</t>
  </si>
  <si>
    <t>ee8f553fb72519aa7bd02d8bb60b4ecdc4092e26ee32d75f838d3fe4bfabf59b</t>
  </si>
  <si>
    <t>Hansen Farm Road</t>
  </si>
  <si>
    <t>13050 Hansen Farm Rd, Manassas, VA 20109</t>
  </si>
  <si>
    <t>R8mMVG</t>
  </si>
  <si>
    <t>deac25373b072874a048f67a621b81764de57d32c3e358cfafb1498c886047a4</t>
  </si>
  <si>
    <t>Hillcrest Data Center</t>
  </si>
  <si>
    <t>210 Tunstall Rd, South Hill, VA 23970</t>
  </si>
  <si>
    <t>South Hill</t>
  </si>
  <si>
    <t>23950</t>
  </si>
  <si>
    <t>RKZrDB</t>
  </si>
  <si>
    <t>e621efc5aadf2a8ccf3c3bec4636abd786d3f1df7de526bc5743f8442acbf443</t>
  </si>
  <si>
    <t>Hoffman Estates/CHI05</t>
  </si>
  <si>
    <t>2047 Lakewood Blvd, Hoffman Estates, Illinois</t>
  </si>
  <si>
    <t>Barrington</t>
  </si>
  <si>
    <t>60010</t>
  </si>
  <si>
    <t>Barrington Township</t>
  </si>
  <si>
    <t>GLjoZB</t>
  </si>
  <si>
    <t>11fdbba5f122d46d3d9eaafef4ffee35a374124a260791d4bd589803e7dd4147</t>
  </si>
  <si>
    <t>Kenosha Microsoft</t>
  </si>
  <si>
    <t>38th Street Kenosha, Wisconsin 53144</t>
  </si>
  <si>
    <t>Kenosha County</t>
  </si>
  <si>
    <t>Union Grove</t>
  </si>
  <si>
    <t>53182</t>
  </si>
  <si>
    <t>Paris</t>
  </si>
  <si>
    <t>GdzVNB</t>
  </si>
  <si>
    <t>cff9a100902af5354a42f8ea2119d02ee7b85c6bbb3e48fb93fbd96fd3747c85</t>
  </si>
  <si>
    <t>Lyle Creek</t>
  </si>
  <si>
    <t>Northern Dr NW, Conover, NC 28613, USA</t>
  </si>
  <si>
    <t>Conover</t>
  </si>
  <si>
    <t>28613</t>
  </si>
  <si>
    <t>BX6kDG</t>
  </si>
  <si>
    <t>511a90ee59c57304cef8f4b59a3e24f50ef3f0a63904dd38800552a0d8da6ddb</t>
  </si>
  <si>
    <t>Malaga</t>
  </si>
  <si>
    <t>5375 Malaga-Alcoa Highway, Malaga, WA 98828</t>
  </si>
  <si>
    <t>Chelan County</t>
  </si>
  <si>
    <t>98850</t>
  </si>
  <si>
    <t>RN886w</t>
  </si>
  <si>
    <t>e1a5b112ca0bd09f9648d2a6c2a874bcbdc96264ce18a3c5113afb0c0b974672</t>
  </si>
  <si>
    <t>Microsoft Becker</t>
  </si>
  <si>
    <t>55319</t>
  </si>
  <si>
    <t>R0Z3Kw</t>
  </si>
  <si>
    <t>8cc4b329aa788b0abfc69a3e8ad43578ffe45dbdd5f45686d15622b9ea3d19e8</t>
  </si>
  <si>
    <t>Microsoft Cherry Valley</t>
  </si>
  <si>
    <t>U.S. Route 20 and Wheeler Road, Flora Township, IL. 61016</t>
  </si>
  <si>
    <t>Cherry Valley</t>
  </si>
  <si>
    <t>61016</t>
  </si>
  <si>
    <t>R8m4WG</t>
  </si>
  <si>
    <t>cb68ced031ca82123700affbf95d689f0ed71fbfb2ae34cfb078e7f048da53ee</t>
  </si>
  <si>
    <t>Microsoft Compass Creek</t>
  </si>
  <si>
    <t>19540 Compass Creek Pkwy, Leesburg, VA 20175</t>
  </si>
  <si>
    <t>RxZEaw</t>
  </si>
  <si>
    <t>b31d28b96dab88551e9c80760a4855fd78f7e673e4f59c5ce6865684dacc7836</t>
  </si>
  <si>
    <t>Microsoft Grand Rapids</t>
  </si>
  <si>
    <t>76th St SE &amp; Patterson Ave SE, Caledonia Township, MI 49316</t>
  </si>
  <si>
    <t>Caledonia</t>
  </si>
  <si>
    <t>49316</t>
  </si>
  <si>
    <t>Caledonia Charter Township</t>
  </si>
  <si>
    <t>GyYryG</t>
  </si>
  <si>
    <t>9152eee71281ce10e1bfbab6b4666c5426159b545fb93e84cb24bfedf1ed308f</t>
  </si>
  <si>
    <t>Microsoft Heath</t>
  </si>
  <si>
    <t>975 Thornwood Drive, Heath, OH 43056</t>
  </si>
  <si>
    <t>43055</t>
  </si>
  <si>
    <t>BqvMMR</t>
  </si>
  <si>
    <t>00c49f829036c208f4af6c79cee8bad4a878c2bd8e68514f229fa86e4ede73a6</t>
  </si>
  <si>
    <t>Microsoft Hebron/Union Township</t>
  </si>
  <si>
    <t>129 N High St, Hebron, OH 43025</t>
  </si>
  <si>
    <t>Hebron</t>
  </si>
  <si>
    <t>43025</t>
  </si>
  <si>
    <t>R4k0gB</t>
  </si>
  <si>
    <t>70df566cdc556ba3df66f49e0f9c3c230cdcc0ecdab14af01f9acf8db9bba4dc</t>
  </si>
  <si>
    <t>Microsoft La Porte</t>
  </si>
  <si>
    <t>300 Boyd Blvd. La Porte, IN. 46350</t>
  </si>
  <si>
    <t>LaPorte County</t>
  </si>
  <si>
    <t>La Porte</t>
  </si>
  <si>
    <t>46350</t>
  </si>
  <si>
    <t>Gm6Dgw</t>
  </si>
  <si>
    <t>8a19c8a7e02334dee130e1561085dedbb1f01e9c346f539667ad26a6595e727c</t>
  </si>
  <si>
    <t>Microsoft LYH03-08</t>
  </si>
  <si>
    <t>39 Commerce Dr, Clarksville, VA 23927</t>
  </si>
  <si>
    <t>23927</t>
  </si>
  <si>
    <t>RpZOmw</t>
  </si>
  <si>
    <t>0f0863df941bab435369426635a0d5e4a5fc6f3e364b09c021f1be3058338549</t>
  </si>
  <si>
    <t>Microsoft Pataskala</t>
  </si>
  <si>
    <t>Refugee Road SW &amp; Mink St.</t>
  </si>
  <si>
    <t>BXZLVG</t>
  </si>
  <si>
    <t>1d6020e72fefc2d5d0234d80dbd815842772b23ffa917a89448048b86ca28ef0</t>
  </si>
  <si>
    <t>Microsoft Pebble Run</t>
  </si>
  <si>
    <t>23540 Pebble Run Pl, Sterling, VA 20166</t>
  </si>
  <si>
    <t>GnqpoR</t>
  </si>
  <si>
    <t>b3d1443d37b4be916c3b515cf836fc11f0640d44c2233bd96a64415c01ae5669</t>
  </si>
  <si>
    <t>Microsoft Plano</t>
  </si>
  <si>
    <t>60545</t>
  </si>
  <si>
    <t>Little Rock Township</t>
  </si>
  <si>
    <t>Gz3kVw</t>
  </si>
  <si>
    <t>9b68b7797a6870c0f0c2a8e4721a89f0884896c7ee490372fa0c92067e3a6960</t>
  </si>
  <si>
    <t>Microsoft St. Joe Farm</t>
  </si>
  <si>
    <t>52682 Currant Rd. Granger, IN. 46530</t>
  </si>
  <si>
    <t>Granger</t>
  </si>
  <si>
    <t>46530</t>
  </si>
  <si>
    <t>RKvV3B</t>
  </si>
  <si>
    <t>3ef1a7809a2b24052ae3ebfb6422468b95c08075036728c796820aa598122ea5</t>
  </si>
  <si>
    <t>Microsoft Van Meter</t>
  </si>
  <si>
    <t>Van Meter</t>
  </si>
  <si>
    <t>50261</t>
  </si>
  <si>
    <t>GdA3bw</t>
  </si>
  <si>
    <t>c9516bb2e66a8124cc3d030e955836156d9e8730301c53c871caf45221c27ee2</t>
  </si>
  <si>
    <t>MNZ01 Balls Ford Road Data Center</t>
  </si>
  <si>
    <t>11314 Balls Ford Rd, Manassas, VA 20109</t>
  </si>
  <si>
    <t>w5zdqB</t>
  </si>
  <si>
    <t>1baabac22a7df8e78ae6b2e13b2fbe510ed3092022b19b901580446b473480bd</t>
  </si>
  <si>
    <t>Mount Pleasant Microsoft</t>
  </si>
  <si>
    <t>Cudahy</t>
  </si>
  <si>
    <t>53110</t>
  </si>
  <si>
    <t>Mitchell Field</t>
  </si>
  <si>
    <t>R0lygR</t>
  </si>
  <si>
    <t>0d496d068fa6f99b8150cd9a3b4a98ca90934e48427eb3edbc3729ee96b4babc</t>
  </si>
  <si>
    <t>Nevada, United States</t>
  </si>
  <si>
    <t>Lyon County</t>
  </si>
  <si>
    <t>Silver Springs</t>
  </si>
  <si>
    <t>GDoxpR</t>
  </si>
  <si>
    <t>ec7d20529889fd957ca0a5a9f07b7aa69ae64dd3a5fc30cdbc06b99e77fb9092</t>
  </si>
  <si>
    <t>0 Beech Road, New Albany, Ohio, 43054</t>
  </si>
  <si>
    <t>GLvWeB</t>
  </si>
  <si>
    <t>d0ad51d4a320572ee02bb6f8482766138d9b312f31eab8aabfbe6e138541c752</t>
  </si>
  <si>
    <t>8680 Ganton Pkwy, New Albany, OH 43062</t>
  </si>
  <si>
    <t>B7V7Lw</t>
  </si>
  <si>
    <t>2473a325388bff3b79df994a417c8a62edc88d1c21173ed1da27f8c4c9d9020f</t>
  </si>
  <si>
    <t>Newton</t>
  </si>
  <si>
    <t>Stover Ct, Newton, NC 28658, USA</t>
  </si>
  <si>
    <t>B725Pw</t>
  </si>
  <si>
    <t>b4f184a3d0d0e143e8924f95a3c9b145a509101cd207cc7d0784e138d2473310</t>
  </si>
  <si>
    <t>North Range Business Park</t>
  </si>
  <si>
    <t>644 Logistics Drive. Cheyenne, Wyoming 82001</t>
  </si>
  <si>
    <t>BX6PVG</t>
  </si>
  <si>
    <t>adab1ce94ecc2da1a924e4534a605ac550a5923d2df9c6310ef3da22da38fcf5</t>
  </si>
  <si>
    <t>Osmium</t>
  </si>
  <si>
    <t>5855 SW Kerry St, West Des Moines, IA 50061</t>
  </si>
  <si>
    <t>50061</t>
  </si>
  <si>
    <t>w9EdKw</t>
  </si>
  <si>
    <t>c7a69bca126f21f7ecce3214d22f5791e38f1064a17f87377e10025180861825</t>
  </si>
  <si>
    <t>Oxford</t>
  </si>
  <si>
    <t>1515 NW Port Industrial Parkway in Quincy, Washington</t>
  </si>
  <si>
    <t>BJg08R</t>
  </si>
  <si>
    <t>3b2c7ddcc64016680927ad8555e18316baeb59bd0d5bfd5f0b8e5be2cfe15d44</t>
  </si>
  <si>
    <t>Palmetto</t>
  </si>
  <si>
    <t>0 Williams Rd, Palmetto, GA 30268, United States</t>
  </si>
  <si>
    <t>30268</t>
  </si>
  <si>
    <t>wMrD4B</t>
  </si>
  <si>
    <t>3464fcd6f217445f362a9fb8b04edaed5ee3464834b2abf0139b2256f5158277</t>
  </si>
  <si>
    <t>Person Data Center</t>
  </si>
  <si>
    <t>2352 COUNTRY CLUB RD ROXBORO NC 27574</t>
  </si>
  <si>
    <t>Person County</t>
  </si>
  <si>
    <t>Woodsdale</t>
  </si>
  <si>
    <t>27574</t>
  </si>
  <si>
    <t>Rj0KQw</t>
  </si>
  <si>
    <t>0ac652192f1fe52ee746a88ddf050ffe121eae499020664e3dfdd6308dd58a4e</t>
  </si>
  <si>
    <t>Project Mountain</t>
  </si>
  <si>
    <t>8855 Grand Ave, West Des Moines, IA, USA.</t>
  </si>
  <si>
    <t>50266</t>
  </si>
  <si>
    <t>Rp7MdB</t>
  </si>
  <si>
    <t>7af5adbaa3fb9c1df11a5cceb497eaa412c4a638f6b6870af9ce537e50725b30</t>
  </si>
  <si>
    <t>Project Ruthenium</t>
  </si>
  <si>
    <t>Woodland Ave West Des Moines, Iowa</t>
  </si>
  <si>
    <t>Cumming</t>
  </si>
  <si>
    <t>50061-8500</t>
  </si>
  <si>
    <t>GrvaXG</t>
  </si>
  <si>
    <t>ecc71419698e2cf7a67ada92f842238ba4caa85d30f9104459ac7ec082f092dc</t>
  </si>
  <si>
    <t>Redmond Ridge 1</t>
  </si>
  <si>
    <t>23050 NE 102nd St, Redmond, WA 98053, United States</t>
  </si>
  <si>
    <t>Union Hill-Novelty Hill</t>
  </si>
  <si>
    <t>98053</t>
  </si>
  <si>
    <t>Redmond Ridge</t>
  </si>
  <si>
    <t>B72gbw</t>
  </si>
  <si>
    <t>361351ea408a9a38a6525c34d5891c376b047c357059ada7d661ed5f40c2e1b4</t>
  </si>
  <si>
    <t>Huffaker Rd NW, Rome, GA 30165, USA</t>
  </si>
  <si>
    <t>R8m5PG</t>
  </si>
  <si>
    <t>cb917c2d9bba0c1ae32719de7db081da9ffd0b61e7ea58c1f5b82ae35bd811a6</t>
  </si>
  <si>
    <t>San Jose 2</t>
  </si>
  <si>
    <t>Orchard Parkway and Component Drive, San Jose, California 95131</t>
  </si>
  <si>
    <t>94136</t>
  </si>
  <si>
    <t>RKl53G</t>
  </si>
  <si>
    <t>2c73e6a4cf25b808727b4de1b041be50fcc2a2a65b68c6380342cba6b5ad67cb</t>
  </si>
  <si>
    <t>SAT14</t>
  </si>
  <si>
    <t>3545 Wiseman Boulevard, San Antonio, Texas 78251</t>
  </si>
  <si>
    <t>North San Antonio Hills</t>
  </si>
  <si>
    <t>BEL9Vw</t>
  </si>
  <si>
    <t>d3124d960ce07691d4b78ec6d14d7fa95930bda66ec0b85b2d744a167e74bddf</t>
  </si>
  <si>
    <t>SAT15</t>
  </si>
  <si>
    <t>3555 Westover Link, San Antonio, Texas 78251, USA</t>
  </si>
  <si>
    <t>RKZAqB</t>
  </si>
  <si>
    <t>bf36218683d14b53c57ea33d0c53f7bf7d9ddc942b8f4a30bb68e5d28f973949</t>
  </si>
  <si>
    <t>SAT89/90</t>
  </si>
  <si>
    <t>2995 US HWY 90 W Castroville, TX 78009</t>
  </si>
  <si>
    <t>78009</t>
  </si>
  <si>
    <t>wo1p1R</t>
  </si>
  <si>
    <t>14232d12fa03f695eca1cd2bc32a2a4d5958ecfd50e94838937f3b16ff157192</t>
  </si>
  <si>
    <t>SJDC Campus</t>
  </si>
  <si>
    <t>1657 Alviso-Milpitas Road, Alviso, San Jose, CA, USA</t>
  </si>
  <si>
    <t>Alviso</t>
  </si>
  <si>
    <t>B1323G</t>
  </si>
  <si>
    <t>53b641c5202cae3c59ed1d2da29104795d3f3a58353797e73a1d19633495dfc6</t>
  </si>
  <si>
    <t>Stover</t>
  </si>
  <si>
    <t>3830 Hickory Lincolnton Hwy, Newton, NC 28658</t>
  </si>
  <si>
    <t>Hickory</t>
  </si>
  <si>
    <t>28602</t>
  </si>
  <si>
    <t>GlW07R</t>
  </si>
  <si>
    <t>14d19a79909ea2470d8d1ab4e5b964ba9b2880abdb3b6ea6aab891fdbdafeecf</t>
  </si>
  <si>
    <t>Texas Research Park</t>
  </si>
  <si>
    <t>15000 Lambda Dr, San Antonio, Texas 78245, USA</t>
  </si>
  <si>
    <t>Gk3q6G</t>
  </si>
  <si>
    <t>fb8764f11e707e0c910a0294ee007678e96a9022582d01e12561f367a8c2e116</t>
  </si>
  <si>
    <t>Westover Hills Campus</t>
  </si>
  <si>
    <t>5150 Rogers Rd &amp; 3535 Wiseman Blvd, San Antonio, Texas 78251, USA</t>
  </si>
  <si>
    <t>w9EjKw</t>
  </si>
  <si>
    <t>9507f52e9c91eec43e7f5fc135c4306e74a24e7bd2f072818a4f072560ff7796</t>
  </si>
  <si>
    <t>Mid-West Data Depot</t>
  </si>
  <si>
    <t>South Bend - Monroe</t>
  </si>
  <si>
    <t>316 E Monroe St, South Bend, IN 46601, USA</t>
  </si>
  <si>
    <t>gB7vQw</t>
  </si>
  <si>
    <t>689500260c997d68475bd1516021a0b7452c23a683883979fa230a866ca724ab</t>
  </si>
  <si>
    <t>Midco</t>
  </si>
  <si>
    <t>4624 28th Ave S, Fargo, ND 58104, USA</t>
  </si>
  <si>
    <t>R0mODG</t>
  </si>
  <si>
    <t>49a80e05596b750f2a3657fdcd48fc94c74c7cd0c885896a217d06a5cac25552</t>
  </si>
  <si>
    <t>Grand Forks Data Center</t>
  </si>
  <si>
    <t xml:space="preserve"> 3251 32nd Ave S Suite F, Grand Forks, ND 58201, United States</t>
  </si>
  <si>
    <t>Gmxy9R</t>
  </si>
  <si>
    <t>c887e5378e1b2a0ed5c4f10e316ad95198899f101317b0650e33be6bce449c20</t>
  </si>
  <si>
    <t>Sioux Falls Data Center</t>
  </si>
  <si>
    <t>5401 S Solberg Ave, Sioux Falls, SD 57108, USA</t>
  </si>
  <si>
    <t>Minnehaha County</t>
  </si>
  <si>
    <t>Sioux Falls</t>
  </si>
  <si>
    <t>57108</t>
  </si>
  <si>
    <t>RxPOZR</t>
  </si>
  <si>
    <t>9aa0d3413c4fe609e61d948526fdb96e179b4918ade551401a3fa823dc06be63</t>
  </si>
  <si>
    <t>Sioux Falls Data Center II</t>
  </si>
  <si>
    <t>3601 S Duluth Ave, Sioux Falls, SD 57105, USA</t>
  </si>
  <si>
    <t>57105</t>
  </si>
  <si>
    <t>RNeM8B</t>
  </si>
  <si>
    <t>c0c23824ebbb9ff5c64216bb4a2095baeabba799980d251fdcc89053e5db4fe3</t>
  </si>
  <si>
    <t>Yankton Data Center</t>
  </si>
  <si>
    <t>2106 W City Limits Rd, Yankton, SD 57078, USA</t>
  </si>
  <si>
    <t>Yankton County</t>
  </si>
  <si>
    <t>Yankton</t>
  </si>
  <si>
    <t>57078</t>
  </si>
  <si>
    <t>GzYlpR</t>
  </si>
  <si>
    <t>c744d5b34cc461e1a4111dfb5e71aac7e715fc25625a1c4a87fe48f2db758087</t>
  </si>
  <si>
    <t>MIDCON Recovery Solutions</t>
  </si>
  <si>
    <t>Oklahoma City</t>
  </si>
  <si>
    <t>13431 Broadway Ext. Suite #500 Oklahoma City, Oklahoma 73114, USA</t>
  </si>
  <si>
    <t>Oklahoma County</t>
  </si>
  <si>
    <t>73114</t>
  </si>
  <si>
    <t>RKZN4B</t>
  </si>
  <si>
    <t>b67ae6608a7df2442df93b1a69f29cae91b71bef1c1e22eeb92a04f82c1aa95a</t>
  </si>
  <si>
    <t>Middletown Data</t>
  </si>
  <si>
    <t>Middletown Data Centre</t>
  </si>
  <si>
    <t>8209 Valley Pike,  Middletown, Virginia 22645</t>
  </si>
  <si>
    <t>Middletown</t>
  </si>
  <si>
    <t>22645</t>
  </si>
  <si>
    <t>RKlbDG</t>
  </si>
  <si>
    <t>83463e430fec387343d74a0e9277bda3f3a90264a3261482bfb9f4ceb202d62d</t>
  </si>
  <si>
    <t>Mississippi ITS</t>
  </si>
  <si>
    <t>State Data Center - Jackson</t>
  </si>
  <si>
    <t>3771 Eastwood Dr, Jackson, MS 39211, USA</t>
  </si>
  <si>
    <t>Hinds County</t>
  </si>
  <si>
    <t>Jackson</t>
  </si>
  <si>
    <t>39211</t>
  </si>
  <si>
    <t>GlP27G</t>
  </si>
  <si>
    <t>099e2b1148c19016f3da9ce057692bc78a3711aaecfd74967d90a373def1876c</t>
  </si>
  <si>
    <t>MMM Acquisitions</t>
  </si>
  <si>
    <t>1751 Bells Ferry Road</t>
  </si>
  <si>
    <t>1751 Bells Ferry Road, Marietta, GA</t>
  </si>
  <si>
    <t>Marietta</t>
  </si>
  <si>
    <t>30066</t>
  </si>
  <si>
    <t>Gz7JVw</t>
  </si>
  <si>
    <t>fcbef779360b27a554caf341f93336153f2fd742188f704eb5cb6bbbc696cfc1</t>
  </si>
  <si>
    <t>Molina Healthcare</t>
  </si>
  <si>
    <t>Molina Healthcare Data Center</t>
  </si>
  <si>
    <t>5610 Turing Dr SE, Albuquerque, NM 87105</t>
  </si>
  <si>
    <t>87106</t>
  </si>
  <si>
    <t>wM2YZB</t>
  </si>
  <si>
    <t>fe7ed2ce5cafbf62788bf01c7ea026c93a7b276622fcad88f31eb18246e4f04d</t>
  </si>
  <si>
    <t>Montana Opticom</t>
  </si>
  <si>
    <t>Bozeman Data Centre</t>
  </si>
  <si>
    <t>144 Quail Run Road, Bozeman, Montana 59718, USA</t>
  </si>
  <si>
    <t>Four Corners</t>
  </si>
  <si>
    <t>59772</t>
  </si>
  <si>
    <t>RQLE1B</t>
  </si>
  <si>
    <t>37c6d2896e1e1f7643ef426fd3e0d0afa9dbc376b16d92664bd6217d6c19414d</t>
  </si>
  <si>
    <t>Montana Property Group LLC</t>
  </si>
  <si>
    <t>Project Spalding</t>
  </si>
  <si>
    <t>115 Alicia Dr, Griffin, GA 30223</t>
  </si>
  <si>
    <t>East Griffin</t>
  </si>
  <si>
    <t>GdzzqB</t>
  </si>
  <si>
    <t>01ee1b70c992c83c01148e4044e77bbc611686e7fa91801b74d64b47e7aba120</t>
  </si>
  <si>
    <t>Morgan Stanley</t>
  </si>
  <si>
    <t>Morgan Stanley Somerset</t>
  </si>
  <si>
    <t>665 Howard Avenue, Somerset, New Jersey</t>
  </si>
  <si>
    <t>RNeQnB</t>
  </si>
  <si>
    <t>00079da577bf5d65e7dcf6bf5d9b8290456fcb963e99e95df898087efa3bf555</t>
  </si>
  <si>
    <t>NASA</t>
  </si>
  <si>
    <t>Katherine G. Johnson Computational Research Facility</t>
  </si>
  <si>
    <t>1 Lindbergh Way, Hampton, VA 23681</t>
  </si>
  <si>
    <t>City of Hampton</t>
  </si>
  <si>
    <t>23665</t>
  </si>
  <si>
    <t>GLvozB</t>
  </si>
  <si>
    <t>b0d1ebac4379aa0e98add9961abbb024c856256a6609f463331dc04fcba1858e</t>
  </si>
  <si>
    <t>NCCIPS</t>
  </si>
  <si>
    <t>Stennis Space Center, MS 39529, USA</t>
  </si>
  <si>
    <t>Hancock County</t>
  </si>
  <si>
    <t>39529</t>
  </si>
  <si>
    <t>GrV04G</t>
  </si>
  <si>
    <t>7f2d42845441f3eee869a6eb306b3b6579cd8890c6b94e52a5d5f9163e70659b</t>
  </si>
  <si>
    <t>Natelli Investments LLC</t>
  </si>
  <si>
    <t>New Hill Digital Campus</t>
  </si>
  <si>
    <t>4300 Shearon Harris Road, New Hill, NC 27562</t>
  </si>
  <si>
    <t>New Hill</t>
  </si>
  <si>
    <t>27562</t>
  </si>
  <si>
    <t>RvX7Yw</t>
  </si>
  <si>
    <t>49e2ee654af7a5b0e1372b336ee6d67e557090662f5b5b7c951992a4a5b6af07</t>
  </si>
  <si>
    <t>National Center for Atmospheric Research</t>
  </si>
  <si>
    <t>NCAR-Wyoming Supercomputing Center</t>
  </si>
  <si>
    <t xml:space="preserve">  8120 Veta Drive, Cheyenne, WY 82009, USA</t>
  </si>
  <si>
    <t>82009</t>
  </si>
  <si>
    <t>RKZQzB</t>
  </si>
  <si>
    <t>d0bd3c45304eff61d0340cb1ef53377e5293766555d1791cf729dcbed00e0c9d</t>
  </si>
  <si>
    <t>National Nuclear Security Administration</t>
  </si>
  <si>
    <t>NNSA Albuquerque Complex</t>
  </si>
  <si>
    <t>Eubank @ Gibson, Albuquerque, NM 87116</t>
  </si>
  <si>
    <t>87116</t>
  </si>
  <si>
    <t>G6nz3G</t>
  </si>
  <si>
    <t>31cc98e6ab6cc751aeff49803557013558376729b42ffbf7592c43b3cf22cf18</t>
  </si>
  <si>
    <t>National Security Agency</t>
  </si>
  <si>
    <t>Bumblehive</t>
  </si>
  <si>
    <t>Saratoga Springs, Utah 84045, USA</t>
  </si>
  <si>
    <t>84043</t>
  </si>
  <si>
    <t>RQL0nB</t>
  </si>
  <si>
    <t>4538bbdf690a91305885a946db9b4645268dab539895c31d619dc7c6bb91d6c9</t>
  </si>
  <si>
    <t>9800 Savage Rd, Fort Meade, MD 20755</t>
  </si>
  <si>
    <t>20755</t>
  </si>
  <si>
    <t>BAQJxB</t>
  </si>
  <si>
    <t>554840e2e608c0ed4262360cce13d927c4e5e7abf5e2e8c54cb08c7787662cf2</t>
  </si>
  <si>
    <t>Nautilus Data Technologies</t>
  </si>
  <si>
    <t>Nautilus Los Angeles</t>
  </si>
  <si>
    <t>1002 Embarcadero, Stockton, CA, USA.</t>
  </si>
  <si>
    <t>90731</t>
  </si>
  <si>
    <t>Port of Los Angeles</t>
  </si>
  <si>
    <t>RvPZ0w</t>
  </si>
  <si>
    <t>68ce87f25c74541700cef9a424c1f65e9a694baabe71a5e9ca6dd419403840dc</t>
  </si>
  <si>
    <t>Stockton 1 Data Center</t>
  </si>
  <si>
    <t>1002 Embarcadero, Stockton, CA 95203</t>
  </si>
  <si>
    <t>San Joaquin County</t>
  </si>
  <si>
    <t>Stockton</t>
  </si>
  <si>
    <t>95203</t>
  </si>
  <si>
    <t>GyPvZR</t>
  </si>
  <si>
    <t>f70a9b371efc8482c8d32ce056408388ef341e45b849dc7db785a58ae6613f5e</t>
  </si>
  <si>
    <t>Navisite</t>
  </si>
  <si>
    <t>Andover</t>
  </si>
  <si>
    <t>400 Minuteman Rd, Andover, MA 01810, United States</t>
  </si>
  <si>
    <t>North Andover</t>
  </si>
  <si>
    <t>01810</t>
  </si>
  <si>
    <t>RvPNqw</t>
  </si>
  <si>
    <t>37171d23b3391448be29a03b07c6b6add305486ed23ef40864f5a6a96b93fa24</t>
  </si>
  <si>
    <t>NE Edge</t>
  </si>
  <si>
    <t>Gouldsboro Data Center</t>
  </si>
  <si>
    <t>Clifton Township, PA 18424</t>
  </si>
  <si>
    <t>wOD1QB</t>
  </si>
  <si>
    <t>8855c49b8b81ab14fa7b43e7159dc143ce83f31d6fc9a68ca4184bc96e801f32</t>
  </si>
  <si>
    <t>NE Edge - Killingly</t>
  </si>
  <si>
    <t>125 Alexander Park Way, Killingly, CT 06241</t>
  </si>
  <si>
    <t>Northeastern Connecticut Planning Region</t>
  </si>
  <si>
    <t>Killingly</t>
  </si>
  <si>
    <t>06241</t>
  </si>
  <si>
    <t>R8m9DG</t>
  </si>
  <si>
    <t>6d5a6003d37d673a2b32e1b6f5d1adfdba7fe56e68eac74fe9a82c988f687b03</t>
  </si>
  <si>
    <t>NE Edge - Waterford</t>
  </si>
  <si>
    <t>Waterford, Connecticut 06385</t>
  </si>
  <si>
    <t>New London County</t>
  </si>
  <si>
    <t>Waterford</t>
  </si>
  <si>
    <t>06385</t>
  </si>
  <si>
    <t>GDL7eG</t>
  </si>
  <si>
    <t>1ce3336942f371cd30394da18d6e1f61f90954135e6fe7a37874830c398f3a9f</t>
  </si>
  <si>
    <t>Nebius</t>
  </si>
  <si>
    <t>Nebious Independence</t>
  </si>
  <si>
    <t>591 S Powell Rd, Independence, MO 64056</t>
  </si>
  <si>
    <t>64056</t>
  </si>
  <si>
    <t>Blue Township</t>
  </si>
  <si>
    <t>B1jy3R</t>
  </si>
  <si>
    <t>3d6570ebbb45a25e7a15b879641eeaac779bd66e03dbb35e3a20b720d48e4d12</t>
  </si>
  <si>
    <t>NEP Real Estate</t>
  </si>
  <si>
    <t>NEP Real Estate Industrial Park</t>
  </si>
  <si>
    <t>Vineland, New Jersey 08361</t>
  </si>
  <si>
    <t>RjJoJR</t>
  </si>
  <si>
    <t>0f6bb025e0c9d39f2ae4741a7ddb6eb9f9f99c220b6c97c04ebf816c93a3882f</t>
  </si>
  <si>
    <t>NetApp</t>
  </si>
  <si>
    <t>RTP Data Center</t>
  </si>
  <si>
    <t>7301 Kit Creek Rd, Morrisville, NC 27560, USA</t>
  </si>
  <si>
    <t>RYqbmR</t>
  </si>
  <si>
    <t>61e906afa676dda42382cac98a33d84340e7ee7b0831f79566ecf37c3517da42</t>
  </si>
  <si>
    <t>NETDOOR</t>
  </si>
  <si>
    <t>NETDOOR JXN</t>
  </si>
  <si>
    <t>812 N State St, Jackson, MS 39201, United States</t>
  </si>
  <si>
    <t>39202</t>
  </si>
  <si>
    <t>BPJMdG</t>
  </si>
  <si>
    <t>9e26a109f41ef4c96e2b2cd03d5c78567580c6d793dbb40e34a7c3323584bfb3</t>
  </si>
  <si>
    <t>Netrality Data Centers</t>
  </si>
  <si>
    <t>401 North Broad Street</t>
  </si>
  <si>
    <t>401 N Broad St, Philadelphia, PA 19108</t>
  </si>
  <si>
    <t>wOL8kB</t>
  </si>
  <si>
    <t>050f9b9c45232b6c69e60a3943db146ffc2d2c500f6cd94e17f0f62362f83d35</t>
  </si>
  <si>
    <t>Chicago - 717 South Wells</t>
  </si>
  <si>
    <t>717 S Wells St. 60607 Chicago Illinois, USA</t>
  </si>
  <si>
    <t>Gmx1JR</t>
  </si>
  <si>
    <t>dcee28aa078f65a21f6830b97d0b523e3b59cc825ab92959c62436658620f007</t>
  </si>
  <si>
    <t>Houston – 1301 Fannin</t>
  </si>
  <si>
    <t>1301 Fannin St, Houston, Texas 77002, USA</t>
  </si>
  <si>
    <t>GzYEZR</t>
  </si>
  <si>
    <t>6adfd8d1a0663be1365418ef75dd3d51632997112c046a05dc89809a2ae547f4</t>
  </si>
  <si>
    <t>Indy Telcom Center</t>
  </si>
  <si>
    <t>701 W Henry St, Indianapolis, IN 46225, United States</t>
  </si>
  <si>
    <t>RYqAOR</t>
  </si>
  <si>
    <t>70847ef44d1e04cc01e0bab37d7f9d327c3b3db907989ae0215914cc3d006a93</t>
  </si>
  <si>
    <t>Kansas City 1102 Grand</t>
  </si>
  <si>
    <t>1102 Grand Blvd, Kansas City, MO 64106, USA</t>
  </si>
  <si>
    <t>Downtown Kansas City</t>
  </si>
  <si>
    <t>Central Business District KC</t>
  </si>
  <si>
    <t>BA35eG</t>
  </si>
  <si>
    <t>96c40a28d47cd755aac65d5960f0296cbe4962ee5d68e8ccc141e7983b6eab46</t>
  </si>
  <si>
    <t>KC2 - 7801 Nieman</t>
  </si>
  <si>
    <t>7801 Nieman Rd, Shawnee, KS 66214, USA</t>
  </si>
  <si>
    <t>Shawnee</t>
  </si>
  <si>
    <t>GrVq4G</t>
  </si>
  <si>
    <t>2a19c5be86be0e42cf75751df3fabd84730f8067cbc006a01847c710fb09094e</t>
  </si>
  <si>
    <t>St. Louis - 210 North Tucker</t>
  </si>
  <si>
    <t>210 N Tucker 63101 St. Louis Missouri, USA</t>
  </si>
  <si>
    <t>63101</t>
  </si>
  <si>
    <t>BJr8qB</t>
  </si>
  <si>
    <t>2bd2ad5aaa3fdc6e416b7a9e4a12cd23c2870c1826357b2f779dd2b5686a7f56</t>
  </si>
  <si>
    <t>St. Louis - 900 Walnut</t>
  </si>
  <si>
    <t>900 Walnut 63101 St. Louis Missouri, USA</t>
  </si>
  <si>
    <t>Rp7z3B</t>
  </si>
  <si>
    <t>fa33f1ef2fd7fa141ec32af5e5bc92d74b83982db7596dbdd20e38c9c1a31c58</t>
  </si>
  <si>
    <t>New Era Energy &amp; Digital</t>
  </si>
  <si>
    <t>Lea County Data Center Campus</t>
  </si>
  <si>
    <t>Lea County, New Mexico</t>
  </si>
  <si>
    <t>Lea County</t>
  </si>
  <si>
    <t>Caprock</t>
  </si>
  <si>
    <t>88213</t>
  </si>
  <si>
    <t>wOD5DB</t>
  </si>
  <si>
    <t>4a570f7b07fcbc622d75bfab1de6caca3adfb79e3d01fc81bb3b898246437ccc</t>
  </si>
  <si>
    <t>New Jersey Fiber Exchange</t>
  </si>
  <si>
    <t>NJFX</t>
  </si>
  <si>
    <t>1410 Wall Church Rd, Wall Township, NJ 07719</t>
  </si>
  <si>
    <t>Monmouth County</t>
  </si>
  <si>
    <t>Wall Township</t>
  </si>
  <si>
    <t>07719</t>
  </si>
  <si>
    <t>BJrVWB</t>
  </si>
  <si>
    <t>e9b2a68223591bad2a00f703b6cd7a5f954ef385c3666c0b817811f3a4d42894</t>
  </si>
  <si>
    <t>New York Internet</t>
  </si>
  <si>
    <t>NYI Chicago</t>
  </si>
  <si>
    <t>800 Jorie Blvd, Oak Brook, Illinois , 60523, USA</t>
  </si>
  <si>
    <t>GDP3bG</t>
  </si>
  <si>
    <t>f551cefe0f539bd77d53a231c6d3ea54e09c54a64199fd722355f07b8d90bdb7</t>
  </si>
  <si>
    <t>New York Stock Exchange</t>
  </si>
  <si>
    <t>NYSE Data Center</t>
  </si>
  <si>
    <t>1700 MacArthur Blvd, Mahwah, NJ 07430</t>
  </si>
  <si>
    <t>Mahwah</t>
  </si>
  <si>
    <t>07430</t>
  </si>
  <si>
    <t>Mahwah Township</t>
  </si>
  <si>
    <t>BgA26G</t>
  </si>
  <si>
    <t>c3a75160ef7b2cef5e98a24e99925f98f85f20225ce214a77cda7eeea39a4953</t>
  </si>
  <si>
    <t>Nexcess</t>
  </si>
  <si>
    <t>Nexcess Dearborn</t>
  </si>
  <si>
    <t>22015 W. Outer Drive 48124 Dearborn Michigan, USA</t>
  </si>
  <si>
    <t>Wayne County</t>
  </si>
  <si>
    <t>Dearborn</t>
  </si>
  <si>
    <t>48124</t>
  </si>
  <si>
    <t>RNe3lB</t>
  </si>
  <si>
    <t>3e2bea8ff25ac52e654c31a8b85a710c60d78dbffe85e3760a205ee155853399</t>
  </si>
  <si>
    <t>Nexcess Southfield</t>
  </si>
  <si>
    <t>21700 Melrose Ave 48075 Southfield Michigan, USA</t>
  </si>
  <si>
    <t>G6ExxR</t>
  </si>
  <si>
    <t>c23ce7bbeb087346cf9d4f99b2eed8de6229fab30f196d0f03934cc78c8c3816</t>
  </si>
  <si>
    <t>Nexstar</t>
  </si>
  <si>
    <t>720 N Rohlwing Rd</t>
  </si>
  <si>
    <t>720 Rohlwing Rd, Elk Grove Village, IL 60007</t>
  </si>
  <si>
    <t>RKve2B</t>
  </si>
  <si>
    <t>da1a2c77ee9d2e9d60c30f06a8a810e6467f53978721c771f0c3ad3af27db64b</t>
  </si>
  <si>
    <t>Nexus</t>
  </si>
  <si>
    <t>Knoxville Data Center</t>
  </si>
  <si>
    <t>500 W Summit Hill Dr SW, Knoxville, TN 37902, USA</t>
  </si>
  <si>
    <t>Knox County</t>
  </si>
  <si>
    <t>Knoxville</t>
  </si>
  <si>
    <t>37902</t>
  </si>
  <si>
    <t>R8Jb4w</t>
  </si>
  <si>
    <t>8658334845e2a96e7eb459ad4b4f726171d86ece8425079b1c3beb34fa6769f6</t>
  </si>
  <si>
    <t>1661 Murfreesboro Pike, Nashville, TN 37217, USA</t>
  </si>
  <si>
    <t>37217</t>
  </si>
  <si>
    <t>Bakertown</t>
  </si>
  <si>
    <t>GrVrKG</t>
  </si>
  <si>
    <t>72754d19937b98fe5b2290013bac9d0bbd1350a854e58ee3e15ed3113b683e6e</t>
  </si>
  <si>
    <t>NFINIT</t>
  </si>
  <si>
    <t>San Diego Lightwave</t>
  </si>
  <si>
    <t>9305 Lightwave Ave, San Diego, CA 92123</t>
  </si>
  <si>
    <t>BE8eXw</t>
  </si>
  <si>
    <t>fc357c8bbfb8579b7d6af301a295cf8818f467bbc69193ba548f54146dc7cd33</t>
  </si>
  <si>
    <t>San Diego Tech Centre</t>
  </si>
  <si>
    <t>9645 Scranton Rd, San Diego, CA 92121</t>
  </si>
  <si>
    <t>BblVxG</t>
  </si>
  <si>
    <t>66619778d3649737a2591e8e722ec2593cc31b9485a11ca9be58c6279afc725b</t>
  </si>
  <si>
    <t>Nocix</t>
  </si>
  <si>
    <t>201 East 16th Ave.</t>
  </si>
  <si>
    <t>201 East 16th Ave. North Kansas City, 64116 North Kansas City Missouri, USA</t>
  </si>
  <si>
    <t>Clay County</t>
  </si>
  <si>
    <t>North Kansas City</t>
  </si>
  <si>
    <t>64116</t>
  </si>
  <si>
    <t>RvPgaw</t>
  </si>
  <si>
    <t>d4b0070a1ce669e8706a63278b4c786078999e8166a4230bcf1df8abea822b43</t>
  </si>
  <si>
    <t>North Data Center</t>
  </si>
  <si>
    <t>Great Falls Data Center</t>
  </si>
  <si>
    <t>417 Central Ave - Suite 328 - Great Falls, MT 59404</t>
  </si>
  <si>
    <t>Cascade County</t>
  </si>
  <si>
    <t>Great Falls</t>
  </si>
  <si>
    <t>59401</t>
  </si>
  <si>
    <t>BqWNlG</t>
  </si>
  <si>
    <t>221d4a7abd59785ddfdf1dd0f5d251320291436f73ad306b98d1104be5de2dee</t>
  </si>
  <si>
    <t>Northern Data</t>
  </si>
  <si>
    <t>Maysville</t>
  </si>
  <si>
    <t>Maysville, GA</t>
  </si>
  <si>
    <t>30558</t>
  </si>
  <si>
    <t>GnqjaR</t>
  </si>
  <si>
    <t>fa40d60fe5d3688120f74ae08bf8e81237a29a19cf74635637c4ebb99e61fcfa</t>
  </si>
  <si>
    <t>Northern Trust</t>
  </si>
  <si>
    <t>Technology Parkway</t>
  </si>
  <si>
    <t>Technology Parkway, Rochelle, IL, USA</t>
  </si>
  <si>
    <t>Rochelle Municipal Utilites</t>
  </si>
  <si>
    <t>BJvveB</t>
  </si>
  <si>
    <t>2254a21210be70953bac46c4012035a36aad660bc1a249dce6a72832d6b8cf72</t>
  </si>
  <si>
    <t>Northland Communications</t>
  </si>
  <si>
    <t>Northland Communications Syracuse</t>
  </si>
  <si>
    <t>1 Dupli Park Dr, Syracuse, NY 13204</t>
  </si>
  <si>
    <t>Onondaga County</t>
  </si>
  <si>
    <t>Syracuse</t>
  </si>
  <si>
    <t>13204</t>
  </si>
  <si>
    <t>RpZYpw</t>
  </si>
  <si>
    <t>0b0ddb17f9e35230c4c9437ad49ea3fe8ac559025dd115453200463aed10365c</t>
  </si>
  <si>
    <t>Northland Communications Utica</t>
  </si>
  <si>
    <t>258 Genesee St, Utica, NY 13502</t>
  </si>
  <si>
    <t>Oneida County</t>
  </si>
  <si>
    <t>Utica</t>
  </si>
  <si>
    <t>13502</t>
  </si>
  <si>
    <t>RKv8VB</t>
  </si>
  <si>
    <t>cf27f744e32977811477fe9df76abe2ca2f9c10188fa30790009f3eef8bfb718</t>
  </si>
  <si>
    <t>Northmark Strategies</t>
  </si>
  <si>
    <t>Project MOC-1</t>
  </si>
  <si>
    <t>4000 S Pine St, Spartanburg, SC 29302</t>
  </si>
  <si>
    <t>Calico</t>
  </si>
  <si>
    <t>29302</t>
  </si>
  <si>
    <t>Gz7pEw</t>
  </si>
  <si>
    <t>62168a69823fdeccd103b1ac3775e7ba86205508aa828bb055fd9af81832df75</t>
  </si>
  <si>
    <t>NorthPoint Development</t>
  </si>
  <si>
    <t>Keystone Trade Center</t>
  </si>
  <si>
    <t>Morrisville, PA 19067</t>
  </si>
  <si>
    <t>Bucks County</t>
  </si>
  <si>
    <t>Yardley</t>
  </si>
  <si>
    <t>19067</t>
  </si>
  <si>
    <t>Falls Township</t>
  </si>
  <si>
    <t>GZ6ZnG</t>
  </si>
  <si>
    <t>b668bdacff881bcb3edcacaf158aa837bc7c99ccabce4f14aa4435b90425b517</t>
  </si>
  <si>
    <t>Project Hazelnut Lerta</t>
  </si>
  <si>
    <t>Hazle Township, PA 18202</t>
  </si>
  <si>
    <t>Hazle Township</t>
  </si>
  <si>
    <t>18219</t>
  </si>
  <si>
    <t>R2Jb4R</t>
  </si>
  <si>
    <t>cb81200f604e36fa893146709a5ee103692e56ff8368e56926a95007ff7cdc90</t>
  </si>
  <si>
    <t>Novartis</t>
  </si>
  <si>
    <t>6549 South Fwy, Fort Worth, Texas 76134, USA</t>
  </si>
  <si>
    <t>76134</t>
  </si>
  <si>
    <t>wVq6VG</t>
  </si>
  <si>
    <t>9ea087614b697075596b361e5bb320816c373b4befe2ee4f069aef024b80ab41</t>
  </si>
  <si>
    <t>Novva Data Centers</t>
  </si>
  <si>
    <t>400 Paul Avenue</t>
  </si>
  <si>
    <t>400 Paul Ave, San Francisco, CA 94124</t>
  </si>
  <si>
    <t>94124.0</t>
  </si>
  <si>
    <t>Bayview</t>
  </si>
  <si>
    <t>BqWAvG</t>
  </si>
  <si>
    <t>92b55ea81acd9ba0e17668b157005b18861d58f6f18f70cd5d09270e08a409d7</t>
  </si>
  <si>
    <t>Colorado Springs</t>
  </si>
  <si>
    <t>650 Sybilla Ln, Colorado Springs, Colorado 80921, USA</t>
  </si>
  <si>
    <t>80921</t>
  </si>
  <si>
    <t>RQLo9B</t>
  </si>
  <si>
    <t>a676299b77af056353a90681606c0d060c436c7e273360ab4dac616c226fba96</t>
  </si>
  <si>
    <t>6115 N Nicco Way, Las Vegas, NV 89115. USA</t>
  </si>
  <si>
    <t>Northeast Las Vegas</t>
  </si>
  <si>
    <t>R2ragR</t>
  </si>
  <si>
    <t>c05d9613dc1f120f70f09821cf17e6d53597d45a88837b817d76d717917668b1</t>
  </si>
  <si>
    <t>Warner Road and Loop 202,Arizona, US</t>
  </si>
  <si>
    <t>GZZY8G</t>
  </si>
  <si>
    <t>ad8a3d23fbc091ead5aa87b1410e6ce67881dfb02cebda07c558f4c84ababf60</t>
  </si>
  <si>
    <t>9050 Logistics Dr, Las Vegas, NV 89115</t>
  </si>
  <si>
    <t>Gz7aZw</t>
  </si>
  <si>
    <t>78d1046c8c4a0ddc3a0b29eafbc475042321bba514e67c3265e917227e4c58f0</t>
  </si>
  <si>
    <t>Tahoe Reno</t>
  </si>
  <si>
    <t>3399 Peru Dr, Clark, NV 89437</t>
  </si>
  <si>
    <t>wMAqVw</t>
  </si>
  <si>
    <t>963ca9b15150828b8a1650e17ce9860822b950b70327431591966c7481df4b95</t>
  </si>
  <si>
    <t>Utah Data Center</t>
  </si>
  <si>
    <t>6477 Wells Park Rd, West Jordan, Utah 84081, USA</t>
  </si>
  <si>
    <t>84081</t>
  </si>
  <si>
    <t>Rp7LdB</t>
  </si>
  <si>
    <t>44c81e0ddd306203222dc391758f9746eb1df6b66600002b33328715feccdfb6</t>
  </si>
  <si>
    <t>NTT Global Data Centers</t>
  </si>
  <si>
    <t>ASHBURN VA1</t>
  </si>
  <si>
    <t>44664 Guilford Dr, Ashburn, VA 20147</t>
  </si>
  <si>
    <t>BqlO1w</t>
  </si>
  <si>
    <t>d283223e5f28f15d94e54bbf244cc5fefd9644c2f464547452e072d16ada587e</t>
  </si>
  <si>
    <t>ASHBURN VA2</t>
  </si>
  <si>
    <t>44610 Guilford Drive, Ashburn, VA</t>
  </si>
  <si>
    <t>Gz9pDR</t>
  </si>
  <si>
    <t>55bff9a2ddf10cdb30655c935db355acda4840018cecf62c9f90541944ce08a9</t>
  </si>
  <si>
    <t>ASHBURN VA3</t>
  </si>
  <si>
    <t>44245 Gigabit Plaza, Ashburn, VA 20147</t>
  </si>
  <si>
    <t>GmK7LB</t>
  </si>
  <si>
    <t>aec86fb757d6222ba67684be821d2d24b3442dd608e3b0e24e3bc9de6fdb2f6f</t>
  </si>
  <si>
    <t>ASHBURN VA4</t>
  </si>
  <si>
    <t>44760 Gigabit Plaza, Ashburn, VA 20147</t>
  </si>
  <si>
    <t>B1QD8B</t>
  </si>
  <si>
    <t>b587aac9f3cb8892d15937241f8ec406b8351792b18cb72e2d48f7395d50ba3a</t>
  </si>
  <si>
    <t>ASHBURN VA5</t>
  </si>
  <si>
    <t>44761 Gigabit Plaza, Ashburn, VA 20147</t>
  </si>
  <si>
    <t>wOpnAB</t>
  </si>
  <si>
    <t>e33faf9350e3d422eefdcd0388d6977259e5fd6eebb4ceaacc73e959ee9a4c3c</t>
  </si>
  <si>
    <t>ASHBURN VA6</t>
  </si>
  <si>
    <t>44495 Gigabit Plaza, Ashburn, VA 20147</t>
  </si>
  <si>
    <t>B1XDew</t>
  </si>
  <si>
    <t>ab6e5965cfda4712eb45f0ab9951c330549970d509ddabaefe87975af43e5d0b</t>
  </si>
  <si>
    <t>ASHBURN VA7</t>
  </si>
  <si>
    <t>44371 Gigabit Plaza, Ashburn, VA 20147</t>
  </si>
  <si>
    <t>R4kJgB</t>
  </si>
  <si>
    <t>3aa11b79443d9e7b69cf35367b340af4d16b15e9ef29d83fd4b4c55adf55c2a8</t>
  </si>
  <si>
    <t>ASHBURN VA8</t>
  </si>
  <si>
    <t>44720 Gigabit Plz, Ashburn, VA 20147</t>
  </si>
  <si>
    <t>w9qEew</t>
  </si>
  <si>
    <t>4097001c9e696b1fa27b28f4f0f15fc3fd0405c3523c15ae6d4a2bf6a0cdcef3</t>
  </si>
  <si>
    <t>ASHBURN VA9</t>
  </si>
  <si>
    <t>BbA0aw</t>
  </si>
  <si>
    <t>3bc8fd91bf0094e45d84eda043fcb8c78a24082333151b964557306284766de0</t>
  </si>
  <si>
    <t>CA1</t>
  </si>
  <si>
    <t>1200 Striker Ave. Sacramento, CA 95834 United States</t>
  </si>
  <si>
    <t>95834</t>
  </si>
  <si>
    <t>R8VKpw</t>
  </si>
  <si>
    <t>9abee1ca7bba870ff985f690f0182ea6cacd338566a491413e07b2056ed5653d</t>
  </si>
  <si>
    <t>CA2</t>
  </si>
  <si>
    <t>Bg0g0R</t>
  </si>
  <si>
    <t>a7d381573eb11ddad86716fbfbb288de9b1cfd5740ad1c59287ae8410ab0bbac</t>
  </si>
  <si>
    <t>CA3</t>
  </si>
  <si>
    <t>1625 W. National Dr. Sacramento, CA 95834 United States</t>
  </si>
  <si>
    <t>GL28eB</t>
  </si>
  <si>
    <t>2cd11f97161313426201558435cd6d4df7cad6adaa10308079e7cec4b6b431de</t>
  </si>
  <si>
    <t>CH1 &amp; CH2</t>
  </si>
  <si>
    <t>255 Pierce Road Itasca, IL 60143 United States</t>
  </si>
  <si>
    <t>Itasca</t>
  </si>
  <si>
    <t>60143</t>
  </si>
  <si>
    <t>GDP7bG</t>
  </si>
  <si>
    <t>c4889b93fbce368676e8ca17144f73601f01ef304e32f829d603b73d36598afc</t>
  </si>
  <si>
    <t>1250 N Arlington Heights Rd, Itasca, IL 60143, United States</t>
  </si>
  <si>
    <t>R2LQgw</t>
  </si>
  <si>
    <t>8a073084d5e035636ff9c2c16bf457d9bf3fadb1bf4cfe9bfe86dd0b33c6ff7f</t>
  </si>
  <si>
    <t>CH4</t>
  </si>
  <si>
    <t>1200 N Arlington Heights Rd, Itasca, IL 60143, United States</t>
  </si>
  <si>
    <t>RQ3W9w</t>
  </si>
  <si>
    <t>62dc29fb4b9e5a08cae9f7aec7fea8172bea1f521982c36956153268d9bc32af</t>
  </si>
  <si>
    <t>2008 Lookout Drive, Garland, Texas 75044, USA</t>
  </si>
  <si>
    <t>RpZa3w</t>
  </si>
  <si>
    <t>e2f16b6841cdc1b1ef3aea489938ce6bba62fb8c79694d2d3bf29f97dce36235</t>
  </si>
  <si>
    <t>Hillsboro DC Campus</t>
  </si>
  <si>
    <t>4045 NE Evergreen Road, Hillsboro, OR 97124, USA</t>
  </si>
  <si>
    <t>R8J73w</t>
  </si>
  <si>
    <t>ccf9216bbea5107545b33ee77304ba502e744817fe7120b2c2b5c9f86d5caa13</t>
  </si>
  <si>
    <t>NTT Gainesville Campus</t>
  </si>
  <si>
    <t>14300 JOHN MARSHALL HWY GAINESVILLE, VA 20155</t>
  </si>
  <si>
    <t>BEW1rG</t>
  </si>
  <si>
    <t>d7ba288ad2ba360096a136680c3ae00c87125fe7562f45447bb9dbb1890a014a</t>
  </si>
  <si>
    <t>NTT Mesa Data Campus</t>
  </si>
  <si>
    <t>E Pecos Rd &amp; S Crismon Rd, Mesa, AZ 85212</t>
  </si>
  <si>
    <t>85240</t>
  </si>
  <si>
    <t>we8ZNG</t>
  </si>
  <si>
    <t>af497fe5df58dc323540122a1aa7b54fc7af51e2af62b76e0124bcd1e9dcffee</t>
  </si>
  <si>
    <t>NTT Phoenix Data Center</t>
  </si>
  <si>
    <t>10256 E Elliot Rd, Mesa, AZ 85212, USA</t>
  </si>
  <si>
    <t>RvPqMw</t>
  </si>
  <si>
    <t>6a25b55f05db527efbc19ec7b42d8850536dfb4ed93ba8a29f49d6a630f121fa</t>
  </si>
  <si>
    <t>1160 Walsh Ave. Santa Clara, CA 95050 United States</t>
  </si>
  <si>
    <t>95050-2647</t>
  </si>
  <si>
    <t>G3MNXB</t>
  </si>
  <si>
    <t>045ac8c3c3d10a473a83ced103d481f7a101dbb03e1dfa6780aab2a0eec5a5c2</t>
  </si>
  <si>
    <t>NYS Office of the State Comptroller</t>
  </si>
  <si>
    <t>365 Jordan Rd, Troy, NY 12180</t>
  </si>
  <si>
    <t>GlW3xR</t>
  </si>
  <si>
    <t>6732f03d90b0eca0870f4190ae2cc1e5790594c98ca9678840afdb686e7f52e3</t>
  </si>
  <si>
    <t>Oakland University</t>
  </si>
  <si>
    <t>253 Pioneer Dr</t>
  </si>
  <si>
    <t>253 Pioneer Dr, Rochester, MI 48309</t>
  </si>
  <si>
    <t>Auburn Hills</t>
  </si>
  <si>
    <t>48326</t>
  </si>
  <si>
    <t>GDKenR</t>
  </si>
  <si>
    <t>7fd1b38d1c249be9af827314f836052dac5eb3d5409c69a3fdfa737776138efa</t>
  </si>
  <si>
    <t>OneColo</t>
  </si>
  <si>
    <t>OneColo Tampa</t>
  </si>
  <si>
    <t>610 N Morgan St, Tampa, FL 33602</t>
  </si>
  <si>
    <t>Franklin Street</t>
  </si>
  <si>
    <t>Gk3VDG</t>
  </si>
  <si>
    <t>ee1412d2ab7e24dc1778b83d2e8634622eb755c6cb4da4b5863214ecf35999c5</t>
  </si>
  <si>
    <t>OneNeck IT Solutions</t>
  </si>
  <si>
    <t>20845 Sockeye Place, Bend</t>
  </si>
  <si>
    <t>20845 Sockeye Place, Bend, OR 97701, USA</t>
  </si>
  <si>
    <t>97701</t>
  </si>
  <si>
    <t>R0myKG</t>
  </si>
  <si>
    <t>8068416aa8ba5c7a78c567a5f94b567a0192e304e6d2fca754290ab8261ea213</t>
  </si>
  <si>
    <t>5515 Nobel Dr, Fitchburg, WI 53711, United States</t>
  </si>
  <si>
    <t>Fitchburg</t>
  </si>
  <si>
    <t>53711</t>
  </si>
  <si>
    <t>Fitchburg Technology Campus</t>
  </si>
  <si>
    <t>GaADYG</t>
  </si>
  <si>
    <t>1f1de259296a390f83209488dbe316db4444f9d53b41fc0a886a798628a32f8a</t>
  </si>
  <si>
    <t>10290 W 70th St, Eden Prairie, MN 55344</t>
  </si>
  <si>
    <t>GLoOQR</t>
  </si>
  <si>
    <t>38114c28d01c8d2bef2b7cec4c01f575ee4dcf5c551e2a27798591a1784bab46</t>
  </si>
  <si>
    <t>1655 W Sunrise Blvd, Gilbert, AZ 85233, USA</t>
  </si>
  <si>
    <t>Gilbert</t>
  </si>
  <si>
    <t>85233</t>
  </si>
  <si>
    <t>Sunrise Business Park</t>
  </si>
  <si>
    <t>RjPPnw</t>
  </si>
  <si>
    <t>a21df2088f1e36e61bfc63b27d5ba76e0e3942079e38de8aa44e57fb5e4b916a</t>
  </si>
  <si>
    <t>OnePartner</t>
  </si>
  <si>
    <t>OnePartner ATAC</t>
  </si>
  <si>
    <t>158 Advanced Technology Drive Duffield, VA 24244</t>
  </si>
  <si>
    <t>Duffield</t>
  </si>
  <si>
    <t>24244</t>
  </si>
  <si>
    <t>GnekKR</t>
  </si>
  <si>
    <t>4e3584c4bdfcf922ed0ccde8e4cbfe1608d0959ca205bfa0113540aa69217b91</t>
  </si>
  <si>
    <t>Open Origin</t>
  </si>
  <si>
    <t>Presidio Data Center</t>
  </si>
  <si>
    <t>Presidio</t>
  </si>
  <si>
    <t>RKL95G</t>
  </si>
  <si>
    <t>7481339307d9c1171d46f5f3bb5afe71150e90631c363652b87be2ab5b456ffa</t>
  </si>
  <si>
    <t>OpenColo</t>
  </si>
  <si>
    <t>OpenColo Santa Clara</t>
  </si>
  <si>
    <t>3223 Kenneth St, Santa Clara, CA 95054</t>
  </si>
  <si>
    <t>Gm5AgG</t>
  </si>
  <si>
    <t>3db6630f1553c210ffc171d04aae7b0f7f3518f90a120e80990c47b7f3231840</t>
  </si>
  <si>
    <t>Oppidan Investment Company</t>
  </si>
  <si>
    <t>87121</t>
  </si>
  <si>
    <t>Gz7gdw</t>
  </si>
  <si>
    <t>311c4fa7b3aee16f24105a7abfd7c6af241e68fe273f5401584266a8ca1dce4f</t>
  </si>
  <si>
    <t>Carol Stream</t>
  </si>
  <si>
    <t>245 Kehoe Blvd, Carol Stream, IL 60188</t>
  </si>
  <si>
    <t>60188</t>
  </si>
  <si>
    <t>RKLW3G</t>
  </si>
  <si>
    <t>a512c549b9907fd678b58895e456f94f746f649986c3ff98651e0dfc6ef9bda4</t>
  </si>
  <si>
    <t>3900 S Mendenhall Rd., Memphis, TN 38115</t>
  </si>
  <si>
    <t>Hickory Hill</t>
  </si>
  <si>
    <t>w9Dq0G</t>
  </si>
  <si>
    <t>ac2f8775b59bdaca535e747bb77f1be67d105d1b3fae19b7ff5dd4e481070088</t>
  </si>
  <si>
    <t>Oppidan Eagan</t>
  </si>
  <si>
    <t>550 Opperman Dr, Eagan, MN 55123</t>
  </si>
  <si>
    <t>BPdbpB</t>
  </si>
  <si>
    <t>5b08849c238f1de9631e35e623d0d1d5acdca0e4fab80dc72dd78fdd08b67d07</t>
  </si>
  <si>
    <t>Opti9</t>
  </si>
  <si>
    <t>Opti9 NY1</t>
  </si>
  <si>
    <t>501 Franklin Ave Sute 200, Garden City, NY 11530</t>
  </si>
  <si>
    <t>Village of Garden City</t>
  </si>
  <si>
    <t>11530</t>
  </si>
  <si>
    <t>GZ1mnR</t>
  </si>
  <si>
    <t>0ce133f0fbdbd2ffd96276584deb7824514337ff5341addc8ef72f10bb5da8b5</t>
  </si>
  <si>
    <t>Optic Fusion</t>
  </si>
  <si>
    <t>1101 A St #400, Tacoma, WA 98402, United States</t>
  </si>
  <si>
    <t>GDoNpR</t>
  </si>
  <si>
    <t>b1d3313c11a6ae28240c1fab3a7f10db7d62d8948c18238f5df3d66f797d250b</t>
  </si>
  <si>
    <t>Oracle</t>
  </si>
  <si>
    <t>Hillsboro Data Center</t>
  </si>
  <si>
    <t>3380 NE 79th Avenue Hillsboro, OR 97124, USA</t>
  </si>
  <si>
    <t>BEWPYG</t>
  </si>
  <si>
    <t>d4a8dbf63e5a0f5f4e222204d88b82ee504245deecb7e7f730037fa3130fde9c</t>
  </si>
  <si>
    <t>ORI.NET</t>
  </si>
  <si>
    <t>859 Conner St, Noblesville, IN 46060, USA</t>
  </si>
  <si>
    <t>Noblesville</t>
  </si>
  <si>
    <t>46060</t>
  </si>
  <si>
    <t>Noblesville Township</t>
  </si>
  <si>
    <t>RN8a6w</t>
  </si>
  <si>
    <t>199bcdb519843667de2c1d33f3867a969136ae2cdea628cc7cbd2f7290d6b88b</t>
  </si>
  <si>
    <t>Otava</t>
  </si>
  <si>
    <t>Indiana Data Centre</t>
  </si>
  <si>
    <t>505 W Merrill St, Indianapolis, IN 46225, United States</t>
  </si>
  <si>
    <t>w53dvR</t>
  </si>
  <si>
    <t>e884fa484bb3dfac56fb8bcd017dfd8f44b6e59ce605ea2a27e8f14c4dc4b402</t>
  </si>
  <si>
    <t>Otava Metro Detroit</t>
  </si>
  <si>
    <t>6435 North Hix Rd. 48185 Westland Michigan, USA</t>
  </si>
  <si>
    <t>Westland</t>
  </si>
  <si>
    <t>48185</t>
  </si>
  <si>
    <t>BEWAoG</t>
  </si>
  <si>
    <t>de9d2a0677edc7eefa37cb7a4361c06350223dc08c194b8cc5d37fe3bd2f27a4</t>
  </si>
  <si>
    <t>Otava Mid Michigan</t>
  </si>
  <si>
    <t>5225 Exchange Drive 48507 Flint Michigan, USA</t>
  </si>
  <si>
    <t>Flint</t>
  </si>
  <si>
    <t>48507</t>
  </si>
  <si>
    <t>R0mvnG</t>
  </si>
  <si>
    <t>55b28f406d1e66bce0db095f8fa4287592ea59d58fd1703a48cafa5b47d83eba</t>
  </si>
  <si>
    <t>OVHcloud</t>
  </si>
  <si>
    <t>HILL- 1</t>
  </si>
  <si>
    <t xml:space="preserve">  1300 NE 25th Ave, Hillsboro, OR 97124, USA</t>
  </si>
  <si>
    <t>Bqlrlw</t>
  </si>
  <si>
    <t>e842f2c132c7fa044886b7a0c59d16b3cfecdef819ac0a41b34baaefbc47b6ed</t>
  </si>
  <si>
    <t>VIN- 1</t>
  </si>
  <si>
    <t>6872 Watson Court, Warrenton, Virginia, 20187, USA</t>
  </si>
  <si>
    <t>New Baltimore</t>
  </si>
  <si>
    <t>Vint Hill Farms</t>
  </si>
  <si>
    <t>GL2pZB</t>
  </si>
  <si>
    <t>6676e71015545462dc0a6cbe39f9db62fcf11a1de46625ce5abc197e290ef623</t>
  </si>
  <si>
    <t>Panattoni</t>
  </si>
  <si>
    <t>Project Cannoli</t>
  </si>
  <si>
    <t>Van Buren</t>
  </si>
  <si>
    <t>wODVDB</t>
  </si>
  <si>
    <t>b112c7048438c0e97ff08a4f0234f83c2e65f5789653f21dbba4b8888ac34014</t>
  </si>
  <si>
    <t>Parsec Data Management</t>
  </si>
  <si>
    <t>Billings Data Centre</t>
  </si>
  <si>
    <t xml:space="preserve"> 3470 Gabel Rd, Billings, MT 59102, USA</t>
  </si>
  <si>
    <t>Billings</t>
  </si>
  <si>
    <t>59102</t>
  </si>
  <si>
    <t>GLoeeR</t>
  </si>
  <si>
    <t>a226f208bc626fbfa4907ba6f9aabb36b5a1366489f4b29d8c5e10b10fb421b8</t>
  </si>
  <si>
    <t>Patmos</t>
  </si>
  <si>
    <t>Patmos KC Star Building</t>
  </si>
  <si>
    <t>1601 McGee StKansas City, MO 64108</t>
  </si>
  <si>
    <t>64108</t>
  </si>
  <si>
    <t>Kansas City Power &amp; Light District</t>
  </si>
  <si>
    <t>wODyQB</t>
  </si>
  <si>
    <t>2f1b21d81769f504f28c028188a17ecf7266c70981b877b40c5f149b3dfecc35</t>
  </si>
  <si>
    <t>PBA Holdings</t>
  </si>
  <si>
    <t>Project Tango</t>
  </si>
  <si>
    <t>20125 Southern Blvd, Loxahatchee, FL 33470</t>
  </si>
  <si>
    <t>Loxahatchee Groves</t>
  </si>
  <si>
    <t>33470</t>
  </si>
  <si>
    <t>RQ6VDG</t>
  </si>
  <si>
    <t>10e182461d677e4adc2d2c79a1a8b32c5666cdaff8d626d40ecdf8e045220ea3</t>
  </si>
  <si>
    <t>PDC Realty LLC</t>
  </si>
  <si>
    <t>Project Boson</t>
  </si>
  <si>
    <t>Highway Auto Parts, 1000 Main St, Eynon, PA 18403</t>
  </si>
  <si>
    <t>18433</t>
  </si>
  <si>
    <t>scrap_yard</t>
  </si>
  <si>
    <t>B7EKrG</t>
  </si>
  <si>
    <t>3a5e55c22f7b1f412f1eb5e733cf204a32fbcea40e2fc764c86260143e7df799</t>
  </si>
  <si>
    <t>Peace Communications</t>
  </si>
  <si>
    <t>1100 E 11th St, Chattanooga, TN 37403, USA</t>
  </si>
  <si>
    <t>37403</t>
  </si>
  <si>
    <t>wodglB</t>
  </si>
  <si>
    <t>ba2844601f7953e950bd0b598be4d419251559fa4fb56c25dc1316ac6d70471e</t>
  </si>
  <si>
    <t>Pennhurst Group LLC</t>
  </si>
  <si>
    <t>Pennhurst Data Center</t>
  </si>
  <si>
    <t>1205 Commonwealth Dr, Spring City, PA 19475</t>
  </si>
  <si>
    <t>East Vincent Township</t>
  </si>
  <si>
    <t>19475</t>
  </si>
  <si>
    <t>BAgV6G</t>
  </si>
  <si>
    <t>b5051924e2e0885ca37c92dc85102199b169f7cfb2035b176ae2a1f208c9deeb</t>
  </si>
  <si>
    <t>Peterson Companies</t>
  </si>
  <si>
    <t>Culpeper Technology Campus</t>
  </si>
  <si>
    <t>McDevitt Dr, Culpeper, Virginia 22701</t>
  </si>
  <si>
    <t>RvYxOB</t>
  </si>
  <si>
    <t>26cb7127038850afb5b345c92512d72043ac408e269f079d5741412e1ce01315</t>
  </si>
  <si>
    <t>Project Sisson</t>
  </si>
  <si>
    <t>Fredericksburg, VA 22405</t>
  </si>
  <si>
    <t>22405</t>
  </si>
  <si>
    <t>wVnPOw</t>
  </si>
  <si>
    <t>4eb20c05ae2354f59e8992a73f52f08933efdfb73b8d5aa4eee05fd5acc9be8f</t>
  </si>
  <si>
    <t>Silverbrook Project</t>
  </si>
  <si>
    <t>Sterling, VA 20164</t>
  </si>
  <si>
    <t>20164</t>
  </si>
  <si>
    <t>RN85Yw</t>
  </si>
  <si>
    <t>0fcce82cce47ce1fc834be150420eb62c93b5aecd3fbb5afcb82d571f1f3a197</t>
  </si>
  <si>
    <t>Pfizer</t>
  </si>
  <si>
    <t>Groton, CT Data Center</t>
  </si>
  <si>
    <t>280 Shennecossett Rd, Groton, CT 06340</t>
  </si>
  <si>
    <t>Groton</t>
  </si>
  <si>
    <t>06340</t>
  </si>
  <si>
    <t>City of Groton</t>
  </si>
  <si>
    <t>BgJKrw</t>
  </si>
  <si>
    <t>6629797041f4590211bd2e9a5333955bebd7d4e3006e293c566cc8d3b1527cf2</t>
  </si>
  <si>
    <t>Phoenix Michigan City Industrial Investors LLC</t>
  </si>
  <si>
    <t>Project Maize</t>
  </si>
  <si>
    <t>402 Royal Rd, Michigan City, IN 46360</t>
  </si>
  <si>
    <t>Michigan City</t>
  </si>
  <si>
    <t>46360</t>
  </si>
  <si>
    <t>Michigan Township</t>
  </si>
  <si>
    <t>RQ6JeG</t>
  </si>
  <si>
    <t>53e1f8aabdf34420aa0b20ad126678e76fb9e85be6b4f30313ec5ebdaa73bfb5</t>
  </si>
  <si>
    <t>Phoenixnap</t>
  </si>
  <si>
    <t>3402 E University Dr, Phoenix, AZ 85034, United States</t>
  </si>
  <si>
    <t>Cimarron</t>
  </si>
  <si>
    <t>GlPd7G</t>
  </si>
  <si>
    <t>60cd77a3913f81c86ffdd64d635dc54e50e84d8ae2b4fee5b9e640d531db0385</t>
  </si>
  <si>
    <t>PHX02</t>
  </si>
  <si>
    <t>3221 E Elwood Street, Phoenix, AZ 85034, United States</t>
  </si>
  <si>
    <t>RjWkQG</t>
  </si>
  <si>
    <t>24e8bd11cb2f0aa552ed197e4f67124223510a74327336dffdd90545f4606df8</t>
  </si>
  <si>
    <t>Pinnacle Technical Solutions</t>
  </si>
  <si>
    <t>Pinnacle Technical Solutions Data Center</t>
  </si>
  <si>
    <t>4300 1st Ave, Nitro, WV 25143</t>
  </si>
  <si>
    <t>Putnam County</t>
  </si>
  <si>
    <t>Nitro</t>
  </si>
  <si>
    <t>25143</t>
  </si>
  <si>
    <t>GlP6xG</t>
  </si>
  <si>
    <t>50a4500680993a685946b6cfedecc110fe5436a84ce29e5ebde1d905deea60be</t>
  </si>
  <si>
    <t>Pioneer Broadband</t>
  </si>
  <si>
    <t>Pioneer Broadband Data Center</t>
  </si>
  <si>
    <t>480 Main St, Presque Isle, ME 04769</t>
  </si>
  <si>
    <t>Presque Isle</t>
  </si>
  <si>
    <t>04769</t>
  </si>
  <si>
    <t>GWnJ3R</t>
  </si>
  <si>
    <t>6ca3f5b930a01a36e6f4aa0176ecb0e1e3abe0634e2506a58c5fb9dd22a7611e</t>
  </si>
  <si>
    <t>Pioneer Development,LLC</t>
  </si>
  <si>
    <t>Project Cardinal</t>
  </si>
  <si>
    <t>Route 47 &amp; Galena Road, Yorkville, IL. 60512</t>
  </si>
  <si>
    <t>60512</t>
  </si>
  <si>
    <t>Kendall Township</t>
  </si>
  <si>
    <t>G6naxG</t>
  </si>
  <si>
    <t>84a7646c452af3691a86c9eab0d0bd36568b4576b300e6417b8bfbb5965509fa</t>
  </si>
  <si>
    <t>Pixel Factory</t>
  </si>
  <si>
    <t>Pixel Factory Data Center</t>
  </si>
  <si>
    <t>9680 Atlee Commons Dr. 23005 Ashland Virginia, USA</t>
  </si>
  <si>
    <t>Hanover County</t>
  </si>
  <si>
    <t>Poindexters</t>
  </si>
  <si>
    <t>23005</t>
  </si>
  <si>
    <t>GLj9QB</t>
  </si>
  <si>
    <t>5fc8e60860bd36a2078a47f249faacab40a34353080c779d271ec67e4373c810</t>
  </si>
  <si>
    <t>Plateau</t>
  </si>
  <si>
    <t>Clovis</t>
  </si>
  <si>
    <t>7111 N. Prince St., Clovis, New Mexico 88102, USA</t>
  </si>
  <si>
    <t>Curry County</t>
  </si>
  <si>
    <t>88101</t>
  </si>
  <si>
    <t>G33kAG</t>
  </si>
  <si>
    <t>cd4adb4b45ed30c0f2ff22dbf478cd2f467a6dcfba7dfe60bf11aeef6144460e</t>
  </si>
  <si>
    <t>Plaza Realty &amp; Management</t>
  </si>
  <si>
    <t>Potomac Technology Park</t>
  </si>
  <si>
    <t>14854 Dumfries Rd, Manassas, VA 20112</t>
  </si>
  <si>
    <t>BAQayB</t>
  </si>
  <si>
    <t>3a75ea4596670ad1ad391ebe18748851df9caf1c415bce1d1a82f4bdbb931f12</t>
  </si>
  <si>
    <t>PocketiNet</t>
  </si>
  <si>
    <t>Walla Walla</t>
  </si>
  <si>
    <t>2919 E Isaacs Ave, Walla Walla, WA 99362, United States</t>
  </si>
  <si>
    <t>Walla Walla County</t>
  </si>
  <si>
    <t>99362</t>
  </si>
  <si>
    <t>BgA8mG</t>
  </si>
  <si>
    <t>8b06c2ff04bd1cc22ebfb10a17473b4efc7520a72cc0e53aa2fd67a93ed5ede1</t>
  </si>
  <si>
    <t>PointOne</t>
  </si>
  <si>
    <t>Ashburn Data Center Campus</t>
  </si>
  <si>
    <t>Sterling, VA 20166</t>
  </si>
  <si>
    <t>BJv0oB</t>
  </si>
  <si>
    <t>44f37ffe485a627db2d1499e3f4f4376c8f34f51917a12d1ac0d3f36b9279c5b</t>
  </si>
  <si>
    <t>Dulles Design Center</t>
  </si>
  <si>
    <t>45449 E Severn Way, Sterling, VA 20166</t>
  </si>
  <si>
    <t>Gy4YLR</t>
  </si>
  <si>
    <t>493158672b1cb9d6146955f7d815caaa2301cb1d15565e3280e34ed5ca3d4fa9</t>
  </si>
  <si>
    <t>NAP of Virginia Beach</t>
  </si>
  <si>
    <t>Virginia Beach, VA 23454</t>
  </si>
  <si>
    <t>23456</t>
  </si>
  <si>
    <t>wMAlzw</t>
  </si>
  <si>
    <t>83b227150c9a3201a3935f80b92f93660e2b2f933a4a0299d9c691cebb672955</t>
  </si>
  <si>
    <t>Remington Technology Park</t>
  </si>
  <si>
    <t>12270 Lucky Hill Rd, Remington, VA 22734</t>
  </si>
  <si>
    <t>Remington</t>
  </si>
  <si>
    <t>RxYgaG</t>
  </si>
  <si>
    <t>00e63fe2dd754352728632980c8b4808cca0f55e88d080aa7ddbbabcea894b12</t>
  </si>
  <si>
    <t>Richmond Data Center Campus</t>
  </si>
  <si>
    <t>Charles City, VA 23030</t>
  </si>
  <si>
    <t>Charles City</t>
  </si>
  <si>
    <t>R2JLDR</t>
  </si>
  <si>
    <t>677c0c45986add82186ca496bd57d8b39616a4c69e9b06dac9d75626b4338db9</t>
  </si>
  <si>
    <t>PointVoip</t>
  </si>
  <si>
    <t>3385 Veterans Memorial Hwy, Ronkonkoma, NY 11779</t>
  </si>
  <si>
    <t>Town of Islip</t>
  </si>
  <si>
    <t>11779</t>
  </si>
  <si>
    <t>RjJxyR</t>
  </si>
  <si>
    <t>351d77eb3ac57666c2736a507e2db8395219e582129659e6379e20ba88d4b7f2</t>
  </si>
  <si>
    <t>Polaris Technology</t>
  </si>
  <si>
    <t>Project Bitfrost</t>
  </si>
  <si>
    <t>4800 South 24th Street West, Muskogee, Oklahoma 74401, United States</t>
  </si>
  <si>
    <t>RpZypw</t>
  </si>
  <si>
    <t>64f1608eb74d5e74fc9ed49474df05b1ae6d34aa0a68084a7dc14e81d5ca0411</t>
  </si>
  <si>
    <t>Poolside AI</t>
  </si>
  <si>
    <t>Project Horizon</t>
  </si>
  <si>
    <t>5432 FM 1053, Fort Stockton, TX 79735</t>
  </si>
  <si>
    <t>Pecos County</t>
  </si>
  <si>
    <t>79735</t>
  </si>
  <si>
    <t>GnKrow</t>
  </si>
  <si>
    <t>383196528807c691d24d7c13b3a92b317adcec02f01ea96e8d064c796647f47e</t>
  </si>
  <si>
    <t>Potomac Developent Group</t>
  </si>
  <si>
    <t>Dahlgren West</t>
  </si>
  <si>
    <t>King George, VA 22485</t>
  </si>
  <si>
    <t>King George County</t>
  </si>
  <si>
    <t>King George</t>
  </si>
  <si>
    <t>22485</t>
  </si>
  <si>
    <t>RpZ4Aw</t>
  </si>
  <si>
    <t>118a8b829f2ff591491df17815cdaf9a845241d66d017d78bcbcefde5b271d99</t>
  </si>
  <si>
    <t>Power Protection Products</t>
  </si>
  <si>
    <t>LoCoCoLo</t>
  </si>
  <si>
    <t xml:space="preserve">  1207 So. 75th Street, Omaha, NE 68124, USA</t>
  </si>
  <si>
    <t>68124</t>
  </si>
  <si>
    <t>BA35PG</t>
  </si>
  <si>
    <t>d95019f7cc9e4dee2f01dade714ba8a1d4051b7a69bf1dcf9944637583d86df3</t>
  </si>
  <si>
    <t>PowerHouse Data Centers</t>
  </si>
  <si>
    <t>1600 Digital Drive</t>
  </si>
  <si>
    <t>1600 Digital Dr, Chester, VA 23836</t>
  </si>
  <si>
    <t>Grlx7B</t>
  </si>
  <si>
    <t>9f10e96f6ed7d761d757d5b5dbf090e5b7da9d403b324aea05473585fb995d78</t>
  </si>
  <si>
    <t>10800 University City Blvd</t>
  </si>
  <si>
    <t>28213</t>
  </si>
  <si>
    <t>weJ26B</t>
  </si>
  <si>
    <t>6f12d8266a2891225c0b0d11d1ace392a1651075510cd66ea3f4e5be6c7894e2</t>
  </si>
  <si>
    <t>E 61st Ave, Lake County, Indiana</t>
  </si>
  <si>
    <t>wM2KqB</t>
  </si>
  <si>
    <t>be89c0c4ddb9ecce32533fa8eb8de3d3722bff945e7aaaf577b5d2b8f91a5f6d</t>
  </si>
  <si>
    <t>111 Customer Way, Irving, TX 75039</t>
  </si>
  <si>
    <t>75039</t>
  </si>
  <si>
    <t>GDKbYR</t>
  </si>
  <si>
    <t>838ae8e55bc1be4e9d080c8c48e47e2e026c001b0e906deb5fc105ea04a31f1f</t>
  </si>
  <si>
    <t>Joliet Technology Park</t>
  </si>
  <si>
    <t xml:space="preserve">W Schweizer Rd &amp; South Ridge Rd </t>
  </si>
  <si>
    <t>Will County</t>
  </si>
  <si>
    <t>Joliet</t>
  </si>
  <si>
    <t>60433</t>
  </si>
  <si>
    <t>Joliet Township</t>
  </si>
  <si>
    <t>G6nqnG</t>
  </si>
  <si>
    <t>d4fbbdff260cd8a62e2be14d16f6d64b7bcb839660e0927c48d74eab15f43206</t>
  </si>
  <si>
    <t>5013 Camp Ground Rd., Louisville, KY 40216</t>
  </si>
  <si>
    <t>40216</t>
  </si>
  <si>
    <t>GLD24G</t>
  </si>
  <si>
    <t>3e190343a5aed06e68e0975a7b06ec694e70539e17763cf6cd4c94e900b72969</t>
  </si>
  <si>
    <t>PAX-1</t>
  </si>
  <si>
    <t>Carlisle, PA</t>
  </si>
  <si>
    <t>Carlisle</t>
  </si>
  <si>
    <t>17015</t>
  </si>
  <si>
    <t>Middlesex Township</t>
  </si>
  <si>
    <t>GnKYyw</t>
  </si>
  <si>
    <t>080e481c7e7aa373b19d8db3b590c0fc78245e2d2e5e7358a068214faf2d54ff</t>
  </si>
  <si>
    <t>PH Grand Prairie</t>
  </si>
  <si>
    <t>Miller Rd. Grand Prairie, TX</t>
  </si>
  <si>
    <t>Grand Prairie</t>
  </si>
  <si>
    <t>75050</t>
  </si>
  <si>
    <t>GnK1Ow</t>
  </si>
  <si>
    <t>16d15fafc4aff5e768072ab0de19baa6f3b7a7fda392039d9fd7fc16d7f0c36f</t>
  </si>
  <si>
    <t>Powerhouse 95</t>
  </si>
  <si>
    <t xml:space="preserve"> 4189 Turner CT Fredericksburg, VA </t>
  </si>
  <si>
    <t>GrvDgG</t>
  </si>
  <si>
    <t>489457dac8770176397960a452ea0fe53c257ca0b8907f5bbbdb339a7da6caab</t>
  </si>
  <si>
    <t>PowerHouse Arcola</t>
  </si>
  <si>
    <t>24408 Stone Springs Blvd, Arcola, VA 20166</t>
  </si>
  <si>
    <t>RpqL3G</t>
  </si>
  <si>
    <t>1989309343f1522c0d66d0817b26ef1936667592b163a4ca5e56b6ac6230e3da</t>
  </si>
  <si>
    <t>PowerHouse Pacific</t>
  </si>
  <si>
    <t>22020 Broderick Dr, Sterling, VA 20166</t>
  </si>
  <si>
    <t>BA3pPG</t>
  </si>
  <si>
    <t>1b5215252779fc55fedfc04ef2f997504ee47a4d6f8c2bd1f9ac734a63428c4e</t>
  </si>
  <si>
    <t>Quantum Connect</t>
  </si>
  <si>
    <t>22001 Loudoun County Pkwy, Ashburn, VA 20147</t>
  </si>
  <si>
    <t>RYM86R</t>
  </si>
  <si>
    <t>6126f7cc8834b1303280c8fc0269ca2a22ca585856324a782d1a02de1d04d90f</t>
  </si>
  <si>
    <t>600 Britain Drive, Sparks, Nevada, 89434</t>
  </si>
  <si>
    <t>woWjew</t>
  </si>
  <si>
    <t>9144b887c9d4c63eff19affbf8add1538d2fdf33dc38a7c32f88f955437e3adf</t>
  </si>
  <si>
    <t>PowerTransitions</t>
  </si>
  <si>
    <t>PowerTransitions KC</t>
  </si>
  <si>
    <t>3601 N 12th St, Kansas City, KS 66106</t>
  </si>
  <si>
    <t>Wyandotte County</t>
  </si>
  <si>
    <t>66104</t>
  </si>
  <si>
    <t>Northeast</t>
  </si>
  <si>
    <t>B1j1QR</t>
  </si>
  <si>
    <t>16a3d060c30cf92ab39ccbbb49221efb28fc1dc10c95f9e2aa9be2e043e3d2da</t>
  </si>
  <si>
    <t>Prime Data Centers</t>
  </si>
  <si>
    <t>1111 Comstock</t>
  </si>
  <si>
    <t>1111 Comstock St Santa Clara, CA 95054</t>
  </si>
  <si>
    <t>GrZ2XG</t>
  </si>
  <si>
    <t>e692debb84147439d6f56aa46673768697318631d762577fe759165fa25e7e49</t>
  </si>
  <si>
    <t>DFW01-01</t>
  </si>
  <si>
    <t>1515 Round Table Dr, Dallas, Texas 75247, USA</t>
  </si>
  <si>
    <t>wV6n7w</t>
  </si>
  <si>
    <t>3859d5fb90a84ced8387f26325d18a853a21cfb57e3e91136e3d4c0d3a5d0dd9</t>
  </si>
  <si>
    <t>DFW01-02</t>
  </si>
  <si>
    <t>1455 Round Table Drive, Dallas, Texas</t>
  </si>
  <si>
    <t>GZZm6G</t>
  </si>
  <si>
    <t>d3951b5211480d835c29292e222a0052ef8f1d1839ed48cc88d35b3bc9b6ed2d</t>
  </si>
  <si>
    <t>1600 E. Higgins Rd. Elk Grove Village, IL 60007</t>
  </si>
  <si>
    <t>w53o7R</t>
  </si>
  <si>
    <t>cf90a1bb48df62a75669a089b86c796991408219ddbfa7d8260852f9aeda27cb</t>
  </si>
  <si>
    <t>4221 N Garland Ave, Garland, TX 75040</t>
  </si>
  <si>
    <t>75040</t>
  </si>
  <si>
    <t>GyYgOG</t>
  </si>
  <si>
    <t>cfa4dcd42446824199ee59cd63ed42460078090c217320d73bd72dadfa524546</t>
  </si>
  <si>
    <t>Prime 1231 Comstock (SJC03)</t>
  </si>
  <si>
    <t>1231 Comstock St, Santa Clara, CA 95054</t>
  </si>
  <si>
    <t>95054-3408</t>
  </si>
  <si>
    <t>GLjE4B</t>
  </si>
  <si>
    <t>128078375af32345d6c032f7094ccaeba78efffbc3e4f421fe33f3e9dde73d6c</t>
  </si>
  <si>
    <t>Prime Hayward</t>
  </si>
  <si>
    <t>26415 Corporate Ave, Hayward, CA 94545</t>
  </si>
  <si>
    <t>Hayward</t>
  </si>
  <si>
    <t>94545</t>
  </si>
  <si>
    <t>BqZ37R</t>
  </si>
  <si>
    <t>e3dabb015564cf6285f630da5783682e7f437191653e3acbe48dacfcda92dfae</t>
  </si>
  <si>
    <t>Prime Phoenix</t>
  </si>
  <si>
    <t>11753 W Lower Buckeye Rd, Tolleson, AZ 85353, United States</t>
  </si>
  <si>
    <t>Tolleson</t>
  </si>
  <si>
    <t>85353</t>
  </si>
  <si>
    <t>BJvJ5B</t>
  </si>
  <si>
    <t>d1d72b508a37ecab05ac961b79c857b3fae3a004cae9fece47040a5a452916c1</t>
  </si>
  <si>
    <t>Project Snow</t>
  </si>
  <si>
    <t>FM2720 &amp; Bobwhite Rd. Austin, TX 78656</t>
  </si>
  <si>
    <t>Lockhart</t>
  </si>
  <si>
    <t>78644</t>
  </si>
  <si>
    <t>we8J9G</t>
  </si>
  <si>
    <t>23bc35e0d31a69593ce392d767e544e72a90392b72dd392d46c702045ea99a24</t>
  </si>
  <si>
    <t>SMF01</t>
  </si>
  <si>
    <t>2407 Ak St, McClellan Park, CA 95652</t>
  </si>
  <si>
    <t>McClellan Park</t>
  </si>
  <si>
    <t>East Del Paso Heights</t>
  </si>
  <si>
    <t>GLjkAB</t>
  </si>
  <si>
    <t>97f993ad8f4ab32482524c1d10b26edc7e0faaa8374049396b276d62d9986e4b</t>
  </si>
  <si>
    <t>Vernon (LAX-01)</t>
  </si>
  <si>
    <t>4701 S Santa Fe Ave, Vernon, CA, 90058</t>
  </si>
  <si>
    <t>Vernon</t>
  </si>
  <si>
    <t>90058</t>
  </si>
  <si>
    <t>RNe8ZB</t>
  </si>
  <si>
    <t>0af5516ad7e4c6a481d11b5d240d911fb5a7cede1f6537afb196e6c15547b455</t>
  </si>
  <si>
    <t>Princeton Research Computing</t>
  </si>
  <si>
    <t>High Performance Computing Research Center</t>
  </si>
  <si>
    <t>151 Forrestal Rd, Princeton, NJ 08540</t>
  </si>
  <si>
    <t>Plainsboro Township</t>
  </si>
  <si>
    <t>08537</t>
  </si>
  <si>
    <t>GyYvJG</t>
  </si>
  <si>
    <t>99d0b143f1fe739f466945b451136a38b360034c81f1f23134c0fd318c9ec1a7</t>
  </si>
  <si>
    <t>Prism Capital Partners</t>
  </si>
  <si>
    <t>ON3 Campus</t>
  </si>
  <si>
    <t>Cathedral Ave &amp; Kingsland St, Nutley, NJ 07110</t>
  </si>
  <si>
    <t>Nutley</t>
  </si>
  <si>
    <t>07110</t>
  </si>
  <si>
    <t>Bg5l0G</t>
  </si>
  <si>
    <t>b9b6876eed64bb0050d79de1308f59ea701a9f1e6c345fc2c6b5387cecc195a3</t>
  </si>
  <si>
    <t>Project Turbo, LLC</t>
  </si>
  <si>
    <t>Project Azalea</t>
  </si>
  <si>
    <t>2358 Randall Hunt Rd, Thomson, GA 30824</t>
  </si>
  <si>
    <t>McDuffie County</t>
  </si>
  <si>
    <t>30808</t>
  </si>
  <si>
    <t>Bg5PzG</t>
  </si>
  <si>
    <t>e8a1f48322cb4a7934466045d9d2c579b1d9b9729f37c7b513783d176acc63f4</t>
  </si>
  <si>
    <t>Project Turbo</t>
  </si>
  <si>
    <t>2400 O'Kelly Rd., Gainesville, GA 30507</t>
  </si>
  <si>
    <t>Hall County</t>
  </si>
  <si>
    <t>30507</t>
  </si>
  <si>
    <t>GdzvrB</t>
  </si>
  <si>
    <t>2be1ccf4c9e5a3c9509844a10dd23eaeeebd18665250d80341fcd07d5cdd1181</t>
  </si>
  <si>
    <t>Project West WHP - GA LLC</t>
  </si>
  <si>
    <t>Project West</t>
  </si>
  <si>
    <t>30241</t>
  </si>
  <si>
    <t>RvXYrw</t>
  </si>
  <si>
    <t>0177bf1105e0b8f7add9803d191f0971d7d8f65b57e7894c3a6e51fa52e6d0e6</t>
  </si>
  <si>
    <t>Prologis</t>
  </si>
  <si>
    <t>45121 &amp; 45181 Global Plaza</t>
  </si>
  <si>
    <t>45121 &amp; 45181 Global Plaza, Sterling, VA 20166</t>
  </si>
  <si>
    <t>Gm6Zgw</t>
  </si>
  <si>
    <t>5f69b3a1010cbdde74f6c279b7c6b81d989c889ef4d2fb005291dbd3bb93e252</t>
  </si>
  <si>
    <t>Project Sail</t>
  </si>
  <si>
    <t>Adjacent to Welcome Sargent Rd. and Wagers Mill Rd.</t>
  </si>
  <si>
    <t>Coweta County</t>
  </si>
  <si>
    <t>Newnan</t>
  </si>
  <si>
    <t>30263</t>
  </si>
  <si>
    <t>GdzqLB</t>
  </si>
  <si>
    <t>1ebf70d781a30c1982d5522d0929da366d5a9792608fa4ce00071dbb16a81491</t>
  </si>
  <si>
    <t>Prologis - Sterling</t>
  </si>
  <si>
    <t>23700 Pebble Run Pl, Sterling, VA 20166</t>
  </si>
  <si>
    <t>BJv6WB</t>
  </si>
  <si>
    <t>da3ee7180986e15b1b03459a274158dadd5ca2c53ae83ed97ad484d21b15ccf0</t>
  </si>
  <si>
    <t>Prologis Loudoun County</t>
  </si>
  <si>
    <t>113 &amp; 22660 Executive Drive &amp; 45120 Global Plaza, Sterling, VA 20166</t>
  </si>
  <si>
    <t>BPLobB</t>
  </si>
  <si>
    <t>d7f84831a9693c663da0b2e6539a0f53c87b3c5625d785335a5706d6255ac352</t>
  </si>
  <si>
    <t>Prologis Yorkville (Project Steel)</t>
  </si>
  <si>
    <t>Galena Road &amp; Eldamain Road, Yorkville, IL 60560</t>
  </si>
  <si>
    <t>B7EEQG</t>
  </si>
  <si>
    <t>348938e7827e4b2381e730a9e75322393bd2156ef0698f0d8b218c3c92cfbb7c</t>
  </si>
  <si>
    <t>Prometheus Hyperscale</t>
  </si>
  <si>
    <t>Aspen Mountain Hyperscale</t>
  </si>
  <si>
    <t>Uinta County</t>
  </si>
  <si>
    <t>Altamont</t>
  </si>
  <si>
    <t>82930</t>
  </si>
  <si>
    <t>GyPEJR</t>
  </si>
  <si>
    <t>da9cf0cff42586ac8269c615e8467c8e7c7f158740b3bdb4b12cf7987b3fabf7</t>
  </si>
  <si>
    <t>Casper Expansion Site</t>
  </si>
  <si>
    <t>Converse</t>
  </si>
  <si>
    <t>Gm4qmR</t>
  </si>
  <si>
    <t>9aff31596f02fc7b793a59668c3c6d5ec420ad21118eb333ebd70f70f555be7f</t>
  </si>
  <si>
    <t>Prov.net</t>
  </si>
  <si>
    <t>Boston North</t>
  </si>
  <si>
    <t>187 Billerica Road, Chelmsford, MA 01824, United States</t>
  </si>
  <si>
    <t>Chelmsford</t>
  </si>
  <si>
    <t>01824</t>
  </si>
  <si>
    <t>RYqEOR</t>
  </si>
  <si>
    <t>e8219d459fd666b07dd9ccef4a37140eaee78bde8043bb7d295ec27a7ca0d92b</t>
  </si>
  <si>
    <t>Prov.net Providence campus</t>
  </si>
  <si>
    <t>1155 Westminster St, 304 Carpenter St. &amp; 935 Westminster St Providence, RI 02909</t>
  </si>
  <si>
    <t>BgAxmG</t>
  </si>
  <si>
    <t>2829814f6af318e491d4d2002cb98838a7b6aaf5312f13ef8824b02e99b4dc7c</t>
  </si>
  <si>
    <t>Provident Data Centers</t>
  </si>
  <si>
    <t>Dauphin County Data Center</t>
  </si>
  <si>
    <t>650 S Harrisburg St, Harrisburg, PA 17113</t>
  </si>
  <si>
    <t>Swatara Township</t>
  </si>
  <si>
    <t>17113</t>
  </si>
  <si>
    <t>Swatara</t>
  </si>
  <si>
    <t>GrlgoB</t>
  </si>
  <si>
    <t>9f2df0df7d406860306554f4d541ce3a965af226cc032fc307b9f58d2ceba53a</t>
  </si>
  <si>
    <t>Province Group</t>
  </si>
  <si>
    <t>Powhatan Technology Park</t>
  </si>
  <si>
    <t>Powhattan County, Virginia 23139</t>
  </si>
  <si>
    <t>Powhatan County</t>
  </si>
  <si>
    <t>Powhatan</t>
  </si>
  <si>
    <t>23139</t>
  </si>
  <si>
    <t>BELrYw</t>
  </si>
  <si>
    <t>795e82b6e127e376df3124b3c8363d39795192702ce97e17fc840c82174f2e21</t>
  </si>
  <si>
    <t>Provision Data Services</t>
  </si>
  <si>
    <t>Live Oak Street</t>
  </si>
  <si>
    <t>2020 Live Oak St, Dallas, Texas 75201, USA</t>
  </si>
  <si>
    <t>75206</t>
  </si>
  <si>
    <t>G6E7PR</t>
  </si>
  <si>
    <t>b7a399cb6317ca95e9f250d21bc79773829f124b23b3f4a8b65be3b9905f3363</t>
  </si>
  <si>
    <t>Psychz Networks</t>
  </si>
  <si>
    <t>Psychz 609 West 7th Street</t>
  </si>
  <si>
    <t>609 W 7th St, Los Angeles, CA 90017</t>
  </si>
  <si>
    <t>90071</t>
  </si>
  <si>
    <t>R0WADB</t>
  </si>
  <si>
    <t>4b125e8e7fdb7a0ad11384adbbf9a29c9cd8800375a5e13feb18c0cdce99a098</t>
  </si>
  <si>
    <t>Psychz 700 Wilshire Boulevard</t>
  </si>
  <si>
    <t>700 Wilshire Blvd Suite 100 and 200, Los Angeles, CA 90017</t>
  </si>
  <si>
    <t>GyZDyw</t>
  </si>
  <si>
    <t>24a9be6125eda39ec2e006998702b665c36be46490054427b846bbb03a070474</t>
  </si>
  <si>
    <t>QTS Datacenters</t>
  </si>
  <si>
    <t>Ashburn 1</t>
  </si>
  <si>
    <t>22271 Broderick Drive , Sterling, Virginia , 20166, USA</t>
  </si>
  <si>
    <t>Rjm1mB</t>
  </si>
  <si>
    <t>4941d9b95be30cd87031df6f365c624dad1d1a98f663ebe9ec6b9e78ae287575</t>
  </si>
  <si>
    <t>Ashburn 2</t>
  </si>
  <si>
    <t>22426 Lockridge Road, Sterling, Virginia , 20166, USA</t>
  </si>
  <si>
    <t>GrjAXG</t>
  </si>
  <si>
    <t>f75626020f1e4d1085cc963d4ee02a067234e69d1df289828e0b66d0abbf845e</t>
  </si>
  <si>
    <t>Ashburn 3</t>
  </si>
  <si>
    <t>22291 Shellhorn Road, Ashburn, Virginia  20147</t>
  </si>
  <si>
    <t>RpYALG</t>
  </si>
  <si>
    <t>19d927500a3ed66cfbdd1ddb3d65ee9b2de9172bdf5200c1fa3a0d9dc4eb03e8</t>
  </si>
  <si>
    <t>Ashburn Moran Data Center</t>
  </si>
  <si>
    <t>44874 Moran Road, Sterling, Virginia , 20166, USA</t>
  </si>
  <si>
    <t>R8LqVR</t>
  </si>
  <si>
    <t>6bae4e223e8cc4251a2352b5f6d5585565aab80a5f061268fd4d744073a9dcfb</t>
  </si>
  <si>
    <t>Atlanta  DC1</t>
  </si>
  <si>
    <t>1033 Jefferson Street NW, Atlanta, Georgia , 30318, USA</t>
  </si>
  <si>
    <t>Bellwood</t>
  </si>
  <si>
    <t>Bankhead</t>
  </si>
  <si>
    <t>GlJgrB</t>
  </si>
  <si>
    <t>811255d8787ffbd0dddbd8588b04297df5159d403acdecb3892c4aaa27cd5304</t>
  </si>
  <si>
    <t>Atlanta DC2</t>
  </si>
  <si>
    <t>1025 Jefferson Street NW Atlanta, Georgia 30318</t>
  </si>
  <si>
    <t>wodqpB</t>
  </si>
  <si>
    <t>46083f15e96639f84fea58aad061b76acedf25959fe056eec76f73260b364cb1</t>
  </si>
  <si>
    <t>Atlanta DC3</t>
  </si>
  <si>
    <t>953 Herndon Street, Atlanta, GA 30318</t>
  </si>
  <si>
    <t>Knight Park/Howell Station</t>
  </si>
  <si>
    <t>weNELB</t>
  </si>
  <si>
    <t>d572d118ee8aecd73d241fcb0b443972ec5dc26be0d2660d928b10e7842d199e</t>
  </si>
  <si>
    <t>Atlanta DC4</t>
  </si>
  <si>
    <t>1103 Herndon Street, Atlanta, GA 30318</t>
  </si>
  <si>
    <t>GWZkvR</t>
  </si>
  <si>
    <t>8539e4e5f183368ed0b63f8fe539b034c07e19881e65ad1271dc8ff58360203b</t>
  </si>
  <si>
    <t>Fairfax</t>
  </si>
  <si>
    <t>52228</t>
  </si>
  <si>
    <t>wo1JbR</t>
  </si>
  <si>
    <t>ddd742130e9fa9369dcd38bb76b3e97b833a0804a56517f68ac9e2a2cf34ad72</t>
  </si>
  <si>
    <t>Chicago Data Center</t>
  </si>
  <si>
    <t>2800 S Ashland Avenue , Chicago, Illinois , 60608, USA</t>
  </si>
  <si>
    <t>Canalport</t>
  </si>
  <si>
    <t>Lower West Side</t>
  </si>
  <si>
    <t>GrjAgG</t>
  </si>
  <si>
    <t>bbb9905089d34bdf344c3b7af6520ead961c7dbc7dd9f1ff2204197d2ee2f187</t>
  </si>
  <si>
    <t>311 S. Rockrimmon Blvd Colorado Springs, CO 80919</t>
  </si>
  <si>
    <t>80919</t>
  </si>
  <si>
    <t>Gk40xw</t>
  </si>
  <si>
    <t>b06d8f9bad036080251103c7f27eaa7b3b7613bf83cfb339d3daba23febcaa8f</t>
  </si>
  <si>
    <t>Deforest QTS</t>
  </si>
  <si>
    <t>Town of Vienna</t>
  </si>
  <si>
    <t>53532</t>
  </si>
  <si>
    <t>RxnX4w</t>
  </si>
  <si>
    <t>8af6fd5ef110ad1a4a08c8f739b6b23f19181c2479bf00cb3ca0104a62632ce8</t>
  </si>
  <si>
    <t>Denver Data Center Campus</t>
  </si>
  <si>
    <t>1160 N. Gun Club Rd Aurora, Colorado 80018, USA</t>
  </si>
  <si>
    <t>BPJE8G</t>
  </si>
  <si>
    <t>803eb33c0988c3cb645a33808fd913e9e91fb5027256cf381cd647d8f7f4b3f1</t>
  </si>
  <si>
    <t>6431 Longhorn Drive, Irving, Texas 75063, USA</t>
  </si>
  <si>
    <t>75063</t>
  </si>
  <si>
    <t>BgqYKG</t>
  </si>
  <si>
    <t>08f344cdd95ab3bb75014c4f120eaef9f1e54012ad2325358e49eedb4deba2c7</t>
  </si>
  <si>
    <t>East Windsor</t>
  </si>
  <si>
    <t>159 Princeton-Hightstown Road, East Windsor, New Jersey, 08520, USA</t>
  </si>
  <si>
    <t>Mercer County</t>
  </si>
  <si>
    <t>08520</t>
  </si>
  <si>
    <t>East Windsor Township</t>
  </si>
  <si>
    <t>RKaPqw</t>
  </si>
  <si>
    <t>8ab3f6e33cdfdb2e351adae0e3ff8090477c9467a73c4398ce4c6363c3a18c5e</t>
  </si>
  <si>
    <t>1435 Hwy 54 W, Fayetteville, GA 30214</t>
  </si>
  <si>
    <t>30214</t>
  </si>
  <si>
    <t>RYqPdR</t>
  </si>
  <si>
    <t>6672261759704a4cce675dc06c58ecfbbfe249ed9fd4738dab774f5c380eb701</t>
  </si>
  <si>
    <t>Fort Worth - Dallas</t>
  </si>
  <si>
    <t>14100 Park Vista Boulevard, Fort Worth, Texas 76177, USA</t>
  </si>
  <si>
    <t>wOpYgB</t>
  </si>
  <si>
    <t>9f95ed9be94552e54dcaf048036df121e7fbfb0c44b670feab5c17cdf3018f6e</t>
  </si>
  <si>
    <t>Hillsboro - Portland Data Center</t>
  </si>
  <si>
    <t>4951 NE Huffman Street Hillsboro, Oregon 97124, USA</t>
  </si>
  <si>
    <t>B1QqMB</t>
  </si>
  <si>
    <t>8f630935817c98ff9e8041f46221cfbf6d5b5fb23076420ed0aa64ca794d9193</t>
  </si>
  <si>
    <t>IB10 Martinsburg Data Center Campus</t>
  </si>
  <si>
    <t>Kearneysville, WV 25430</t>
  </si>
  <si>
    <t>Kearneysville</t>
  </si>
  <si>
    <t>25430</t>
  </si>
  <si>
    <t>R881vR</t>
  </si>
  <si>
    <t>11f414c0aa9ad481cf0d9197c1cf1f7d93fea0ec81b2c45eba5d471281a01cec</t>
  </si>
  <si>
    <t>Jersey City Data Center</t>
  </si>
  <si>
    <t>95 Christopher Columbus Drive, Jersey City, New Jersey, 07302, USA</t>
  </si>
  <si>
    <t>07302</t>
  </si>
  <si>
    <t>GnXmKB</t>
  </si>
  <si>
    <t>098e6968b61f9f78ec88906d66f4fe8c31b728a0b1e82148be9474cfeba024b4</t>
  </si>
  <si>
    <t>Manassas Data Center</t>
  </si>
  <si>
    <t>9400 Godwin Drive, Manassas, Virginia , 20110, USA</t>
  </si>
  <si>
    <t>GDPpoG</t>
  </si>
  <si>
    <t>f5a6b072ed0e12cc3897ff80612666a060f7661f088887cecc9a617bdfc93378</t>
  </si>
  <si>
    <t>Miami Data Center</t>
  </si>
  <si>
    <t>11234 NW 20th Street, Miami, Florida , 33172, USA</t>
  </si>
  <si>
    <t>GDPp4G</t>
  </si>
  <si>
    <t>b7cb24e2887104b2ebe547aa8fbae117c7d2d746522e0dedebfba3182680507f</t>
  </si>
  <si>
    <t>1225 Beech Road SW New Albany, Ohio 43054 &amp; 1235 Beech Road SW New Albany, Ohio 43054</t>
  </si>
  <si>
    <t>GLv54B</t>
  </si>
  <si>
    <t>b248cc0b7d4895ad027a5ed7f18f2aa4f078af217e8c18f649403ffd979409f8</t>
  </si>
  <si>
    <t>785 Beech Rd, New Albany, OH 43062 &amp; 675 Beech Rd, New Albany, OH 43062</t>
  </si>
  <si>
    <t>BqvbyR</t>
  </si>
  <si>
    <t>e65f3a9ceeef63ff7c43ae0987a4765f7b672eb7b94fe00c067f7babb434631c</t>
  </si>
  <si>
    <t>New Albany 3 (Babbitt)</t>
  </si>
  <si>
    <t>6140 Babbitt Rd, New Albany, OH 43054</t>
  </si>
  <si>
    <t>R8mpDG</t>
  </si>
  <si>
    <t>96ee32936db6f513d86666ff3fe9c2ad28ef0e7f7068be932bc654a37ef7d831</t>
  </si>
  <si>
    <t>New Albany 4 (Miller)</t>
  </si>
  <si>
    <t>13335 Miller rd Johnstown, OH 43031</t>
  </si>
  <si>
    <t>GnKKyw</t>
  </si>
  <si>
    <t>73314cded63a78f61beccef7d429596025bc321141567271117371a938d0c932</t>
  </si>
  <si>
    <t>Overland Park - Kansas City Data Center</t>
  </si>
  <si>
    <t>12851 Foster Street, Overland Park, Kansas , 66213, USA</t>
  </si>
  <si>
    <t>66251</t>
  </si>
  <si>
    <t>R8Lq9R</t>
  </si>
  <si>
    <t>a210d88566071ae283911ac662c540a707704f51034f896311a3b40946be5dfd</t>
  </si>
  <si>
    <t>Phoenix 2</t>
  </si>
  <si>
    <t>1200 N 40th Street, Phoenix, AZ 85008</t>
  </si>
  <si>
    <t>Rancho Hermoso</t>
  </si>
  <si>
    <t>RNem8B</t>
  </si>
  <si>
    <t>78cf2594c975c7e63b6debffc483834e2768261d5c10ddbaf5c13cf80e905f68</t>
  </si>
  <si>
    <t>Phoenix 3</t>
  </si>
  <si>
    <t>17501 W Bethany Home Rd. Waddell, AZ 85355</t>
  </si>
  <si>
    <t>Litchfield Park</t>
  </si>
  <si>
    <t>85340</t>
  </si>
  <si>
    <t>R4kX5B</t>
  </si>
  <si>
    <t>62cbcf6b73f5eba1b0957b97404a925704b9ad4a8c5cba1062b60b19f30bb8f6</t>
  </si>
  <si>
    <t>Piscataway Data Center</t>
  </si>
  <si>
    <t>101 Possumtown Road  , Piscataway Township, New Jersey, 08854, USA</t>
  </si>
  <si>
    <t>Rpg83B</t>
  </si>
  <si>
    <t>e3312b71e8dfdaabe32fffdbed4d7e45064fd8d8560f349894dafd6ade4de9ad</t>
  </si>
  <si>
    <t>QTS KC 2</t>
  </si>
  <si>
    <t>16175 John Glenn PkwyNew Century, KS 66031</t>
  </si>
  <si>
    <t>Clare</t>
  </si>
  <si>
    <t>66031</t>
  </si>
  <si>
    <t>RpOkAB</t>
  </si>
  <si>
    <t>b7a2cf1001bf6c115072406154f053a3cec1308295852f574604c8c35546defd</t>
  </si>
  <si>
    <t>Richmond Data Center</t>
  </si>
  <si>
    <t>6000 Technology Boulevard, Sandston, Virginia , 23150, USA</t>
  </si>
  <si>
    <t>BAyDQB</t>
  </si>
  <si>
    <t>3c7e40b9467496d98af84a32761ce6927693eda3a66b85016a830f8c684acadb</t>
  </si>
  <si>
    <t>Sacramento Data Center</t>
  </si>
  <si>
    <t>1100 North Market Boulevard, Sacramento, California , 95834, USA</t>
  </si>
  <si>
    <t>Rpg8DB</t>
  </si>
  <si>
    <t>62e5acd2d0fc7d97ac5e809daad9560876848f455ab9313bfff3f6dbf1187b71</t>
  </si>
  <si>
    <t>Salt Lake City 1</t>
  </si>
  <si>
    <t>542 East Hyperscale Way, Fairfield, UT 84013</t>
  </si>
  <si>
    <t>RYMZ3R</t>
  </si>
  <si>
    <t>446a25055f9fc0fe80148bf236fb89e78c275ceda904c395318cdc94da8b9ef1</t>
  </si>
  <si>
    <t>San Antonio Data Center</t>
  </si>
  <si>
    <t>8535 Potranco Rd, San Antonio, Texas 78251, USA</t>
  </si>
  <si>
    <t>G6En4R</t>
  </si>
  <si>
    <t>0594c6404135e6c31022ce396041350cbc965392a40be17310a7e5b316308dbc</t>
  </si>
  <si>
    <t>Santa Clara Data Center</t>
  </si>
  <si>
    <t>2805/2807 Mission College Boulevard, Santa Clara, California , 95054, USA</t>
  </si>
  <si>
    <t>95054-1838</t>
  </si>
  <si>
    <t>BAyDAB</t>
  </si>
  <si>
    <t>7953f27a261d7fd03968e77da2027fa11ec905344f2439df31f47d8cc2e5d2da</t>
  </si>
  <si>
    <t>Suwanee DC1</t>
  </si>
  <si>
    <t>300 Satellite Boulevard, Suwanee, Georgia , 30024, USA</t>
  </si>
  <si>
    <t>Gwinnett County</t>
  </si>
  <si>
    <t>Suwanee</t>
  </si>
  <si>
    <t>30042</t>
  </si>
  <si>
    <t>Rjm18B</t>
  </si>
  <si>
    <t>786d6205f214151f8eae9d5f9ba81e22eb7bae3c144643db720ebaff1b996c53</t>
  </si>
  <si>
    <t>Suwanee DC2</t>
  </si>
  <si>
    <t>120 Satellite Blvd NW, Suwanee, GA 30024</t>
  </si>
  <si>
    <t>w536vR</t>
  </si>
  <si>
    <t>80710ca1a5ea15660eff51d2b14b2fd31fd7ceb24785b36b6e02ffa9373a25cf</t>
  </si>
  <si>
    <t>White Oak Technology Park 2</t>
  </si>
  <si>
    <t>Sandston, VA 23150</t>
  </si>
  <si>
    <t>GlWkgR</t>
  </si>
  <si>
    <t>8e95347f450333d7a352f0b81efe00d7026b348d214327c41fbdfdab9839c66b</t>
  </si>
  <si>
    <t>2157 Hands Mill Hwy, Rock Hill, SC 29732, USA</t>
  </si>
  <si>
    <t>York</t>
  </si>
  <si>
    <t>29745</t>
  </si>
  <si>
    <t>GlWAzR</t>
  </si>
  <si>
    <t>764e889175cea46f2b6f70d7502712ae6202e74134f17c4613b6d3c81450c3bc</t>
  </si>
  <si>
    <t>QuadraNet</t>
  </si>
  <si>
    <t>New Jersey Data Center</t>
  </si>
  <si>
    <t>110 Meadowlands Pkwy #100, Secaucus, NJ 07094</t>
  </si>
  <si>
    <t>GDrg1B</t>
  </si>
  <si>
    <t>8c1db3aab87b7d3e225accbd15112c1d5f7b85ba943e6aed91adefe5fdcc9299</t>
  </si>
  <si>
    <t>QuadraNet Los Angeles</t>
  </si>
  <si>
    <t xml:space="preserve">530 W 6th St Los Angeles, CA 90014 </t>
  </si>
  <si>
    <t>G3M0xB</t>
  </si>
  <si>
    <t>de4be420de39d596ee32b08ad48fc1940e5976a226a4a19112b2c572e7275454</t>
  </si>
  <si>
    <t>Quasar</t>
  </si>
  <si>
    <t>Quasar Data Center</t>
  </si>
  <si>
    <t>1001 Texas Ave, Houston, Texas 77002, USA</t>
  </si>
  <si>
    <t>GLoyNR</t>
  </si>
  <si>
    <t>405a0e6a2c1d6322f479f7d4c46e2a19206825f0280978d29ba08f239d202ec7</t>
  </si>
  <si>
    <t>Quest Technology Management</t>
  </si>
  <si>
    <t>Quest HABC</t>
  </si>
  <si>
    <t>9000 Foothills Blvd, Roseville, CA 95747</t>
  </si>
  <si>
    <t>Placer County</t>
  </si>
  <si>
    <t>Roseville</t>
  </si>
  <si>
    <t>95747</t>
  </si>
  <si>
    <t>B1A74B</t>
  </si>
  <si>
    <t>bebb82a71a744a024ce3294c9c74baf7ee00b8f5239eeb9b81138d3e56e9a1ee</t>
  </si>
  <si>
    <t>Quest McClellan BRC</t>
  </si>
  <si>
    <t>4235 Forcum Ave, McClellan Park, CA 95652</t>
  </si>
  <si>
    <t>Rv4oyw</t>
  </si>
  <si>
    <t>7e6bcae119c4040966c59bf0099daae2cb7cb8bc5376250873ce630da73d2f57</t>
  </si>
  <si>
    <t>Rack59</t>
  </si>
  <si>
    <t>7725 West Reno, Suite #304 Oklahoma City, Oklahoma 73127</t>
  </si>
  <si>
    <t>73127</t>
  </si>
  <si>
    <t>GdAvNw</t>
  </si>
  <si>
    <t>dd32e87a0d5d00399d1fc03d8deb5fcbcb3a1a47028a5ec968c0d846efb68bf7</t>
  </si>
  <si>
    <t>Rackspace</t>
  </si>
  <si>
    <t>MCI1</t>
  </si>
  <si>
    <t>10828 North Airworld Drive, Kansas City, USA</t>
  </si>
  <si>
    <t>64153</t>
  </si>
  <si>
    <t>Tarrytown</t>
  </si>
  <si>
    <t>B1QM4B</t>
  </si>
  <si>
    <t>a03c000e66032956474c32f661db56428c2c9e1a0d693e2d37a18ae2237e68ab</t>
  </si>
  <si>
    <t>NYC2</t>
  </si>
  <si>
    <t>125 Belmont Dr, Somerset, NJ 08873</t>
  </si>
  <si>
    <t>GlJNnB</t>
  </si>
  <si>
    <t>51ad593915070b205d741ee3793fd676def0f491b5ca74e3903750cfa166c7b7</t>
  </si>
  <si>
    <t>SJC2</t>
  </si>
  <si>
    <t>150 S 1st St, San Jose, CA 95113</t>
  </si>
  <si>
    <t>Gz9qER</t>
  </si>
  <si>
    <t>fc8454cd121e5136f29764fa81f0029ee5ceb12c32d0111b12d1d8ccc1fe05eb</t>
  </si>
  <si>
    <t>Radius DC</t>
  </si>
  <si>
    <t>1500 Champa</t>
  </si>
  <si>
    <t>1500 Champa Street Suite 100, Denver, Colorado 80202, USA</t>
  </si>
  <si>
    <t>GrVx8G</t>
  </si>
  <si>
    <t>381589749c1a92f4a653d3d6d99b77a42837395de880dea0556249006c37087e</t>
  </si>
  <si>
    <t>55 Marietta St.</t>
  </si>
  <si>
    <t>55 Marietta St NW, Atlanta, GA 30303, United States</t>
  </si>
  <si>
    <t>GZqn8R</t>
  </si>
  <si>
    <t>625ae4f2d7701cb6e2788e7eb02bf3d648475259eabc044e3983867ed1d0e579</t>
  </si>
  <si>
    <t>Nashville I</t>
  </si>
  <si>
    <t>2906 Brick Church Pike, Nashville, TN 37207</t>
  </si>
  <si>
    <t>37207</t>
  </si>
  <si>
    <t>Avondale</t>
  </si>
  <si>
    <t>Gk4WMw</t>
  </si>
  <si>
    <t>5fe144ab155bc2fc7d7e0c59e56a27c425b23f128ac1e07e19c88bfe92037642</t>
  </si>
  <si>
    <t>Plainsfield Campus Radius DC</t>
  </si>
  <si>
    <t>9421 All Points Parkway Plainfield, Indiana 46168</t>
  </si>
  <si>
    <t>Hendricks County</t>
  </si>
  <si>
    <t>Plainfield</t>
  </si>
  <si>
    <t>46231</t>
  </si>
  <si>
    <t>Guilford Township</t>
  </si>
  <si>
    <t>Bg5DmG</t>
  </si>
  <si>
    <t>ea28f3edb310d45532ac90edf396c020104bb28f55775cf07628d6f79eac6a39</t>
  </si>
  <si>
    <t>Real Estate Pursuits 2 LC</t>
  </si>
  <si>
    <t>Forest Lane Data Center</t>
  </si>
  <si>
    <t>Stafford County, Virginia 22405</t>
  </si>
  <si>
    <t>BAgexG</t>
  </si>
  <si>
    <t>35a4a84b6b427a032427638c9b64c2359ed4e175fbf3c05c42c9e0cb5e223985</t>
  </si>
  <si>
    <t>Recovery Point</t>
  </si>
  <si>
    <t>Recovery Point Data Center</t>
  </si>
  <si>
    <t>20441 Century Blvd, Germantown, MD 20874</t>
  </si>
  <si>
    <t>20841</t>
  </si>
  <si>
    <t>Gz76jw</t>
  </si>
  <si>
    <t>b9821de10b7c2ecce4a3149d9ecb60149e567c6f572587c98541fce77b152d55</t>
  </si>
  <si>
    <t>Red Ace Capital Management</t>
  </si>
  <si>
    <t>Keyser Road Data Center</t>
  </si>
  <si>
    <t>BbAXWw</t>
  </si>
  <si>
    <t>4fb784017860e07f8b9b5d7bad8468d3ff5c7afbe3b3d75bf06eb696b5473ab5</t>
  </si>
  <si>
    <t>Red Wolf DCD Properties LLC</t>
  </si>
  <si>
    <t>0 Rocky Creek</t>
  </si>
  <si>
    <t>SE intersection of Rocky Creek Road and GA Highway 20 W</t>
  </si>
  <si>
    <t>Kennesaw</t>
  </si>
  <si>
    <t>30144</t>
  </si>
  <si>
    <t>wOvEnG</t>
  </si>
  <si>
    <t>208ccbb8cd8466f41b8e7e144d99191cf7a89a3c1b3157203d04bb4a3af3091d</t>
  </si>
  <si>
    <t>Project Red Wolf</t>
  </si>
  <si>
    <t>13000 Parallel Pkwy, Kansas City, KS 66109</t>
  </si>
  <si>
    <t>66109</t>
  </si>
  <si>
    <t>w9DA7G</t>
  </si>
  <si>
    <t>6b3f1924402b1b4f1346fa02abf6dd91f112c5cf28df4c471755d5dead490c39</t>
  </si>
  <si>
    <t>Project Splice</t>
  </si>
  <si>
    <t>309 Cemetery Rd, Cordele, GA 31015</t>
  </si>
  <si>
    <t>Crisp County</t>
  </si>
  <si>
    <t>Cordele</t>
  </si>
  <si>
    <t>31010</t>
  </si>
  <si>
    <t>Bb8ArG</t>
  </si>
  <si>
    <t>c9a801d17dae3d454137cb2dd2e8c2ad8db0688ffca310ad18fcd23cb95d5c86</t>
  </si>
  <si>
    <t>Reign Capital</t>
  </si>
  <si>
    <t>1715 6th Ave N, Birmingham, AL 35203, United States</t>
  </si>
  <si>
    <t>35203</t>
  </si>
  <si>
    <t>Fourth Avenue Historic District</t>
  </si>
  <si>
    <t>Rp7QVB</t>
  </si>
  <si>
    <t>afe4cc1f7e82e336a69a35fbfb09e98ee61eba94af6de2a3c7cf0546e29b5a9f</t>
  </si>
  <si>
    <t>Related Digital</t>
  </si>
  <si>
    <t>The Barn (Stargate)</t>
  </si>
  <si>
    <t>Washtenaw County</t>
  </si>
  <si>
    <t>Saline Township</t>
  </si>
  <si>
    <t>48176</t>
  </si>
  <si>
    <t>BXJMJG</t>
  </si>
  <si>
    <t>88472e2b7238f2c27517f53086b7dbd0e5dfcf9bf233869707ee28a3ce50e3e3</t>
  </si>
  <si>
    <t>RiCloud</t>
  </si>
  <si>
    <t>RiCloud Data Center - San Jose</t>
  </si>
  <si>
    <t>6580 Vía del Oro, San Jose, CA 95119</t>
  </si>
  <si>
    <t>wMr75B</t>
  </si>
  <si>
    <t>b7e60a99dad46491ab749d2ffa6bbb3209a33c60dedab72305a8a38563928e62</t>
  </si>
  <si>
    <t>Ritter Communications</t>
  </si>
  <si>
    <t>Data Technology Center Jonesboro</t>
  </si>
  <si>
    <t>2400 Ritter Dr, Jonesboro, AR 72401, USA</t>
  </si>
  <si>
    <t>Craighead County</t>
  </si>
  <si>
    <t>Jonesboro</t>
  </si>
  <si>
    <t>72401</t>
  </si>
  <si>
    <t>RjJ5NR</t>
  </si>
  <si>
    <t>b39e8d709f1bf0d96a63c771065efcab64906a13dbcb0d8ec357a7c5188b7be7</t>
  </si>
  <si>
    <t>Roller Network</t>
  </si>
  <si>
    <t>Reno DC</t>
  </si>
  <si>
    <t>3545 Airway Drive, Reno, NV 89511, United States (#114)</t>
  </si>
  <si>
    <t>89511</t>
  </si>
  <si>
    <t>weXA3G</t>
  </si>
  <si>
    <t>f9e2aa34034b3872860d4aa84cb3740407cd8998b4852b9e06a969b25f791730</t>
  </si>
  <si>
    <t>Roper St. Francis</t>
  </si>
  <si>
    <t>Roper St. Francis Data Center</t>
  </si>
  <si>
    <t>8536 Palmetto Commerce Pkwy, Ladson, SC 29456</t>
  </si>
  <si>
    <t>GZ6K6G</t>
  </si>
  <si>
    <t>f0b5a0bc162bc096fc0c40186f6563bdf9d4bf23c5ba273e868208fc245ab6c4</t>
  </si>
  <si>
    <t>Rowan Digital Infrastructure</t>
  </si>
  <si>
    <t>Cinco</t>
  </si>
  <si>
    <t>TX-132 &amp; Co Rd 683</t>
  </si>
  <si>
    <t>78059</t>
  </si>
  <si>
    <t>Bb8D0G</t>
  </si>
  <si>
    <t>46fa2071b0747a488c5fa3d88d3f3b408d91e9dbea94dcf85b583fb808c8bc4f</t>
  </si>
  <si>
    <t>Percheron</t>
  </si>
  <si>
    <t>R8mrDG</t>
  </si>
  <si>
    <t>7748c8f0d8bf2ae99b9ff0799ad4bef041b74102b7b4a8da9395e6cd4c3aa846</t>
  </si>
  <si>
    <t>Rowan Quantum Frederick</t>
  </si>
  <si>
    <t>w5AOqw</t>
  </si>
  <si>
    <t>19b5916adfd3273e1cdcaa2b1b282c1af5aa8b501f18dec6d25fbf584400fd7f</t>
  </si>
  <si>
    <t>Temple Green Data Campus</t>
  </si>
  <si>
    <t>2810 Bob White Rd, Temple, Texas 76501, USA</t>
  </si>
  <si>
    <t>76501</t>
  </si>
  <si>
    <t>BJr7mB</t>
  </si>
  <si>
    <t>11deb0feebae09652d84b5e5af26dceb012bdc08b7697af41a126e3af11cd2be</t>
  </si>
  <si>
    <t>RSC Investment Management</t>
  </si>
  <si>
    <t>Stonewall Tell</t>
  </si>
  <si>
    <t>East of Stonewall Tell Rd. and south of South Fulton Pkwy</t>
  </si>
  <si>
    <t>R88E4R</t>
  </si>
  <si>
    <t>a794559087c00e7211e7a69f080931db51ed89a0b0991ee895169cc4496f6331</t>
  </si>
  <si>
    <t>Sabey Data Centers</t>
  </si>
  <si>
    <t>Intergate.Columbia</t>
  </si>
  <si>
    <t>4405 Grant Rd, East Wenatchee, Washington, 98802, USA</t>
  </si>
  <si>
    <t>RKar2w</t>
  </si>
  <si>
    <t>051a909d50480cb434811ef25b780ae77abd42fa64a30f7508b4d41f4c0e2fd8</t>
  </si>
  <si>
    <t>Intergate.Quincy</t>
  </si>
  <si>
    <t>2200 M St NE, Quincy, Washington , 98848, USA</t>
  </si>
  <si>
    <t>Bgqv4G</t>
  </si>
  <si>
    <t>cf17be4e747e7806fe4aa095e805beb1d01ffe77a16b2f729904ffc51e24a59a</t>
  </si>
  <si>
    <t>Intergate.Seattle East Campus</t>
  </si>
  <si>
    <t>3355 35th Ave S  , Tukwila, Washington , 98168, USA</t>
  </si>
  <si>
    <t>GnX9oB</t>
  </si>
  <si>
    <t>35a93e8158a7dcc31db409607f3964b79558e4e8d8dde78128f01aa53991731f</t>
  </si>
  <si>
    <t>Intergate.Seattle West Campus</t>
  </si>
  <si>
    <t>3355 35th Ave S, Tukwila, Washington , 98168, USA</t>
  </si>
  <si>
    <t>BAyEyB</t>
  </si>
  <si>
    <t>bc3241d3753da9c22e4ac3621aedb05bf57aa2b2418fc8207ebe55ef2368f9ec</t>
  </si>
  <si>
    <t>San Marcos Data Center</t>
  </si>
  <si>
    <t>5801 S Old Bastrop Hwy, San Marcos, TX 78666</t>
  </si>
  <si>
    <t>BE1XYB</t>
  </si>
  <si>
    <t>105276963c3613fce346991e791adfafdb776ebf0436f9094695676ee856147d</t>
  </si>
  <si>
    <t>SDC Ashburn</t>
  </si>
  <si>
    <t>21741 Red Rum Dr, Ashburn, VA 20147</t>
  </si>
  <si>
    <t>RjP5Mw</t>
  </si>
  <si>
    <t>ab071a67da9e53ddc00ee8836a6034c4fdcf4e6eb3550829ac9f0af556646faa</t>
  </si>
  <si>
    <t>SDC Austin</t>
  </si>
  <si>
    <t>1300 Louis Henna Blvd, Round Rock, Texas 78664, USA</t>
  </si>
  <si>
    <t>78664</t>
  </si>
  <si>
    <t>GLov5R</t>
  </si>
  <si>
    <t>b295ffe02fb152b7f7d2f3c24676ac7e38106da8fcebfd15e89a89b49b3c27d0</t>
  </si>
  <si>
    <t>SDC Manhattan</t>
  </si>
  <si>
    <t>375 Pearl St, New York, New York, 10038, USA</t>
  </si>
  <si>
    <t>10038</t>
  </si>
  <si>
    <t>B7oKeB</t>
  </si>
  <si>
    <t>ee57a117574a26354e94238fa6aeb935fbf57e9e31b1b4ec9defade2472e4301</t>
  </si>
  <si>
    <t>SDC Umatilla</t>
  </si>
  <si>
    <t>Wanapa Road, Umatilla, OR</t>
  </si>
  <si>
    <t>R2Lxbw</t>
  </si>
  <si>
    <t>ff5e2deed77a3c33b7393e0634a8da63af3a2a54f8d1d6c879925129c379331f</t>
  </si>
  <si>
    <t>Sailfish  Investors</t>
  </si>
  <si>
    <t>Comanche Circle</t>
  </si>
  <si>
    <t>Hood County</t>
  </si>
  <si>
    <t>Tolar</t>
  </si>
  <si>
    <t>76476</t>
  </si>
  <si>
    <t>Gl4XxG</t>
  </si>
  <si>
    <t>e4a7557a61ef3907cb86c3eeebdde2344fc6b8fb35e31f96a854dd3ee9bfdbf2</t>
  </si>
  <si>
    <t>0 Social Circle Pkwy, Social Circle, GA 30025</t>
  </si>
  <si>
    <t>Walton County</t>
  </si>
  <si>
    <t>GDL8pG</t>
  </si>
  <si>
    <t>cd1059a2e5b899698d5f03920e99cd6e1f1817d251bc08de534489d27682273b</t>
  </si>
  <si>
    <t>Salcido</t>
  </si>
  <si>
    <t>Pangborn</t>
  </si>
  <si>
    <t>748 S Billingsley Dr East Wenatchee, WA 98802 USA</t>
  </si>
  <si>
    <t>BqWqlG</t>
  </si>
  <si>
    <t>080395abf1e851fe639d03bdae5330bf5ebc129bb8aa818471431ed867c22ca6</t>
  </si>
  <si>
    <t>SAMX</t>
  </si>
  <si>
    <t>SAMX Fauquier County</t>
  </si>
  <si>
    <t>11825 Remington Rd, Remington, VA 22734</t>
  </si>
  <si>
    <t>GyYLOG</t>
  </si>
  <si>
    <t>af91907dcd061b32a9b59d7b5515f87b11dead3bb3dabfef84791d781a5e3bd6</t>
  </si>
  <si>
    <t>SBA Edge</t>
  </si>
  <si>
    <t>JAX</t>
  </si>
  <si>
    <t>RYMybR</t>
  </si>
  <si>
    <t>98e82fdfa53ac6a98462a3066b860fa61e40d712efb56832c5d52b7762481c4a</t>
  </si>
  <si>
    <t>SBA Edge - West Chicago</t>
  </si>
  <si>
    <t>603 Discovery Drive 60185 West Chicago Illinois, USA</t>
  </si>
  <si>
    <t>West Chicago</t>
  </si>
  <si>
    <t>60185</t>
  </si>
  <si>
    <t>GzYoMR</t>
  </si>
  <si>
    <t>1654fabd5ec529542f3b12bee251d73490030f43ce69a8e4150b5b1d369c29e0</t>
  </si>
  <si>
    <t>ScaleMatrix</t>
  </si>
  <si>
    <t>IS-WEST 01</t>
  </si>
  <si>
    <t>5775 Kearny Villa Rd, San Diego, CA 92123</t>
  </si>
  <si>
    <t>GloVYR</t>
  </si>
  <si>
    <t>84cbe3134c888dea3dd6c8d0f2906eae641a162487f1ee21d099958adebe7cb5</t>
  </si>
  <si>
    <t>SCATE Ventures</t>
  </si>
  <si>
    <t>Dallesport</t>
  </si>
  <si>
    <t>102 E Kreps Dr Dallesport, WA 98617 USA</t>
  </si>
  <si>
    <t>Klickitat County</t>
  </si>
  <si>
    <t>98617</t>
  </si>
  <si>
    <t>GrV54G</t>
  </si>
  <si>
    <t>3e8bfebfdfb60b4fbf27d97dccfe6bf16acfd1dd2b0c279878ae8495e5f6f487</t>
  </si>
  <si>
    <t>Scott Data Center</t>
  </si>
  <si>
    <t>Omaha Data Centre</t>
  </si>
  <si>
    <t>6825 Pine Street, Suite 358, Omaha, NE 68106, USA</t>
  </si>
  <si>
    <t>Aksarben</t>
  </si>
  <si>
    <t>Gn4QvB</t>
  </si>
  <si>
    <t>53129132d29d8d12587b3a42cf7d16f536d9ddba6b4677d3cfb22c79bc20ba43</t>
  </si>
  <si>
    <t>SDC Capital Partners</t>
  </si>
  <si>
    <t>Belmont Innovation Campus</t>
  </si>
  <si>
    <t>Belmont, Virginia 20175</t>
  </si>
  <si>
    <t>G6apPR</t>
  </si>
  <si>
    <t>5f86d32ea8f64786a6828ddb42ab02a9f322214de1ffff69b54d91670d206951</t>
  </si>
  <si>
    <t>Twin Creeks Assemblage</t>
  </si>
  <si>
    <t>42277 Cochran Mill Rd, Leesburg, VA</t>
  </si>
  <si>
    <t>BAgkyG</t>
  </si>
  <si>
    <t>6970dcce8f93251b5874895fc1670ce595fc1e37229947d9442cb04c5bdede1a</t>
  </si>
  <si>
    <t>SDN Communications</t>
  </si>
  <si>
    <t>Sioux Falls 2</t>
  </si>
  <si>
    <t>2900 W 10th St, Sioux Falls, SD 57104, United States</t>
  </si>
  <si>
    <t>57104</t>
  </si>
  <si>
    <t>RKZ24B</t>
  </si>
  <si>
    <t>95cf18148206d23bbfaa7fb6d8d05731aad76e9356d835b86c194bf15adaaa26</t>
  </si>
  <si>
    <t>Security Land and Development LP</t>
  </si>
  <si>
    <t>Woodlawn Data Center</t>
  </si>
  <si>
    <t>1500 Woodlawn Drive</t>
  </si>
  <si>
    <t>21241</t>
  </si>
  <si>
    <t>Rxneow</t>
  </si>
  <si>
    <t>5e2612e4a4324ccc587de156ec80a03e8a31fe99a9effb282408fd6d216637bc</t>
  </si>
  <si>
    <t>Segra</t>
  </si>
  <si>
    <t>771 Chicago Avenue</t>
  </si>
  <si>
    <t>771 Chicago Ave, Harrisonburg, VA 22802</t>
  </si>
  <si>
    <t>BAQQxB</t>
  </si>
  <si>
    <t>a2ff3377571d7bf2115eaeaadb0acd10145978115930f88bb84dd86accc2abef</t>
  </si>
  <si>
    <t>CLT1</t>
  </si>
  <si>
    <t>3100 International Airport Dr #500, Charlotte, NC 28208, USA</t>
  </si>
  <si>
    <t>28208</t>
  </si>
  <si>
    <t>B1Xr4w</t>
  </si>
  <si>
    <t>c1e273ace0d49421cb89fd657e3c60d65760b196feb0141f6ea426b830504faa</t>
  </si>
  <si>
    <t>CLT2</t>
  </si>
  <si>
    <t>3101 International Airport Dr, Charlotte, NC 28208, United States</t>
  </si>
  <si>
    <t>Dixie</t>
  </si>
  <si>
    <t>G6EANR</t>
  </si>
  <si>
    <t>a909dcb55bd34e64d1338f194d3e5394f9053a329c7c59a4d21a2790b54938a1</t>
  </si>
  <si>
    <t>1500 Hampton St, Columbia, SC 29201</t>
  </si>
  <si>
    <t>RxPb1R</t>
  </si>
  <si>
    <t>f9e38b29e65e69ddeba62de33c4db805b2f3adbc1018e669141e27163cecb2f5</t>
  </si>
  <si>
    <t>DataChambers Raleigh</t>
  </si>
  <si>
    <t>2100 Garner Station Blvd, Raleigh, NC 27603, USA</t>
  </si>
  <si>
    <t>Lincoln Park South</t>
  </si>
  <si>
    <t>R0mgQG</t>
  </si>
  <si>
    <t>fd44e8546d38c654c728ef56520500719a33811a7178e09e169f6e5a45f1cdaf</t>
  </si>
  <si>
    <t>DataChambers Winston-Salem</t>
  </si>
  <si>
    <t>3310 Old Lexington Rd, Winston-Salem, NC 27107, USA</t>
  </si>
  <si>
    <t>Forsyth County</t>
  </si>
  <si>
    <t>Winston-Salem</t>
  </si>
  <si>
    <t>27107</t>
  </si>
  <si>
    <t>GdreLB</t>
  </si>
  <si>
    <t>dbd2e6f5655788bce5640a631b5a15697b248df0250f1d2b0c6448a3078d6719</t>
  </si>
  <si>
    <t>Kannapolis</t>
  </si>
  <si>
    <t>465 Charles Babbage Ln, Kannapolis, NC 28081, United States</t>
  </si>
  <si>
    <t>Cabarrus County</t>
  </si>
  <si>
    <t>28081</t>
  </si>
  <si>
    <t>GZqg9R</t>
  </si>
  <si>
    <t>4407cd4e7dd08558580950e624d4faf5fd3dcaa313eecfdc8a5e79994d51c084</t>
  </si>
  <si>
    <t>Sentinel</t>
  </si>
  <si>
    <t>NY-1</t>
  </si>
  <si>
    <t>155 Corporate Dr, Orangeburg, NY 10962, USA</t>
  </si>
  <si>
    <t>RpYNmG</t>
  </si>
  <si>
    <t>428bfdf7288956d69972d578173516f2a9b4d0340d8f5ab0abe5c69d5fcf165c</t>
  </si>
  <si>
    <t>Sentinum</t>
  </si>
  <si>
    <t>Fergus</t>
  </si>
  <si>
    <t>GlW9YR</t>
  </si>
  <si>
    <t>a609801deb1462365797ae29f722398c9835e3d1ef0479f73afa92d5410c20be</t>
  </si>
  <si>
    <t>Sequitor Edge LLC</t>
  </si>
  <si>
    <t>Sequitor Edge Kearney</t>
  </si>
  <si>
    <t>5401 Antelope Avenue Kearney, Nebraska 68847</t>
  </si>
  <si>
    <t>68847</t>
  </si>
  <si>
    <t>R88yDR</t>
  </si>
  <si>
    <t>4ee87a342ef15fd4366c43817f2cade13e3fef6374b8343fbcf31a82cc0afc70</t>
  </si>
  <si>
    <t>ServaxNet</t>
  </si>
  <si>
    <t>ServaxNet New Castle</t>
  </si>
  <si>
    <t>3 E Washington St, New Castle, PA 16101</t>
  </si>
  <si>
    <t>Lawrence County</t>
  </si>
  <si>
    <t>16101</t>
  </si>
  <si>
    <t>GDo1oR</t>
  </si>
  <si>
    <t>c9ea41b6660afdb931357d91b0a41d64f5574a970cca3d27e888bb855554c418</t>
  </si>
  <si>
    <t>ServerFarm</t>
  </si>
  <si>
    <t>7980 &amp; 7990 Quantum Drive</t>
  </si>
  <si>
    <t>7980 and 7990 Quantum Dr, Vienna, VA 22182</t>
  </si>
  <si>
    <t>Grl45B</t>
  </si>
  <si>
    <t>c28f53cdea4e85926a09836a4ca8892eb8f92a1a6e5d90e414cae9625e4e4ca6</t>
  </si>
  <si>
    <t>305 Satellite Blvd, Suwanee, GA 30024, United States</t>
  </si>
  <si>
    <t>30024</t>
  </si>
  <si>
    <t>RjWONG</t>
  </si>
  <si>
    <t>e66470286f25e6e01ce8415c507334c238924f9b1d4712698fe3db1c86ec2c60</t>
  </si>
  <si>
    <t>Atlanta 2</t>
  </si>
  <si>
    <t>10835 Hazelbrand Rd NE, Covington, GA 30014</t>
  </si>
  <si>
    <t>30015</t>
  </si>
  <si>
    <t>Ga77YB</t>
  </si>
  <si>
    <t>b829e1faea96851e6d89fe0dbc7c25d808781978879863883d9a5534534c3cdd</t>
  </si>
  <si>
    <t>North of I-40 near Taylor Rd.</t>
  </si>
  <si>
    <t>72830</t>
  </si>
  <si>
    <t>GDKObR</t>
  </si>
  <si>
    <t>dc264925c6a141b498ada93dcfe207408918adb5e3ee3bdd35c1734f8237ae1e</t>
  </si>
  <si>
    <t>CTX1</t>
  </si>
  <si>
    <t>15555 Cutten Rd, Houston, TX 77070</t>
  </si>
  <si>
    <t>77070</t>
  </si>
  <si>
    <t>R2JNQR</t>
  </si>
  <si>
    <t>c861195804e27d249fae03393ca13a85684ae697303fa092fb2f4d280649eb6b</t>
  </si>
  <si>
    <t>HTX1</t>
  </si>
  <si>
    <t>28401 Betka Rd, Hockley, TX 77447</t>
  </si>
  <si>
    <t>Hockley</t>
  </si>
  <si>
    <t>77447</t>
  </si>
  <si>
    <t>Ga7d6B</t>
  </si>
  <si>
    <t>ef016c05021034aa262b368fb006bf890ad98fa0631777733a859cc3a0928b2f</t>
  </si>
  <si>
    <t>LAX1</t>
  </si>
  <si>
    <t>444 North Nash Street, El Segundo, CA, USA</t>
  </si>
  <si>
    <t>G3MDxB</t>
  </si>
  <si>
    <t>418bccf71137db05c8e7d5a6bf33d87dcad3a3775404ece4219c7dc78b85934e</t>
  </si>
  <si>
    <t>TiTAN Moses Lake</t>
  </si>
  <si>
    <t>4949 Randolph RD, NE Moses Lake, Moses Lake, WA, 98837, United States of America</t>
  </si>
  <si>
    <t>Moses Lake</t>
  </si>
  <si>
    <t>98837</t>
  </si>
  <si>
    <t>DR4K5B</t>
  </si>
  <si>
    <t>16d9f5d713e102d50e0af2210cb9bd62e5c10dfcbe142e44eda2efaccc873a40</t>
  </si>
  <si>
    <t>Servistar Realties, LLC</t>
  </si>
  <si>
    <t>Westfield Data Center Campus</t>
  </si>
  <si>
    <t xml:space="preserve">199 Servistar Industrial Way, Westfield, MA 01085 </t>
  </si>
  <si>
    <t>Westfield</t>
  </si>
  <si>
    <t>01085</t>
  </si>
  <si>
    <t>wo1KbR</t>
  </si>
  <si>
    <t>b60f58238e52e8e007a4200650fd7bfddb2d95a71796371702556d2bd4487ca8</t>
  </si>
  <si>
    <t>Servpac</t>
  </si>
  <si>
    <t>MTP Data Center</t>
  </si>
  <si>
    <t>200 Kahelu Ave, Mililani, Hawaii 96789, USA</t>
  </si>
  <si>
    <t>Mililani Town</t>
  </si>
  <si>
    <t>96789</t>
  </si>
  <si>
    <t>RxP24R</t>
  </si>
  <si>
    <t>d01ee0252099f7965b9eb279400d4d06ee71af7b500e2a6529d6e71d94f9f7f3</t>
  </si>
  <si>
    <t>Shenandoah Computing LLC</t>
  </si>
  <si>
    <t>Project Kestrel</t>
  </si>
  <si>
    <t>I-29 &amp; Mexico City Avenue</t>
  </si>
  <si>
    <t>Platte County</t>
  </si>
  <si>
    <t>64163</t>
  </si>
  <si>
    <t>Gy4nER</t>
  </si>
  <si>
    <t>3081c88363cd742a617bf9ecb692e378097dc4ae57b340babde09ea1d8c12337</t>
  </si>
  <si>
    <t>Simple Helix</t>
  </si>
  <si>
    <t>Huntsville Data Center</t>
  </si>
  <si>
    <t>165 West Park Loop NW, Huntsville, AL 35806, United States</t>
  </si>
  <si>
    <t>Gag69B</t>
  </si>
  <si>
    <t>b7b00524c5102d978b9e30bbb48974548bb8428a35bd93fa9958917d2e15c1be</t>
  </si>
  <si>
    <t>Sitco Business Solutions</t>
  </si>
  <si>
    <t>Sitco Business Solutions Evansville</t>
  </si>
  <si>
    <t>4631 Ohara Dr, Evansville, IN 47711, USA</t>
  </si>
  <si>
    <t>47711</t>
  </si>
  <si>
    <t>Gz37Vw</t>
  </si>
  <si>
    <t>512daef323322e1c846856f89f665a3440f3a04dadcebf5fb86aa3e286ccda09</t>
  </si>
  <si>
    <t>Skybox Datacenters</t>
  </si>
  <si>
    <t>Austin I</t>
  </si>
  <si>
    <t>600 New Meister Lane, Pflugerville, Texas 78660, USA</t>
  </si>
  <si>
    <t>Pflugerville</t>
  </si>
  <si>
    <t>78660</t>
  </si>
  <si>
    <t>Spring Trails</t>
  </si>
  <si>
    <t>BJryzB</t>
  </si>
  <si>
    <t>ea34489bf5416ddf04af5d237939bacb3d4da11f5e3bd734b7fe5e898aeef8e1</t>
  </si>
  <si>
    <t>Legacy Campus</t>
  </si>
  <si>
    <t>Tennyson Pkwy &amp; Spring Creek Pkwy, Plano, Texas 75024, USA</t>
  </si>
  <si>
    <t>G3VgWR</t>
  </si>
  <si>
    <t>4017dfec475bbed7f3d882efbe518a45be6c3d95a56b1e6b1ac4da3166c253c8</t>
  </si>
  <si>
    <t>PowerCampus Austin</t>
  </si>
  <si>
    <t>4200 County Road 132, Hutto, Texas 78634, USA</t>
  </si>
  <si>
    <t>Hutto</t>
  </si>
  <si>
    <t>78634</t>
  </si>
  <si>
    <t>GzYP7R</t>
  </si>
  <si>
    <t>93c93d16376e0fb9f0a7e77ab868687a34c590ea50790e17d418ebead1120c89</t>
  </si>
  <si>
    <t>PowerCampus Dallas</t>
  </si>
  <si>
    <t>2401 S Dallas Avenue, Lancaster, TX, USA</t>
  </si>
  <si>
    <t>Gm6bJw</t>
  </si>
  <si>
    <t>f866abd54e070c7307ab234b0340aa58f7a2f40b6e5f1256e5e710e5a74d9808</t>
  </si>
  <si>
    <t>Skybox Chicago I</t>
  </si>
  <si>
    <t>800 Devon Ave, Elk Grove Village, IL 60007, USA</t>
  </si>
  <si>
    <t>R0ZW5w</t>
  </si>
  <si>
    <t>82161c2f9c8ed38ac2d3e505a8ecfbf84e18ed913bc38e8ce15f67aca7c6f122</t>
  </si>
  <si>
    <t>22675 Dulles Summit Ct, Sterling, VA 20166</t>
  </si>
  <si>
    <t>wodD5B</t>
  </si>
  <si>
    <t>1c19edd1a57144d63ded6585147510c491724ed77d4b084a6e825ecfa23e7903</t>
  </si>
  <si>
    <t>SMS Data Center</t>
  </si>
  <si>
    <t>SMS Irvine</t>
  </si>
  <si>
    <t>2525 Main St Unit 120, Irvine, CA 92614</t>
  </si>
  <si>
    <t>GZ18vR</t>
  </si>
  <si>
    <t>d73e3193297f7b1512767ba420b432bfdbc75c03c6eae8823878b4f8e884da12</t>
  </si>
  <si>
    <t>Social Security Administration</t>
  </si>
  <si>
    <t>National Support Center Social Security Administration</t>
  </si>
  <si>
    <t>8999 Bennett Creek Blvd, Frederick, MD 21704</t>
  </si>
  <si>
    <t>Urbana</t>
  </si>
  <si>
    <t>R8mPvG</t>
  </si>
  <si>
    <t>a38d2ea31ff6367d88d75ae52922d73ea55650b141f0147f32074243481bb9e1</t>
  </si>
  <si>
    <t>SoftBank Group</t>
  </si>
  <si>
    <t>Stargate Lordstown</t>
  </si>
  <si>
    <t>2300 Hallock-Young Rd SW, Lordstown, OH 44481</t>
  </si>
  <si>
    <t>Trumbull County</t>
  </si>
  <si>
    <t>Lordstown</t>
  </si>
  <si>
    <t>44481</t>
  </si>
  <si>
    <t>TJX HomeGoods Distribution Center</t>
  </si>
  <si>
    <t>RYNP6G</t>
  </si>
  <si>
    <t>c68c56a1bee3c76475f3acd57f6200501e6b7e21c4492cdf4c6d55caf612bbcc</t>
  </si>
  <si>
    <t>Stargate Milam County</t>
  </si>
  <si>
    <t>1899 County Road 133, Rosebud, TX 76570</t>
  </si>
  <si>
    <t>Milam County</t>
  </si>
  <si>
    <t>76519</t>
  </si>
  <si>
    <t>GnKnow</t>
  </si>
  <si>
    <t>eb23020e0f0b18235ccbeaae2d419536d5e0d3bfc1e6cb17a1dc4cd7b6da5108</t>
  </si>
  <si>
    <t>SoftLayer</t>
  </si>
  <si>
    <t>DAL07</t>
  </si>
  <si>
    <t>1700 Summit Ave, Suite 100, Plano, Texas 75074, USA</t>
  </si>
  <si>
    <t>BbA20w</t>
  </si>
  <si>
    <t>1a1df29dedfcd6ef8455815419252a529ee650b834770a400c3306e1d5c62468</t>
  </si>
  <si>
    <t>Soluna</t>
  </si>
  <si>
    <t>Project Kati</t>
  </si>
  <si>
    <t>Willacy County, Texas</t>
  </si>
  <si>
    <t>Willacy County</t>
  </si>
  <si>
    <t>Santa Monica</t>
  </si>
  <si>
    <t>78569</t>
  </si>
  <si>
    <t>GZ62dG</t>
  </si>
  <si>
    <t>7bc536a1dd777db2e59b7c308d2c190dccdacb579cfe666e7a4a4ef27474a4a3</t>
  </si>
  <si>
    <t>Southeast Property Holdings, LLC.</t>
  </si>
  <si>
    <t>Northwest corner of State Route 20 and McDonough St.</t>
  </si>
  <si>
    <t>RKLlDG</t>
  </si>
  <si>
    <t>648054c1c4169afdd04188b553d15d31df3b78678abb21f4207332b3cee0b50c</t>
  </si>
  <si>
    <t>Spacelink</t>
  </si>
  <si>
    <t>SpaceLink Data Center</t>
  </si>
  <si>
    <t>8830 Complex Drive, San Diego, CA 92123</t>
  </si>
  <si>
    <t>RYKxOw</t>
  </si>
  <si>
    <t>a30ce73de77110040d3b6421ef368529f756a43dfa4a7571c564a132d5420956</t>
  </si>
  <si>
    <t>Spalding Investments LLC</t>
  </si>
  <si>
    <t>Griffin</t>
  </si>
  <si>
    <t>50 S McDonough Rd, Griffin, GA 30223</t>
  </si>
  <si>
    <t>B1jD4R</t>
  </si>
  <si>
    <t>911f68b789762c9bc282db275af19fe1967151d2280968d317539073934932dd</t>
  </si>
  <si>
    <t>SpotsyTechnoCampus, LLC</t>
  </si>
  <si>
    <t>SpotsyTech Campus</t>
  </si>
  <si>
    <t>Antarctica</t>
  </si>
  <si>
    <t>aq</t>
  </si>
  <si>
    <t>w9qbpw</t>
  </si>
  <si>
    <t>8c9f69301df6fbd32c1bc1048b58ca0e422f24741cab71aa7f245a84b8141da4</t>
  </si>
  <si>
    <t>St. Louis  Park Public Schools</t>
  </si>
  <si>
    <t>St. Louis Park Public Schools</t>
  </si>
  <si>
    <t>6400 Walker St, St Louis Park, MN 55426, USA</t>
  </si>
  <si>
    <t>Saint Louis Park</t>
  </si>
  <si>
    <t>55426</t>
  </si>
  <si>
    <t>Sorensen</t>
  </si>
  <si>
    <t>BXZYWG</t>
  </si>
  <si>
    <t>bdb75cab1117b7e46449d7929dc8d27bae01a5630e57f8fc45e050c6acfa94ca</t>
  </si>
  <si>
    <t>STACK Americas</t>
  </si>
  <si>
    <t>DFW02 Campus</t>
  </si>
  <si>
    <t>782 W Beltline Rd. Lancaster, TX 75146</t>
  </si>
  <si>
    <t>75253</t>
  </si>
  <si>
    <t>wVnqQw</t>
  </si>
  <si>
    <t>48a006e66e7807df1ca02123d3a72cc46ed21e6fb101ae5b4480eb72c5067aa6</t>
  </si>
  <si>
    <t>STACK Infrastructure</t>
  </si>
  <si>
    <t>ATL01</t>
  </si>
  <si>
    <t>3200 Webb Bridge Rd, Alpharetta, GA 30005, United States</t>
  </si>
  <si>
    <t>Country Place</t>
  </si>
  <si>
    <t>wOLnZB</t>
  </si>
  <si>
    <t>ec6adae84627110080d49a327e59519b635b6e0d07579c59ab183c0842e476a0</t>
  </si>
  <si>
    <t>CHI01A</t>
  </si>
  <si>
    <t>1441 Touhy Ave 60007 Elk Grove Village Illinois, USA</t>
  </si>
  <si>
    <t>wodMlB</t>
  </si>
  <si>
    <t>3b5fef9b3e3d04e2f95a622781a6f2f7bfcdaf66d759d90a17be66597924467a</t>
  </si>
  <si>
    <t>CHI01B</t>
  </si>
  <si>
    <t>1441 Touhy Ave, Elk Grove Village, IL 60007, United States</t>
  </si>
  <si>
    <t>GWpgvw</t>
  </si>
  <si>
    <t>5e049d3ea585cb7cf239f00c8526e4f3c4212ba514fa0662779b98f2a62d8cbd</t>
  </si>
  <si>
    <t>DFW01A</t>
  </si>
  <si>
    <t>6653 Pinecrest Dr, Plano, Texas 75024, USA</t>
  </si>
  <si>
    <t>wodvbB</t>
  </si>
  <si>
    <t>c6206b5625745875d51fc94936c63093a1e2f98c3c09804303eaf240b9c85ce1</t>
  </si>
  <si>
    <t>DFW01B</t>
  </si>
  <si>
    <t>6715 Pinecrest Dr, Plano, Texas 75024, USA</t>
  </si>
  <si>
    <t>weNnDB</t>
  </si>
  <si>
    <t>0f16ee5e4c1751a9e882f7dc8c71f5cae3b1fd1e2e20fd8ceb991e6fe83f6ffd</t>
  </si>
  <si>
    <t>DFW01C</t>
  </si>
  <si>
    <t>5601 W Spring Creek Pkwy Plano, Texas 75024, USA</t>
  </si>
  <si>
    <t>GWpvbw</t>
  </si>
  <si>
    <t>ab320b4e99eb1e30466419e5cd0f044ee0827cba70aeea168e29cee076655856</t>
  </si>
  <si>
    <t>Fredericksburg, VA 22401</t>
  </si>
  <si>
    <t>22403</t>
  </si>
  <si>
    <t>Celebrate Virginia</t>
  </si>
  <si>
    <t>GrlVXB</t>
  </si>
  <si>
    <t>1ec5fb07b257ef0442ae115e03e12038a5a8ebc3ec55bbc429cc521e0edd9020</t>
  </si>
  <si>
    <t>808 Factory Shoals Rd, Lithia Springs, GA 30122, United States</t>
  </si>
  <si>
    <t>BgAvOG</t>
  </si>
  <si>
    <t>b90509e0d0507aea664075a429c4b3430a11c7092dd01746697d11394084047c</t>
  </si>
  <si>
    <t>Loudoun County - Arcola</t>
  </si>
  <si>
    <t>Evergreen Mills Rd, Ashburn, VA 20148</t>
  </si>
  <si>
    <t>wVnVbw</t>
  </si>
  <si>
    <t>fe95354e7f5fabb26bc941ab3b9203a4af86162eabac0eb25d40ebf80da18f32</t>
  </si>
  <si>
    <t>NAL01A</t>
  </si>
  <si>
    <t>7300 Souder Rd, New Albany, OH 43054, United States</t>
  </si>
  <si>
    <t>GlWXZR</t>
  </si>
  <si>
    <t>8e85565a860c9cbb0242e62175e45deea1acf7b546f94f5e4c9f2c7ded7d02ad</t>
  </si>
  <si>
    <t>NAL01B</t>
  </si>
  <si>
    <t>GnqogR</t>
  </si>
  <si>
    <t>0b481f83e224e5ef323a9da62ccf9c32da33e46dff065632c94be4383ee89cf1</t>
  </si>
  <si>
    <t>NVA01A</t>
  </si>
  <si>
    <t>22080 Pacific Boulevard, Sterling, VA</t>
  </si>
  <si>
    <t>R8VEZw</t>
  </si>
  <si>
    <t>59df43ee36f9e542874c48380ab6532f387c91dd6a98ede245b94f21c2a02071</t>
  </si>
  <si>
    <t>NVA02</t>
  </si>
  <si>
    <t>9600 Hornbaker Rd, Manassas, VA 20109</t>
  </si>
  <si>
    <t>Gam3YG</t>
  </si>
  <si>
    <t>ca823f3232ab6df8e22a3c20663cbeb929f1cbf23297eeb6f01acf418acfc389</t>
  </si>
  <si>
    <t>NVA03</t>
  </si>
  <si>
    <t>9650 Innovation Dr, Manassas, VA 20110</t>
  </si>
  <si>
    <t>BPL1lB</t>
  </si>
  <si>
    <t>daeb930cb5991e96bd778a84e62fafa0d4d7e221078af7bb8aab478e38eaec4f</t>
  </si>
  <si>
    <t>NVA04</t>
  </si>
  <si>
    <t>22275 Lockridge Rd, Sterling, VA 20166</t>
  </si>
  <si>
    <t>BX6ZdG</t>
  </si>
  <si>
    <t>92709f79953d422c64fd0c3796b21b3b7515a41f84ea5ae9dba5425837084d46</t>
  </si>
  <si>
    <t>NVA05</t>
  </si>
  <si>
    <t>8911 Freedom Center Blvd, Manassas, VA 20109</t>
  </si>
  <si>
    <t>B72Vvw</t>
  </si>
  <si>
    <t>f37889ffe26a3e09d884e590f3f7726cff522c15573d80d2916180c7a110712e</t>
  </si>
  <si>
    <t>NVA06</t>
  </si>
  <si>
    <t>RvY1aB</t>
  </si>
  <si>
    <t>0c5ac3f9a190624285929b9e6af0386aea976e3b572390e6694bac324fb98f18</t>
  </si>
  <si>
    <t>NVA08</t>
  </si>
  <si>
    <t>42830 Golf Club Rd, Leesburg, VA 20176</t>
  </si>
  <si>
    <t>wOvPrG</t>
  </si>
  <si>
    <t>f868a6694a8584f16c9fe59b26eb8dc0aad95eb650c0bb20b7eed918a1801352</t>
  </si>
  <si>
    <t>PHX01-Avondale</t>
  </si>
  <si>
    <t>3001 S Litchfield Rd, Goodyear, AZ 85338, United States</t>
  </si>
  <si>
    <t>GDoQYR</t>
  </si>
  <si>
    <t>e2d1c6ce537b7ef7f2d85e5ac95f8a9c8c559afb38e2c5a272eb3d09bf9381c8</t>
  </si>
  <si>
    <t>PHX02 Campus</t>
  </si>
  <si>
    <t>Phoenix, AZ 85008</t>
  </si>
  <si>
    <t>G33VYG</t>
  </si>
  <si>
    <t>3317d92c35f3d0b76ba1eed8b283b1243cd2e61c397794b48314e775d47627fa</t>
  </si>
  <si>
    <t>3145 NE Brookwood Parkway, Hillsboro Oregon, USA</t>
  </si>
  <si>
    <t>B1X7yw</t>
  </si>
  <si>
    <t>22ca6996cc0349cf143856df1d5087cac016b40f780653b801c50f52b72e11a3</t>
  </si>
  <si>
    <t> 8135 NE Evergreen Pkwy, Hillsboro, OR 97124</t>
  </si>
  <si>
    <t>BXZXPG</t>
  </si>
  <si>
    <t>7a1d10edf0163fd69a0cbca2993119874a55dce1cc85e54cd16bab6f45be3c22</t>
  </si>
  <si>
    <t>4735 NE Starr Blvd, Hillsboro, OR 97124, USA</t>
  </si>
  <si>
    <t>GlWePR</t>
  </si>
  <si>
    <t>97faeee061c2f338a8a35dce6e279d154d16646d3a1e112629b5a5011892b387</t>
  </si>
  <si>
    <t>Stargate Project Jupiter</t>
  </si>
  <si>
    <t>Doña Ana County, New Mexico</t>
  </si>
  <si>
    <t>La Mesa</t>
  </si>
  <si>
    <t>88044</t>
  </si>
  <si>
    <t>GdzK8B</t>
  </si>
  <si>
    <t>4a202fe925bcdfe51ffa70c4f161878e63d4bda414cf78f6430379a5a53c5d6a</t>
  </si>
  <si>
    <t>STC - Stafford</t>
  </si>
  <si>
    <t>Falmouth, VA 22405</t>
  </si>
  <si>
    <t>GnqKkR</t>
  </si>
  <si>
    <t>dbf07734940099b8b9464914bc980d195217a3065b9c7c34960282addcc5cab6</t>
  </si>
  <si>
    <t>SVY01A</t>
  </si>
  <si>
    <t>2001 Fortune Dr, San Jose, CA 95131</t>
  </si>
  <si>
    <t>GLjbzB</t>
  </si>
  <si>
    <t>f103afbdef121d4721c840e7f595467436d190c8f6e07ee481e9658c0453f238</t>
  </si>
  <si>
    <t>SVY01B</t>
  </si>
  <si>
    <t>G3MxYB</t>
  </si>
  <si>
    <t>3d7efe2f674bc70e51ba3ea23fe49f447a59f65510cc459bc504d3efacce908a</t>
  </si>
  <si>
    <t>SVY02A</t>
  </si>
  <si>
    <t>1100 Memorex Drive, Santa Clara, CA 95050</t>
  </si>
  <si>
    <t>Gam82G</t>
  </si>
  <si>
    <t>4148670e280790215e6959d90fd77dd7fb9e9787786318178846d0d0c1c3ee09</t>
  </si>
  <si>
    <t>SVY05</t>
  </si>
  <si>
    <t>2400 Ringwood RD,  San Jose, CA</t>
  </si>
  <si>
    <t>GrvoKG</t>
  </si>
  <si>
    <t>78cb64a2068a1a761320097aafc4793e3e5ee2214ce4b2987f2c6968d5e2e109</t>
  </si>
  <si>
    <t>SVY06</t>
  </si>
  <si>
    <t>1849 Fortune Dr, San Jose, CA 95131, USA</t>
  </si>
  <si>
    <t>RjJrER</t>
  </si>
  <si>
    <t>5b082c134278f1eb4fa8bc72f57d38ff17150a42ad7005ffa3eb9cab0c5ce266</t>
  </si>
  <si>
    <t>Stafford Associates</t>
  </si>
  <si>
    <t>Stafford Associates Long Island Data Centre</t>
  </si>
  <si>
    <t>21 Bennetts Rd, Suite 200, Setauket, NY 11733</t>
  </si>
  <si>
    <t>Town of Brookhaven</t>
  </si>
  <si>
    <t>11733</t>
  </si>
  <si>
    <t>GrvXrG</t>
  </si>
  <si>
    <t>cce1c35f1a06820831eaa9d67547e8c11f7f76bc57c8bd22d78604352e80fbb9</t>
  </si>
  <si>
    <t>Starwood Capital</t>
  </si>
  <si>
    <t>3721 Stonecroft Boulevard</t>
  </si>
  <si>
    <t>3721 Stonecroft Blvd, Chantilly, VA 20151</t>
  </si>
  <si>
    <t>BE10XB</t>
  </si>
  <si>
    <t>bc82417486fb6dc8a2886e929f8f62d64d2f200d1304dff4f3e13189b7835e23</t>
  </si>
  <si>
    <t>6295 Edsall Road</t>
  </si>
  <si>
    <t>6295 Edsall Rd, Alexandria, VA 22312</t>
  </si>
  <si>
    <t>22312</t>
  </si>
  <si>
    <t>BgJeQw</t>
  </si>
  <si>
    <t>2cc6ba162796896c20802622dad42c182f841230c885893691bfe718a903182d</t>
  </si>
  <si>
    <t>Herndon Data Center Campus</t>
  </si>
  <si>
    <t>13860 Redskin Dr, Herndon, VA 20171</t>
  </si>
  <si>
    <t>BELxrw</t>
  </si>
  <si>
    <t>f74d3955361e8fcfb65fcb142561fecb48f385c7b18b799ed1e83f4f20332857</t>
  </si>
  <si>
    <t>Starwood Digital Ventures</t>
  </si>
  <si>
    <t>Project Washington</t>
  </si>
  <si>
    <t>0 River Rd New Castle, DE 19720</t>
  </si>
  <si>
    <t>Tybouts Corner</t>
  </si>
  <si>
    <t>19720</t>
  </si>
  <si>
    <t>Gk4l7w</t>
  </si>
  <si>
    <t>011f9577eadf5c6b157bf245f823423cf100069f4b1c377343b65e45fcb394c3</t>
  </si>
  <si>
    <t>State Farm</t>
  </si>
  <si>
    <t>Project Black Flag</t>
  </si>
  <si>
    <t>1402 E Lookout Dr, Richardson, Texas 75082, USA</t>
  </si>
  <si>
    <t>wOL4AB</t>
  </si>
  <si>
    <t>106594ce803ab6de83a5284987591aec91e7b71dfed65acd1425abb40e3c613a</t>
  </si>
  <si>
    <t>Stream Data Centers</t>
  </si>
  <si>
    <t>Jason Industrial Parkway and N Baggett Road</t>
  </si>
  <si>
    <t>Winston</t>
  </si>
  <si>
    <t>BAQ1PB</t>
  </si>
  <si>
    <t>8819a7b52f76948dc1f25480010ffe38882623789f566edeec518caa768ef107</t>
  </si>
  <si>
    <t>2080 Lunt Avenue , Elk Grove Village , Illinois, 60007, USA</t>
  </si>
  <si>
    <t>RKaZVw</t>
  </si>
  <si>
    <t>145bd562d4802943b357b64df088e3c702e9fd9ac5c7e9a3c0938e665adc56ba</t>
  </si>
  <si>
    <t>1925 Busse Road Elk Grove Village, Illinois 60007</t>
  </si>
  <si>
    <t>GrV9XG</t>
  </si>
  <si>
    <t>71b19dca8ec94315ea2cb282e4ec7e0cda528c83440eefe04357aa9fbaa01ad7</t>
  </si>
  <si>
    <t>Chicago III</t>
  </si>
  <si>
    <t>700 Roppolo Dr, Elk Grove Village, IL 60007, USA</t>
  </si>
  <si>
    <t>Gm68Lw</t>
  </si>
  <si>
    <t>ead0c35f3b39ec5de9a58bf317f0787de4add5b2dfddc7d55147c4d7ca994f5a</t>
  </si>
  <si>
    <t>DFW V</t>
  </si>
  <si>
    <t>1811 E Renner Rd, Richardson, Texas 75082, USA</t>
  </si>
  <si>
    <t>BgAozG</t>
  </si>
  <si>
    <t>1c94fba059408c1e75e4189f307d8b3759f795eb3b373b572eaa2ad6c05cb4ba</t>
  </si>
  <si>
    <t>DFW VII – Garland</t>
  </si>
  <si>
    <t>1813 Lookout Dr, Garland, Texas 75044, USA</t>
  </si>
  <si>
    <t>wOpLdB</t>
  </si>
  <si>
    <t>c6c8341bee7216663a958e871b3306b6923c85f8d93c81d6dd8f1156e51227c4</t>
  </si>
  <si>
    <t>Goodyear Campus</t>
  </si>
  <si>
    <t>2950 S. Litchfield Road Goodyear, Arizona 85338</t>
  </si>
  <si>
    <t>R8LJpR</t>
  </si>
  <si>
    <t>45d58678da87b474e022fdb0b543e7294614302b5206db72f0b6b7bb98bbd203</t>
  </si>
  <si>
    <t>Houston I - The Woodlands</t>
  </si>
  <si>
    <t>4001 Technology Forest Blvd , The Woodlands, Texas, 77381, USA</t>
  </si>
  <si>
    <t>The Woodlands</t>
  </si>
  <si>
    <t>77381</t>
  </si>
  <si>
    <t>Research Forest</t>
  </si>
  <si>
    <t>Panther Creek</t>
  </si>
  <si>
    <t>BgqAxG</t>
  </si>
  <si>
    <t>f339f33bbbdc6cc65f458aca242b27fddd494a19dfab25f96bb9d265205e1b32</t>
  </si>
  <si>
    <t>Minneapolis II</t>
  </si>
  <si>
    <t>1706 West Creek Lane Chaska, Minnesota 55318</t>
  </si>
  <si>
    <t>GaA83G</t>
  </si>
  <si>
    <t>249820546cd35ce7e0336fb235291562193857ad9e2865bbf2cabaaef48dbef1</t>
  </si>
  <si>
    <t>Project Double Reed</t>
  </si>
  <si>
    <t>6695 Crosby Rd, Basom, NY 14013</t>
  </si>
  <si>
    <t>Town of Alabama</t>
  </si>
  <si>
    <t>Rj0W8w</t>
  </si>
  <si>
    <t>b78fe2abfd0d0dbe8e51b79ff265eabdaa25132fa6c80218ac37c665ff13c080</t>
  </si>
  <si>
    <t>SAN ANTONIO II</t>
  </si>
  <si>
    <t>9550 Westover Hills Blvd , San Antonio, Texas 78251, USA</t>
  </si>
  <si>
    <t>GDPo1G</t>
  </si>
  <si>
    <t>3bbf24b55f728769394713ab579510c3c82a0abc937448ababdd717a7146cc27</t>
  </si>
  <si>
    <t>San Antonio III-VII</t>
  </si>
  <si>
    <t>11203 W Military Drive San Antonio, Texas 78253</t>
  </si>
  <si>
    <t>R0ZpMw</t>
  </si>
  <si>
    <t>8f54d32e19208bea5ca59d90ab53d3de40e7b4a5cbb3cf1e1fddaeb1435d4a11</t>
  </si>
  <si>
    <t>South Dallas Campus</t>
  </si>
  <si>
    <t>350 S Sunrise Road, Wilmer, TX 75146</t>
  </si>
  <si>
    <t>Wilmer</t>
  </si>
  <si>
    <t>75172</t>
  </si>
  <si>
    <t>BqvDvR</t>
  </si>
  <si>
    <t>b49216574cc98392fac4032f5ba3c1ead79d12950c39d8fc0af67c4682926068</t>
  </si>
  <si>
    <t>Swift Systems</t>
  </si>
  <si>
    <t>7340 Executive Way</t>
  </si>
  <si>
    <t>7340 Executive Way Suite M, Frederick, MD 21704</t>
  </si>
  <si>
    <t>Ballenger Creek</t>
  </si>
  <si>
    <t>Omega Center</t>
  </si>
  <si>
    <t>GrVogG</t>
  </si>
  <si>
    <t>e0e4f71bb6cdb07eaad535246a2f3d87687045c44b8e667e52b13455df049996</t>
  </si>
  <si>
    <t>Switch</t>
  </si>
  <si>
    <t>Louis Henna Boulevard</t>
  </si>
  <si>
    <t>640 Louis Henna Blvd, Round Rock, Texas 78664, USA</t>
  </si>
  <si>
    <t>R0ZQQw</t>
  </si>
  <si>
    <t>26d0cce5e2b82597b7a07220334cf93861355b9285b52de481ccce9c41d95cc8</t>
  </si>
  <si>
    <t>The Citadel Campus</t>
  </si>
  <si>
    <t>1 Superloop Circle, Sparks, NV 89437, United States</t>
  </si>
  <si>
    <t>wM2rnB</t>
  </si>
  <si>
    <t>7a17fbf6daf9169c3dc95937e0eedc1ae9a72235c6ba88ef31b88eed0c5c8a76</t>
  </si>
  <si>
    <t>The Core Campus  - Las Vegas 12</t>
  </si>
  <si>
    <t>5325 West Capovilla Avenue, Las Vegas, NV 89118, United States</t>
  </si>
  <si>
    <t>Enterprise</t>
  </si>
  <si>
    <t>89118</t>
  </si>
  <si>
    <t>GrZmKG</t>
  </si>
  <si>
    <t>888392e1f4c6da2b1458bc2eaf450ed789d0d45cda43bffea55871532fc95acc</t>
  </si>
  <si>
    <t>The Core Campus  - Las Vegas 7</t>
  </si>
  <si>
    <t>7135 South Decatur Boulevard, Las Vegas, NV 89118, United States</t>
  </si>
  <si>
    <t>wVAqVG</t>
  </si>
  <si>
    <t>980bc1cd676386b060ccf16034a1261b923e853454d780cd8ef7284c28d4c51d</t>
  </si>
  <si>
    <t>The Core Campus - Las Vegas 10</t>
  </si>
  <si>
    <t>7375 South Lindell Road, Las Vegas, NV 89139, United States</t>
  </si>
  <si>
    <t>Glo8eR</t>
  </si>
  <si>
    <t>28d9e4322bde97e39810dd05106fd7d91403dbc7973d473de7ba736327e80112</t>
  </si>
  <si>
    <t>The Core Campus - Las Vegas 11</t>
  </si>
  <si>
    <t>7380 South Lindell Road, Las Vegas, NV 89139, United States</t>
  </si>
  <si>
    <t>RjPjEw</t>
  </si>
  <si>
    <t>0106382740d715c00f3ded6d05f5129f7ffcb021f88173166a6289a34abec371</t>
  </si>
  <si>
    <t>The Core Campus - Las Vegas 14</t>
  </si>
  <si>
    <t>5660 Badura Ave, Las Vegas, NV 89118, USA</t>
  </si>
  <si>
    <t>Arden</t>
  </si>
  <si>
    <t>B1X3Ow</t>
  </si>
  <si>
    <t>e2bb945d046725864ef357a84b288d113603516e96dcb6c950bf2f0911b39b0c</t>
  </si>
  <si>
    <t>The Core Campus - Las Vegas 15</t>
  </si>
  <si>
    <t>wOLvPB</t>
  </si>
  <si>
    <t>6c7535be2a55a35cd4d27828e19c239936a67996c4b6806fe4214a674a8a3d76</t>
  </si>
  <si>
    <t>The Core Campus - Las Vegas 16</t>
  </si>
  <si>
    <t>BgAJrG</t>
  </si>
  <si>
    <t>201d9ffb2bce1e5fa85258d25793c4b02a3ac77da6f0e114330fbea2cbe44add</t>
  </si>
  <si>
    <t>The Core Campus - Las Vegas 3</t>
  </si>
  <si>
    <t>4489 E Sahara Ave, Las Vegas, NV 89104, USA</t>
  </si>
  <si>
    <t>GlPWVG</t>
  </si>
  <si>
    <t>d6c804dd165d58771967c05bbbd17a96b77bdb804771302ff4c22b5b8f3b8da6</t>
  </si>
  <si>
    <t>The Core Campus - Las Vegas 4 - NAP4</t>
  </si>
  <si>
    <t>4495 E Sahara Ave, Las Vegas, NV 89104, United States</t>
  </si>
  <si>
    <t>BEWL3G</t>
  </si>
  <si>
    <t>678aa24949052742686cf667914494eb38c0eab95000fe036bbfb50634766579</t>
  </si>
  <si>
    <t>The Core Campus - Las Vegas 5</t>
  </si>
  <si>
    <t>4475 E Sahara Ave, Las Vegas, NV 89104, USA</t>
  </si>
  <si>
    <t>RjWJzG</t>
  </si>
  <si>
    <t>af49e82e48665833b288903e7bb478e4dcc7eee9419c958b17a9a03882681ae1</t>
  </si>
  <si>
    <t>The Core Campus - Las Vegas 8</t>
  </si>
  <si>
    <t>5225 West Capovilla Avenue, Las Vegas, NV 89118, United States</t>
  </si>
  <si>
    <t>wOmXZR</t>
  </si>
  <si>
    <t>205c23450fedbd2e52dfdaa16bc7a1fc7e7558ce820f73123092ab1f84a7e5a1</t>
  </si>
  <si>
    <t>The Core Campus - Las Vegas 9</t>
  </si>
  <si>
    <t>7365 South Lindell Road, Las Vegas, NV 89139, United States</t>
  </si>
  <si>
    <t>Bg0OOR</t>
  </si>
  <si>
    <t>0709bdb19658f288b1540392f44c7546cd27fb4c61f1702b7c4319e924d30d55</t>
  </si>
  <si>
    <t>The Keep 2.0 - Atlanta North</t>
  </si>
  <si>
    <t>Old Alabama Rd SE/Bates Rd SE Intersection, Cartersville, GA  30120, USA</t>
  </si>
  <si>
    <t>BgJmOw</t>
  </si>
  <si>
    <t>9c1fb0d93892affe83b63167bfc9b3539d6b1ff7a2a57c25977b53f432ec435b</t>
  </si>
  <si>
    <t>The Keep Campus</t>
  </si>
  <si>
    <t>1 Switch Way, Lithia Springs, Georgia, 30122, USA</t>
  </si>
  <si>
    <t>w9xqeG</t>
  </si>
  <si>
    <t>7050955bf67f568a611865df93a7ef6f5106f14d742bb63e07d90078f35d9d3d</t>
  </si>
  <si>
    <t>The Pyramid Campus - Grand Rapids 1</t>
  </si>
  <si>
    <t>4200 60th St SE , Kentwood, Michigan, 49512, USA</t>
  </si>
  <si>
    <t>Gaines Charter Township</t>
  </si>
  <si>
    <t>49512</t>
  </si>
  <si>
    <t>R4akgG</t>
  </si>
  <si>
    <t>7003aeaa9628328d5de8f7d5f4de0bc98dd4d8f9a3ee806c3f4d0ede3e9a2d4c</t>
  </si>
  <si>
    <t>The Pyramid Campus - Grand Rapids 2</t>
  </si>
  <si>
    <t>6100 E Paris Ave SE, Caledonia, MI 49316, United States</t>
  </si>
  <si>
    <t>Gaines</t>
  </si>
  <si>
    <t>Gmx4LR</t>
  </si>
  <si>
    <t>b25e94bc3b9b0ce6e8a04867dbb8af77d86586616afe568c16f5dc476178005e</t>
  </si>
  <si>
    <t>The Pyramid Campus - Grand Rapids 3</t>
  </si>
  <si>
    <t>RKZL2B</t>
  </si>
  <si>
    <t>c1ed5aaacfd7bea43e18f0d799835cacec66ff8c9f9660a0d03c27f59958fa4d</t>
  </si>
  <si>
    <t>The Rock</t>
  </si>
  <si>
    <t>150 Dell Way, Round Rock, Texas 78664, USA</t>
  </si>
  <si>
    <t>GrV55G</t>
  </si>
  <si>
    <t>3ca97d3e829a9156e1c9069727554b9dc8c0475f3e16ddcb22f9bb0d4fca58f0</t>
  </si>
  <si>
    <t>Synoptek</t>
  </si>
  <si>
    <t>1100 Pittsford Victor Rd 1st floor, Pittsford, NY 14534</t>
  </si>
  <si>
    <t>Town of Pittsford</t>
  </si>
  <si>
    <t>14534</t>
  </si>
  <si>
    <t>G33MYG</t>
  </si>
  <si>
    <t>cce1b8e0aa1c4447b3a0106035dc17c52e8ca5748b8e2b3702abd8e0a818b236</t>
  </si>
  <si>
    <t>Synoptek Irvine</t>
  </si>
  <si>
    <t>19520 Jamboree Road #110 Irvine, CA 92612</t>
  </si>
  <si>
    <t>92612</t>
  </si>
  <si>
    <t>wVqVVG</t>
  </si>
  <si>
    <t>3ec2565332e4fdae9de133612d19d2eaada5b2fed3b4b213ee5f432054265f8c</t>
  </si>
  <si>
    <t>Synoptek Sacramento</t>
  </si>
  <si>
    <t>3200 Douglas Blvd Roseville #320 Roseville, CA 95661</t>
  </si>
  <si>
    <t>95661</t>
  </si>
  <si>
    <t>weJXNB</t>
  </si>
  <si>
    <t>f184bc7abb64b569c04888338540f6717e134c9f6e2829a06a0382602e7e4faf</t>
  </si>
  <si>
    <t>Syringa Networks</t>
  </si>
  <si>
    <t>Boise Data Center</t>
  </si>
  <si>
    <t>2223 W Airport Way, Boise, ID 83705, USA</t>
  </si>
  <si>
    <t>83705</t>
  </si>
  <si>
    <t>BA3z6G</t>
  </si>
  <si>
    <t>b31a8361be024e47431416d1f13c13f827f2cdf1c0bd7d2a2fb1b02c60857078</t>
  </si>
  <si>
    <t>T5 Data Centers</t>
  </si>
  <si>
    <t>ATL IV</t>
  </si>
  <si>
    <t>Gullatt Road, Fairburn, Georgia</t>
  </si>
  <si>
    <t>wOv8PG</t>
  </si>
  <si>
    <t>4599614a9456d8203ad5938bd278347629631b0df608693cc9b98dd8840cacf4</t>
  </si>
  <si>
    <t>131 Riverside Ct, Kings Mountain, NC 28086</t>
  </si>
  <si>
    <t>Cleveland County</t>
  </si>
  <si>
    <t>Kings Mountain</t>
  </si>
  <si>
    <t>28086</t>
  </si>
  <si>
    <t>qB1q6B</t>
  </si>
  <si>
    <t>325c219434482881840343f88407ab8d8664de1d8ac0f4f13bdd675987b3893e</t>
  </si>
  <si>
    <t>Serverfarm LA</t>
  </si>
  <si>
    <t>444 N Nash Street, El Segundo, CA, USA</t>
  </si>
  <si>
    <t>3RxVew</t>
  </si>
  <si>
    <t>ddb29ef8a18a51719a317f8f211251ce792260b0eb2065bf6c533c29873f909d</t>
  </si>
  <si>
    <t>Silicon Valley</t>
  </si>
  <si>
    <t>39800 Eureka Dr, Newark, CA 94560</t>
  </si>
  <si>
    <t>94538</t>
  </si>
  <si>
    <t>BALxMw</t>
  </si>
  <si>
    <t>ea6c85ec3324387263217321f626ec8c4625530e8fe20f2927821517b8c9edb4</t>
  </si>
  <si>
    <t>T5 Chicago I</t>
  </si>
  <si>
    <t>200 Innovation Drive, Elk Grove Village, IL</t>
  </si>
  <si>
    <t>2RpymG</t>
  </si>
  <si>
    <t>abfd23c720f4e0bc46fd74b6980db60307b6afa49e422f7b2afda4e6cbde2c9d</t>
  </si>
  <si>
    <t>T5 Chicago III</t>
  </si>
  <si>
    <t>B13p6G</t>
  </si>
  <si>
    <t>20071aec9f745bc6d79fb13db237d817a6e6066e0480b7f3f597c2e47630ae46</t>
  </si>
  <si>
    <t>T5 Chicago IV (CHI IV)</t>
  </si>
  <si>
    <t>31119 N Alleghany Rd. Grayslake, IL. 60030</t>
  </si>
  <si>
    <t>Grayslake</t>
  </si>
  <si>
    <t>60030</t>
  </si>
  <si>
    <t>Fremont Township</t>
  </si>
  <si>
    <t>BPLykB</t>
  </si>
  <si>
    <t>cafdc8402c2935b741156bc357224ebc7d60081bac4bac4213205be181d3a4db</t>
  </si>
  <si>
    <t>T5 Chicago V (CHI V)</t>
  </si>
  <si>
    <t>950 Morse Ave, Elk Grove Village, IL 60007</t>
  </si>
  <si>
    <t>we80gG</t>
  </si>
  <si>
    <t>48a016a7e4137b46d753ad007a9c76be3846dd95f9f9fb8ac7c52aa85777fb33</t>
  </si>
  <si>
    <t>T5 Minneapolis</t>
  </si>
  <si>
    <t>1001 3rd Ave South Minneapolis, MN 55404</t>
  </si>
  <si>
    <t>55404</t>
  </si>
  <si>
    <t>RKZDDB</t>
  </si>
  <si>
    <t>268ab27dc0739530a6cdc5d6408859b515cc5c324e0fd94051c0b70d1c7309a1</t>
  </si>
  <si>
    <t>T5@Atlanta</t>
  </si>
  <si>
    <t>1456 Trae Ln, Lithia Springs, GA 30122, USA</t>
  </si>
  <si>
    <t>RjWvEG</t>
  </si>
  <si>
    <t>6f6e2513199e5684bbd40ffb21bd804e1760c7653194b94f6751344d5e53bcc1</t>
  </si>
  <si>
    <t>T5@Colorado</t>
  </si>
  <si>
    <t>3323 Janitell Rd, Colorado Springs, Colorado 80906, USA</t>
  </si>
  <si>
    <t>80906</t>
  </si>
  <si>
    <t>zwONkG</t>
  </si>
  <si>
    <t>c5e5492d145cff3d12538dbda8201e020263cd4d45385db83258e0662f6e6034</t>
  </si>
  <si>
    <t>T5@Portland</t>
  </si>
  <si>
    <t>4915 NE Starr Blvd., Hillsboro, OR 97124, USA</t>
  </si>
  <si>
    <t>GDo5zR</t>
  </si>
  <si>
    <t>f57872898ead04d565bdfd88daa9661b643dc5cd4eb3b80bffc84490f47031e8</t>
  </si>
  <si>
    <t>TA Realty</t>
  </si>
  <si>
    <t>45925 Horseshoe Drive</t>
  </si>
  <si>
    <t>45925 Horseshoe Dr, Sterling, VA 20166</t>
  </si>
  <si>
    <t>Loudoun Tech Center</t>
  </si>
  <si>
    <t>GkWW7G</t>
  </si>
  <si>
    <t>9a875f8dc90822e3596f91c2a83959dad0c0c06bd031606e7ed87db7cf749fb1</t>
  </si>
  <si>
    <t>ATL03</t>
  </si>
  <si>
    <t>7170 Red Oak Rd., Union City, GA 30291</t>
  </si>
  <si>
    <t>RjJLQR</t>
  </si>
  <si>
    <t>fc24c0e86aefabf37c0e7d9d512c9f86b719f5422e212dbc857c70898a6e0dc8</t>
  </si>
  <si>
    <t>Ellenwood Data Center</t>
  </si>
  <si>
    <t>4350 E Tanners Church Rd., Ellenwood, GA 30294</t>
  </si>
  <si>
    <t>Ellenwood</t>
  </si>
  <si>
    <t>30294</t>
  </si>
  <si>
    <t>we876G</t>
  </si>
  <si>
    <t>f38cfeb81a97c6c9cf821a4dd343ad88a2d170c11d799563c152f295aad0c202</t>
  </si>
  <si>
    <t>Tata Communications</t>
  </si>
  <si>
    <t>Evergreen Parkway Data Centre</t>
  </si>
  <si>
    <t>21101 NW Evergreen Parkway, Hillsboro, OR 97124, USA</t>
  </si>
  <si>
    <t>RjWQNG</t>
  </si>
  <si>
    <t>9b3b0ffe8c9e9d2324930c10804096ce2b841fae51da03b68e1a28200a17410e</t>
  </si>
  <si>
    <t>TECfusions</t>
  </si>
  <si>
    <t>Clarksville, VA</t>
  </si>
  <si>
    <t>250 Burlington Dr, Clarksville, VA 23927</t>
  </si>
  <si>
    <t>w9E7Qw</t>
  </si>
  <si>
    <t>32ebaedbb7940c67f72717dee5eeb21bcafb3df74b99ab6001bd8434e6c7ca8d</t>
  </si>
  <si>
    <t>New Kensington, PA</t>
  </si>
  <si>
    <t>859 White Cloud Rd, New Kensington, PA 15068</t>
  </si>
  <si>
    <t>Westmoreland County</t>
  </si>
  <si>
    <t>Upper Burrell Township</t>
  </si>
  <si>
    <t>15068</t>
  </si>
  <si>
    <t>BPLDVB</t>
  </si>
  <si>
    <t>4f89459afb0574b93a02bd4df8c1ef3e9a6dc632490e1e1b9ee655a718d0134d</t>
  </si>
  <si>
    <t>TechVault</t>
  </si>
  <si>
    <t>TechVault Facility</t>
  </si>
  <si>
    <t>21 Gregory Dr, South Burlington, VT 05403</t>
  </si>
  <si>
    <t>South Burlington</t>
  </si>
  <si>
    <t>05403</t>
  </si>
  <si>
    <t>wV64bw</t>
  </si>
  <si>
    <t>5ae5774f98db8c3ddb20edc585e1b4a5d6f322626ffb5f6ae223e99d55c8d504</t>
  </si>
  <si>
    <t>Telesystem</t>
  </si>
  <si>
    <t>4818 Angola Road 43615 Toledo Ohio, USA</t>
  </si>
  <si>
    <t>RjW7mG</t>
  </si>
  <si>
    <t>3df9bf9ccd88ec62e661de22d85637bcdde7df8de4bf0727df932da38bc8fd38</t>
  </si>
  <si>
    <t>Telxius</t>
  </si>
  <si>
    <t>Virginia Beach CLS Campus</t>
  </si>
  <si>
    <t>1900 Corporate Landing Pkwy, Virginia Beach, VA 23454</t>
  </si>
  <si>
    <t>GDLLnG</t>
  </si>
  <si>
    <t>6964b27da9365539a2e8aab820caab15f5e77fe101149b8b8545f418e984df9a</t>
  </si>
  <si>
    <t>TenHats</t>
  </si>
  <si>
    <t>Fort Summit Way</t>
  </si>
  <si>
    <t>550 Fort Summit Way, Knoxville, TN 37915, United States</t>
  </si>
  <si>
    <t>37915</t>
  </si>
  <si>
    <t>BJrl8B</t>
  </si>
  <si>
    <t>330fe609ddb95b629e4f4e5cbf210f1364c4744b0f5f27234205e3ddb27c3996</t>
  </si>
  <si>
    <t>Terawulf</t>
  </si>
  <si>
    <t>Cayuga Data Center</t>
  </si>
  <si>
    <t>133 Cayuga Drive, Lansing, NY 14882</t>
  </si>
  <si>
    <t>Tompkins County</t>
  </si>
  <si>
    <t>Town of Lansing</t>
  </si>
  <si>
    <t>14882</t>
  </si>
  <si>
    <t>Cayuga Power Plant</t>
  </si>
  <si>
    <t>RvXNOw</t>
  </si>
  <si>
    <t>03f684cd5f6f085d78ac66b116e56cd9ca219af6b0019198d78124981fa47bbf</t>
  </si>
  <si>
    <t>Hawesville Data Center</t>
  </si>
  <si>
    <t>1627 State Route 3543, Hawesville, KY</t>
  </si>
  <si>
    <t>Hawesville</t>
  </si>
  <si>
    <t>42348</t>
  </si>
  <si>
    <t>RpOrVB</t>
  </si>
  <si>
    <t>7f2d4d83992ecc1b9da28b2379a4b664ae42964fb93f1041a16e84ce77440120</t>
  </si>
  <si>
    <t>Lake Mariner</t>
  </si>
  <si>
    <t>7725 Lake Rd, Barker, NY 14012</t>
  </si>
  <si>
    <t>Town of Somerset</t>
  </si>
  <si>
    <t>14012</t>
  </si>
  <si>
    <t>BE1vjB</t>
  </si>
  <si>
    <t>ee3a674ead80665a587f52c2a5194211114ca8cdd13d885c9c9e04e3503549e1</t>
  </si>
  <si>
    <t>Nautilus Cryptomine</t>
  </si>
  <si>
    <t>1375 Electron Ave, Berwick, PA 18603</t>
  </si>
  <si>
    <t>BgJD6w</t>
  </si>
  <si>
    <t>cecd98d2727b8519cf0caff91c29543980e6741f9772ba7bd1be210b68d2f343</t>
  </si>
  <si>
    <t>Terra Nexus Ventures</t>
  </si>
  <si>
    <t>Camden</t>
  </si>
  <si>
    <t>771 Park Rd., Cassatt, SC 29032</t>
  </si>
  <si>
    <t>Kershaw County</t>
  </si>
  <si>
    <t>29020</t>
  </si>
  <si>
    <t>GLD1qG</t>
  </si>
  <si>
    <t>01c6efdeeead34cb4e75c3e3092f98b007c6167447612f2af08d6035cf184f8f</t>
  </si>
  <si>
    <t>Terra Ventures</t>
  </si>
  <si>
    <t>SJL7</t>
  </si>
  <si>
    <t xml:space="preserve">4701 North First Street, San Jose, California, USA </t>
  </si>
  <si>
    <t>95002</t>
  </si>
  <si>
    <t>BgJjzw</t>
  </si>
  <si>
    <t>8a52051de4a189e87c9aa1eda7c2e93712090f9768ba603d396e9260f03e2753</t>
  </si>
  <si>
    <t>Texas A&amp;M University</t>
  </si>
  <si>
    <t>Rellis Innovation &amp; Tech Campus</t>
  </si>
  <si>
    <t>833 Rellis Parkway, Bryan, Texas 77807, USA</t>
  </si>
  <si>
    <t>weJL3B</t>
  </si>
  <si>
    <t>b9d321362d841f54748fa3ba82ab5d1c17a75deda249db74d3e564841847e1aa</t>
  </si>
  <si>
    <t>Texas Critical Data Centers</t>
  </si>
  <si>
    <t>Permian Basin</t>
  </si>
  <si>
    <t>Permian Basin, Texas</t>
  </si>
  <si>
    <t>Gaines County</t>
  </si>
  <si>
    <t>White City</t>
  </si>
  <si>
    <t>Gm6g9w</t>
  </si>
  <si>
    <t>a3864a2d1b5e76beab9bb3fbc8cfffb23f044e061f96f20a27c5c7a7a4d8b72f</t>
  </si>
  <si>
    <t>The Division of Information Systems (DIS)</t>
  </si>
  <si>
    <t>1 Capitol Mall, Little Rock, AR 72201, United States</t>
  </si>
  <si>
    <t>Little Rock</t>
  </si>
  <si>
    <t>72201</t>
  </si>
  <si>
    <t>GyYkZG</t>
  </si>
  <si>
    <t>8065b60d3987876251707698019b47e2c3469a365803a6d2144fdf58da7cf9cd</t>
  </si>
  <si>
    <t>The Globe Building STL</t>
  </si>
  <si>
    <t>Globe Building</t>
  </si>
  <si>
    <t>710 N Tucker Blvd, St. Louis, MO 63101, United States</t>
  </si>
  <si>
    <t>w9Eb8w</t>
  </si>
  <si>
    <t>943be529c7194a54aa9c4f727bfc93eaac33e1435ac4ed6d4d23fa594abb5e3b</t>
  </si>
  <si>
    <t>The University of Oklahoma</t>
  </si>
  <si>
    <t>HSC Data Center</t>
  </si>
  <si>
    <t>1000 NE 13th St, Oklahoma City, Oklahoma 73104, United States</t>
  </si>
  <si>
    <t>73117</t>
  </si>
  <si>
    <t>RpZ1qw</t>
  </si>
  <si>
    <t>a7eb29ff86532ff19a971785a7324f3245d995b52f217afc9b812999873e5b77</t>
  </si>
  <si>
    <t>Norman Data Center</t>
  </si>
  <si>
    <t>301 David L Boren Blvd, Norman, Oklahoma 73072, United States</t>
  </si>
  <si>
    <t>Norman</t>
  </si>
  <si>
    <t>73019</t>
  </si>
  <si>
    <t>BAQnyB</t>
  </si>
  <si>
    <t>3df456039cc6cf4072882b8d98c77a9396f1257e96cac6c62fa7459aba15c23d</t>
  </si>
  <si>
    <t>Tulsa Data Center</t>
  </si>
  <si>
    <t>E 47th St, Tulsa, Oklahoma 74135, USA</t>
  </si>
  <si>
    <t>74135</t>
  </si>
  <si>
    <t>Max Campbell V</t>
  </si>
  <si>
    <t>RKvrZB</t>
  </si>
  <si>
    <t>010e10b504f3afe42f341a12c57b688daee135ba752e05cf8d09ce6c0077b86c</t>
  </si>
  <si>
    <t>Thin-nology</t>
  </si>
  <si>
    <t>3804 Helios Way, Pflugerville, Texas 78660, USA</t>
  </si>
  <si>
    <t>BPLj8B</t>
  </si>
  <si>
    <t>d5ee4480c1b68c8d71409c9ac8754956f45a9a19b96020c367b880eb125e6bc1</t>
  </si>
  <si>
    <t>TIAA</t>
  </si>
  <si>
    <t>8925 Andrew Carnegie Blvd, Charlotte, NC 28262, United States</t>
  </si>
  <si>
    <t>RKZkqB</t>
  </si>
  <si>
    <t>78775012514fcd6d0c2cb116629e8b898ef41b9845cfa6c412ceff4c455d6445</t>
  </si>
  <si>
    <t>TierPoint</t>
  </si>
  <si>
    <t>Allentown TEK Park (TEK)</t>
  </si>
  <si>
    <t>9999 Hamilton Blvd #4, Breinigsville, PA 18031</t>
  </si>
  <si>
    <t>18031</t>
  </si>
  <si>
    <t>GlP5YG</t>
  </si>
  <si>
    <t>f5b1985b07528f0552bf2fa695c269a62b3a5a148df4ba0b11a21e23c289be9e</t>
  </si>
  <si>
    <t>Andover (AND)</t>
  </si>
  <si>
    <t>15 Shattuck Rd, Andover, MA 01810</t>
  </si>
  <si>
    <t>RQL5jB</t>
  </si>
  <si>
    <t>3478de3dac56d61675e28499f79a974317409935254b3c96c27faa2b7f7a1e1d</t>
  </si>
  <si>
    <t>Archer Data Center</t>
  </si>
  <si>
    <t>322 E. Archer Street, Tulsa, Oklahoma 74120, USA</t>
  </si>
  <si>
    <t>74120</t>
  </si>
  <si>
    <t>GlP2eG</t>
  </si>
  <si>
    <t>3d57e22810a3c0b3de7e13758d14543323da04439d63695bfebe8988e8c237c1</t>
  </si>
  <si>
    <t>Baltimore -BWI Data Center</t>
  </si>
  <si>
    <t>813 Pinnacle Dr, Linthicum Heights, MD 21090</t>
  </si>
  <si>
    <t>Linthicum</t>
  </si>
  <si>
    <t>21090</t>
  </si>
  <si>
    <t>BWI Tech Park</t>
  </si>
  <si>
    <t>GrVEXG</t>
  </si>
  <si>
    <t>42ee7a5841c2bfee457c83027a40e9ea8962955f17c0b9b4c3acfaa03cc12cde</t>
  </si>
  <si>
    <t>Baltimore Data Center</t>
  </si>
  <si>
    <t>1401 Russell St, Baltimore, MD 21230</t>
  </si>
  <si>
    <t>21230</t>
  </si>
  <si>
    <t>Sowebo</t>
  </si>
  <si>
    <t>GDoJoR</t>
  </si>
  <si>
    <t>782168149fa604a2783b848b22a11d2958a6ed55b9021b7a88caf66b3e42d315</t>
  </si>
  <si>
    <t>1001 North Fort Crook Road, Bellevue, NE 68005, USA</t>
  </si>
  <si>
    <t>68005</t>
  </si>
  <si>
    <t>RvPLgw</t>
  </si>
  <si>
    <t>304dfc3b854e1274347f5ba1009b9954ec481435fb14d14d373e4180f961bdb4</t>
  </si>
  <si>
    <t>Bethlehem (BET)</t>
  </si>
  <si>
    <t>3864 Courtney Street, Ste 130, Bethlehem, PA 18017</t>
  </si>
  <si>
    <t>Northampton County</t>
  </si>
  <si>
    <t>Bethlehem</t>
  </si>
  <si>
    <t>18017</t>
  </si>
  <si>
    <t>RjWZnG</t>
  </si>
  <si>
    <t>2fd5530f5cc827ac14db29eedae3d5d2ab06a79ed08427a625708ffa3b5c6b20</t>
  </si>
  <si>
    <t>Charlotte - Center Park</t>
  </si>
  <si>
    <t>1805 Center Park Dr, Charlotte, NC 28217</t>
  </si>
  <si>
    <t>RKZoeB</t>
  </si>
  <si>
    <t>f6b1b41ca0bff1d793e9a620b796f09c471db4eb9df83a161d5030b0c4eec9f8</t>
  </si>
  <si>
    <t>Charlotte - North Myers</t>
  </si>
  <si>
    <t>Gn4akB</t>
  </si>
  <si>
    <t>66b8114043c4c8afcebf08d48e3bb1633ad51691a859163f994e64a45c21d0f6</t>
  </si>
  <si>
    <t>Chicago - Polk</t>
  </si>
  <si>
    <t>601 W. Polk  Chicago, IL 60607</t>
  </si>
  <si>
    <t>RjWaMG</t>
  </si>
  <si>
    <t>a65da2b6f6c55f76654546be4ef45b24884aef167d286725d04b778565bf2038</t>
  </si>
  <si>
    <t>3004 Irving Blvd, Dallas, Texas 75247, USA</t>
  </si>
  <si>
    <t>GdrVbB</t>
  </si>
  <si>
    <t>0e4d187505df4a408410b7dc69fa70bf6349b54df9f57ed0d484cc074f8fe733</t>
  </si>
  <si>
    <t>Dallas - Allen</t>
  </si>
  <si>
    <t>820 Allen Commerce Parkway Allen, Dallas, Texas 75013, USA</t>
  </si>
  <si>
    <t>75609</t>
  </si>
  <si>
    <t>yGlbeB</t>
  </si>
  <si>
    <t>739fc8bbc4a0c72b0fad88ab92067d4f1c43d125f23f4c3cbaeac75ab7909d2e</t>
  </si>
  <si>
    <t>Fort Worth Data Center</t>
  </si>
  <si>
    <t>13701 Independence Pkwy, Fort Worth, TX 76177</t>
  </si>
  <si>
    <t>RQ3D9w</t>
  </si>
  <si>
    <t>c196d837151bdbe1c6822f752a86d0d394e7c4eabacff243bbc217e65a4a2810</t>
  </si>
  <si>
    <t>HW2</t>
  </si>
  <si>
    <t>17 Skyline Dr, Hawthorne, NY 10532</t>
  </si>
  <si>
    <t>Town of Mount Pleasant</t>
  </si>
  <si>
    <t>10532</t>
  </si>
  <si>
    <t>wMmnqw</t>
  </si>
  <si>
    <t>edd4ebbaac8918a50f0e700976585b439bbc9e80938417d6d01dd97ff1b4f613</t>
  </si>
  <si>
    <t>HWT</t>
  </si>
  <si>
    <t>11 Skyline Dr, Hawthorne, NY 10532</t>
  </si>
  <si>
    <t>RxZz1w</t>
  </si>
  <si>
    <t>449a4ea01d13c9637cdc193d2725be8ff968d228b495448c2aa6091bad90be7c</t>
  </si>
  <si>
    <t>8324 Baymeadows Way  Jacksonville, FL, USA</t>
  </si>
  <si>
    <t>Craven</t>
  </si>
  <si>
    <t>BELoVw</t>
  </si>
  <si>
    <t>39d8d710604c7d47776846cc05c88a1c4553a016d95af770db4b3ead54d308db</t>
  </si>
  <si>
    <t>10801 N Amity Ave, Kansas City, MO 64153, USA</t>
  </si>
  <si>
    <t>RNed8B</t>
  </si>
  <si>
    <t>968f0db1c810b67fb5289b629176ff91c112b091c190c62a986152e2fb51e878</t>
  </si>
  <si>
    <t>Lehigh Valley (LVQ)</t>
  </si>
  <si>
    <t>3949 Schelden Cir, Bethlehem, PA 18017</t>
  </si>
  <si>
    <t>GrVK5G</t>
  </si>
  <si>
    <t>9452e73d6782a47778278563d373fab630c2a5c0f77486c2a07d3ba6bc4658e7</t>
  </si>
  <si>
    <t>15707 Chenal Pkwy, Little Rock, AR 72211</t>
  </si>
  <si>
    <t>72211</t>
  </si>
  <si>
    <t>RQLOnB</t>
  </si>
  <si>
    <t>cfdd552608273334008853346ca09afdda81b4b26734034ab898c5f8c2b845ec</t>
  </si>
  <si>
    <t>Marlborough (MRL)</t>
  </si>
  <si>
    <t>R2rzMR</t>
  </si>
  <si>
    <t>6ce255bc116767e4185accef969df140abe0d83e38b7c339f3611dd0f0624e20</t>
  </si>
  <si>
    <t>Midlands Data Center</t>
  </si>
  <si>
    <t>11425 South 84th Street, Papillion, NE 68046, USA</t>
  </si>
  <si>
    <t>w538YR</t>
  </si>
  <si>
    <t>2553aceee44a602872e2a8177629d6fdbdb7859a72b1440ed968c5608d04373c</t>
  </si>
  <si>
    <t>3701 W. Burnham St. Suite A 53215 Milwaukee Wisconsin, usa</t>
  </si>
  <si>
    <t>53215</t>
  </si>
  <si>
    <t>Burnham Park</t>
  </si>
  <si>
    <t>B13QyG</t>
  </si>
  <si>
    <t>18d6b93938ab3efff9164a38aeaffd4b510ef2de25512dca664a468f8229e275</t>
  </si>
  <si>
    <t>Oklahoma City 1</t>
  </si>
  <si>
    <t>4121 Perimeter Center Pl, Oklahoma City, Oklahoma 73112, USA</t>
  </si>
  <si>
    <t>B1X8Vw</t>
  </si>
  <si>
    <t>cbe1e4cabaab82cd2a8a7a36468c22ea36374d7e42102b348e475f0b111b8242</t>
  </si>
  <si>
    <t>Oklahoma City 2</t>
  </si>
  <si>
    <t>4114 Perimeter Center Pl, Oklahoma City, Oklahoma 73112, USA</t>
  </si>
  <si>
    <t>73112</t>
  </si>
  <si>
    <t>wOLKZB</t>
  </si>
  <si>
    <t>fa5f734e8a3572e03fe865929ff9d184364b81dab79b136b837921871cf52578</t>
  </si>
  <si>
    <t>Philadelphia (PHI)</t>
  </si>
  <si>
    <t>4775 League Island Blvd, Philadelphia, PA 19112</t>
  </si>
  <si>
    <t>19112</t>
  </si>
  <si>
    <t>South Philadelphia</t>
  </si>
  <si>
    <t>BJrdmB</t>
  </si>
  <si>
    <t>f6504a33167306ac3542f721cf2babdfa4cd5048c92b9178bfc68193038fc8d4</t>
  </si>
  <si>
    <t>5301 Departure Dr, Raleigh, NC 27616</t>
  </si>
  <si>
    <t>Walden Woods</t>
  </si>
  <si>
    <t>B1Xo4w</t>
  </si>
  <si>
    <t>b2154b680eb2a366556b634bb5a9f7e0265cf5d2035ebdfdc863155b748641ac</t>
  </si>
  <si>
    <t>Raleigh - RTP</t>
  </si>
  <si>
    <t>99 TW Alexander Dr, Research Triangle, NC 27711</t>
  </si>
  <si>
    <t>GWpKbw</t>
  </si>
  <si>
    <t>712572b62613ee8760431aa8f7f077c9e4d0cfe74db7d2b58c49f3a4067d7f84</t>
  </si>
  <si>
    <t>Seattle Data Center</t>
  </si>
  <si>
    <t>100 4th Ave N #400, Seattle, WA 98109</t>
  </si>
  <si>
    <t>GdzOOB</t>
  </si>
  <si>
    <t>80285c76f50ec786b638aae0f3ec1b738e25a36e403021856f42fe01d480d81d</t>
  </si>
  <si>
    <t>Sioux Falls - East Data Center</t>
  </si>
  <si>
    <t>700 East 54th St N, Sioux Falls, SD 57104, USA</t>
  </si>
  <si>
    <t>wV6oXw</t>
  </si>
  <si>
    <t>09fb3e7a3af30059cba34c897b4368550ead63a6411c254532d070dcb1bf423b</t>
  </si>
  <si>
    <t>Sioux Falls - West</t>
  </si>
  <si>
    <t>5300 N La Mesa Dr, Sioux Falls, SD 57107, United States</t>
  </si>
  <si>
    <t>57107</t>
  </si>
  <si>
    <t>Benton Township</t>
  </si>
  <si>
    <t>B13a4G</t>
  </si>
  <si>
    <t>59e23b04d0521d04d9293c9c60059c0a0efe2d3263db0e070851540f2f46dd24</t>
  </si>
  <si>
    <t>SPO01 - SPO02</t>
  </si>
  <si>
    <t>23403 E Mission Ave, Liberty Lake, WA 99019, USA</t>
  </si>
  <si>
    <t>Liberty Lake</t>
  </si>
  <si>
    <t>99019</t>
  </si>
  <si>
    <t>RjWknG</t>
  </si>
  <si>
    <t>2b25f7f485de583c15133ecad8b1f22184018efc5f15c3e5f43eeec4e7f8b81d</t>
  </si>
  <si>
    <t>SPO03</t>
  </si>
  <si>
    <t>23017 E. Mission Avenue, Liberty Lake, WA 99019, USA</t>
  </si>
  <si>
    <t>G3V5yR</t>
  </si>
  <si>
    <t>5b7d4567c261be86190f94b57697f0b0746a5a7faf0068b4c154e10147bb757c</t>
  </si>
  <si>
    <t>St. Louis - Millpark</t>
  </si>
  <si>
    <t>2315 Millpark Drive, Maryland Heights, St. Louis, MO, USA</t>
  </si>
  <si>
    <t>Maryland Heights</t>
  </si>
  <si>
    <t>63043</t>
  </si>
  <si>
    <t>Maryland Heights Township</t>
  </si>
  <si>
    <t>Gn4zKB</t>
  </si>
  <si>
    <t>321350e401a2613ffffd1ccf90ea7e8817eb3fdbeb1b059dce2c73515721ac6f</t>
  </si>
  <si>
    <t>St. Louis - Olive</t>
  </si>
  <si>
    <t>1111 Olive St. 63101 St. Louis Missouri, USA</t>
  </si>
  <si>
    <t>BA3XQG</t>
  </si>
  <si>
    <t>8517163ee98a3919c11b8636223b18b3ee05ed5d6937cc14277a51b9abf4d52c</t>
  </si>
  <si>
    <t>State Farm Data Center</t>
  </si>
  <si>
    <t>12151 E. State Farm Boulevard, Tulsa, Oklahoma 74146, USA</t>
  </si>
  <si>
    <t>74134</t>
  </si>
  <si>
    <t>BgAbOG</t>
  </si>
  <si>
    <t>3789017dd520a5eb884929824c791d79598b3f3a0a830fd9b0a9c1312fbc2d41</t>
  </si>
  <si>
    <t>Tierpoint Lenexa</t>
  </si>
  <si>
    <t>14500 W 105th St, Lenexa, KS 66215</t>
  </si>
  <si>
    <t>66215</t>
  </si>
  <si>
    <t>R0ZApw</t>
  </si>
  <si>
    <t>458dcd07fbd2398d8ed1308a9de11ab906a388206a63ad656f0787058cae408e</t>
  </si>
  <si>
    <t>Valley Forge (VFO)</t>
  </si>
  <si>
    <t xml:space="preserve">  1000 Adams Avenue  Norristown, PA 19403</t>
  </si>
  <si>
    <t>Norristown</t>
  </si>
  <si>
    <t>19403</t>
  </si>
  <si>
    <t>Lower Providence Township</t>
  </si>
  <si>
    <t>G3VdxR</t>
  </si>
  <si>
    <t>404a8c6302d270a73c7e348ae0c9e7b1d8e3434c269888e8f076cf3ba4b9381a</t>
  </si>
  <si>
    <t>Waterbury Data Center</t>
  </si>
  <si>
    <t>108 Bank St 5th floor, Waterbury, CT 06702</t>
  </si>
  <si>
    <t>Waterbury</t>
  </si>
  <si>
    <t>06702</t>
  </si>
  <si>
    <t>Exchange Place</t>
  </si>
  <si>
    <t>weN9gB</t>
  </si>
  <si>
    <t>63042ae71918989d9f3c9d1c6d1dc5471633c10e1674a5e6daa9f0c37ecd604c</t>
  </si>
  <si>
    <t>TigerDC</t>
  </si>
  <si>
    <t>SC1</t>
  </si>
  <si>
    <t>3236-3252 SC-290, Moore, SC 29369</t>
  </si>
  <si>
    <t>Moore</t>
  </si>
  <si>
    <t>29369</t>
  </si>
  <si>
    <t>RNa78B</t>
  </si>
  <si>
    <t>27b92f009af350533858a88a4dbe69553b7486f0eb21eec046bb9b57240e296e</t>
  </si>
  <si>
    <t>Project Marvel</t>
  </si>
  <si>
    <t>Bessemer</t>
  </si>
  <si>
    <t>35022</t>
  </si>
  <si>
    <t>RQ63pG</t>
  </si>
  <si>
    <t>088b12bed8743a2a9111bf12e98fd4abfbe450c528cb540c32f11536c118ef61</t>
  </si>
  <si>
    <t>Social Circle Technology Park</t>
  </si>
  <si>
    <t>BqglyG</t>
  </si>
  <si>
    <t>6f547723d5f9cfd89b41325ac46ccccdba9fe7eb2d5e9bc6dec30cb239fdf19a</t>
  </si>
  <si>
    <t>TPC Data Centers</t>
  </si>
  <si>
    <t>6201 Frost Place</t>
  </si>
  <si>
    <t>6201 Frost Pl, Laurel, MD 20707</t>
  </si>
  <si>
    <t>woW7xw</t>
  </si>
  <si>
    <t>6ca62d524cdd9ba84b9c423d28fe2c7e9a39ee0da37a59dae1ed29b4137984b6</t>
  </si>
  <si>
    <t>Tract</t>
  </si>
  <si>
    <t>Buckeye Tech Corridor</t>
  </si>
  <si>
    <t>GnqQQR</t>
  </si>
  <si>
    <t>cad2e0916ab57439a665b776a59ebd0a7f0eb713f30a6ddd0cf50ba13b6806d0</t>
  </si>
  <si>
    <t>Caldwell Valley</t>
  </si>
  <si>
    <t>Maxwell, TX 78656</t>
  </si>
  <si>
    <t>Caldwell</t>
  </si>
  <si>
    <t>R4DLlR</t>
  </si>
  <si>
    <t>bd09bccac0fa20884beb89f9e863c3fa04ea705e88bb3176ebe3d28949ce65b4</t>
  </si>
  <si>
    <t>Mountain Road Technology Park</t>
  </si>
  <si>
    <t>Mountain Rd, Glen Allen, VA 23059</t>
  </si>
  <si>
    <t>GDKJDR</t>
  </si>
  <si>
    <t>29da7b7f72cfd7cc79b578557964871adb510a96115ac5eb52d37993a447d91c</t>
  </si>
  <si>
    <t>Peru Ridge</t>
  </si>
  <si>
    <t>BAgpxG</t>
  </si>
  <si>
    <t>0973e487552dc7a1d7a4210ea5ce06f5f126221881a6153892aa68f697d455de</t>
  </si>
  <si>
    <t>Peru Shelf Technology Park</t>
  </si>
  <si>
    <t xml:space="preserve">9000 USA Parkway, Storey County, Nevada </t>
  </si>
  <si>
    <t>Storey</t>
  </si>
  <si>
    <t>B1jpeR</t>
  </si>
  <si>
    <t>8e3d94c7d25eb8ab439f1ddb1dc11ff8e8a866cfc70fc215e162d8c62b7c525c</t>
  </si>
  <si>
    <t>Project Tripletail</t>
  </si>
  <si>
    <t>BgJO0w</t>
  </si>
  <si>
    <t>6d14560ea8f914e13ea3d9617604974558eab22516b182cea5e348c3186aea68</t>
  </si>
  <si>
    <t>South Valley</t>
  </si>
  <si>
    <t>RpOnmB</t>
  </si>
  <si>
    <t>4d543d53eb9f929616bfff73a32a53bd0d22d844e8673ee0326688161e402c90</t>
  </si>
  <si>
    <t>Tract (Cannon Falls Technology Park)</t>
  </si>
  <si>
    <t>Cannon Falls</t>
  </si>
  <si>
    <t>55009</t>
  </si>
  <si>
    <t>Randolph Township</t>
  </si>
  <si>
    <t>GWn61R</t>
  </si>
  <si>
    <t>529dd6b34f7c459584a79ea422b060b1eeac549d166e887fb33ffbd00d788841</t>
  </si>
  <si>
    <t>Tract Altoona</t>
  </si>
  <si>
    <t>50021</t>
  </si>
  <si>
    <t>BE1NLB</t>
  </si>
  <si>
    <t>60eea84f5c10bddb8f3eb0b30d9d99e4674b42e0528a7a011ed3b2eadb2a0b5d</t>
  </si>
  <si>
    <t>Tract Hanover County</t>
  </si>
  <si>
    <t>Ashland, VA 23005</t>
  </si>
  <si>
    <t>Ashland</t>
  </si>
  <si>
    <t>G6a7NR</t>
  </si>
  <si>
    <t>70f45fe1568e84c1607c6b8f181c97ab53f49eefd7e7e76324a060288bc50147</t>
  </si>
  <si>
    <t>Virginia Highlands</t>
  </si>
  <si>
    <t>BJPeeG</t>
  </si>
  <si>
    <t>41519dd62c9684aab4e259c5f8c837aadefee962e77ed4e06f9a651be5bdaf0f</t>
  </si>
  <si>
    <t>Tramell Crow Company</t>
  </si>
  <si>
    <t>Douglas Waldrop</t>
  </si>
  <si>
    <t>2912 Post Rd, Winston, GA 30187</t>
  </si>
  <si>
    <t>B1364G</t>
  </si>
  <si>
    <t>d3a3914adab6c98dd136ec5b933e3837f75db31f4dc9da974e4e14399e53405d</t>
  </si>
  <si>
    <t>Forsyth Technology Campus</t>
  </si>
  <si>
    <t>Along Johnstonville Rd., Smith Rd., and Collier Rd. west of I-75</t>
  </si>
  <si>
    <t>Forsyth</t>
  </si>
  <si>
    <t>31029</t>
  </si>
  <si>
    <t>R88zZR</t>
  </si>
  <si>
    <t>6213d0405722f7ea74a1dc52425bbb3748948859e1ca34c907ea15ad657e6e96</t>
  </si>
  <si>
    <t>White Oak Technology Park</t>
  </si>
  <si>
    <t>Off Morris Callaway Road &amp; Innovation Parkway</t>
  </si>
  <si>
    <t>w9DDQG</t>
  </si>
  <si>
    <t>cc3a8d3d30db5171c117923f3983ce036b810d83e1f8e2540e41f86331b80ed4</t>
  </si>
  <si>
    <t>Transformyx</t>
  </si>
  <si>
    <t>6867 Bluebonnet Blvd, Baton Rouge, LA 70810, USA</t>
  </si>
  <si>
    <t>70810</t>
  </si>
  <si>
    <t>BqW6EG</t>
  </si>
  <si>
    <t>98d9cce2235c6b872ec7f9d187ed952aa6426780a2aded34e4a300b0feeb7062</t>
  </si>
  <si>
    <t>TRG Datacenters</t>
  </si>
  <si>
    <t>2626 Spring Cypress Rd, Spring, Texas 77388, USA</t>
  </si>
  <si>
    <t>Spring</t>
  </si>
  <si>
    <t>77388</t>
  </si>
  <si>
    <t>GZqbvR</t>
  </si>
  <si>
    <t>b91f0148dbb30fc9d0deb3a9ebf795e58b28a0b94d158a83fdee2230078a7c57</t>
  </si>
  <si>
    <t>Turning Point Real Estate</t>
  </si>
  <si>
    <t>Raystock</t>
  </si>
  <si>
    <t>Urbana Pike, Ijamsville, MD 21754</t>
  </si>
  <si>
    <t>Ijamsville</t>
  </si>
  <si>
    <t>21754</t>
  </si>
  <si>
    <t>wOvnDG</t>
  </si>
  <si>
    <t>59c4f783c6d1d252a7b1ec51ff7a0d905194496a54306e6ca4dd11bdb1903113</t>
  </si>
  <si>
    <t>TW Telecom</t>
  </si>
  <si>
    <t>Durham NC</t>
  </si>
  <si>
    <t>924 Ellis Rd, Durham, NC 27703, USA</t>
  </si>
  <si>
    <t>BqW2yG</t>
  </si>
  <si>
    <t>0d8c151faec76f8d338755470bca80f4d62e3fa15305a564634b2df199cd7d99</t>
  </si>
  <si>
    <t>U.S.NEXT</t>
  </si>
  <si>
    <t>USNX Jackson</t>
  </si>
  <si>
    <t>6360 I-55 North, Jackson, MS 39211 (Suite 210)</t>
  </si>
  <si>
    <t>GWpQZw</t>
  </si>
  <si>
    <t>8bece2879090eaebd02964808ed7aa221f5f2d8c6f3668c59e69aad4e4f02d57</t>
  </si>
  <si>
    <t>Apollo</t>
  </si>
  <si>
    <t>R8mZ4G</t>
  </si>
  <si>
    <t>c21a4d8c07726ba1584269e8b61d87f9b965044026fb5fcbe2fc541c16baadcc</t>
  </si>
  <si>
    <t>Benton Township (Undisclosed Operator)</t>
  </si>
  <si>
    <t>Yore Avenue &amp; East Empire Avenue</t>
  </si>
  <si>
    <t>Berrien County</t>
  </si>
  <si>
    <t>Benton Charter Township</t>
  </si>
  <si>
    <t>49022</t>
  </si>
  <si>
    <t>BJvzZB</t>
  </si>
  <si>
    <t>dd67dc3af363d8168c1c8e528681ded0715405c2c5a473893ed791493800d58a</t>
  </si>
  <si>
    <t>Daly Group DPK Hillside</t>
  </si>
  <si>
    <t>101 N Wolf Road. Hillside, IL 60162</t>
  </si>
  <si>
    <t>Hillside</t>
  </si>
  <si>
    <t>60162</t>
  </si>
  <si>
    <t>wOvXQG</t>
  </si>
  <si>
    <t>6d3531ef2632964391d0d16f693fd5a415c7079ba0a3c31650ade65010a7bfb2</t>
  </si>
  <si>
    <t>Frenchcreek Township, PA</t>
  </si>
  <si>
    <t>846 Valley Rd, Polk, PA 16342</t>
  </si>
  <si>
    <t>Venango County</t>
  </si>
  <si>
    <t>Frenchcreek</t>
  </si>
  <si>
    <t>16342</t>
  </si>
  <si>
    <t>Frenchcreek Township</t>
  </si>
  <si>
    <t>B1jM6R</t>
  </si>
  <si>
    <t>c2a71713b4ab90e0ba8e928edb7c14ba2da00e554ae53e19e43fb6d7e1f8ee04</t>
  </si>
  <si>
    <t>Hampton Meadows Technology Park</t>
  </si>
  <si>
    <t>2801 NW Cookingham Dr, Kansas City, MO 64154</t>
  </si>
  <si>
    <t>BELQyw</t>
  </si>
  <si>
    <t>4dd732de73bca6faadf935b3c591ea86c3a438ca44662599e2d634d5a7b8dc68</t>
  </si>
  <si>
    <t>41034</t>
  </si>
  <si>
    <t>Bg5WrG</t>
  </si>
  <si>
    <t>8ab213644febf391fe5c17b9bfcb85d4a58c8350c7b810067bedd4b308a33718</t>
  </si>
  <si>
    <t>Van Wert</t>
  </si>
  <si>
    <t>Van Wert County</t>
  </si>
  <si>
    <t>45891</t>
  </si>
  <si>
    <t>Bg510G</t>
  </si>
  <si>
    <t>89a4707bdf29c5a9b89ccae5c76d74ea6661e6d5f6f1746d9c46359ad0681e18</t>
  </si>
  <si>
    <t>Unisecure</t>
  </si>
  <si>
    <t>Unisecure Conshohocken</t>
  </si>
  <si>
    <t>555 E North Ln, Conshohocken, PA 19428</t>
  </si>
  <si>
    <t>Whitemarsh Township</t>
  </si>
  <si>
    <t>GlPbeG</t>
  </si>
  <si>
    <t>2d802db37b10684cf2f801d5e5a66aa0efade22baf18112517f6a5efb84ac0b0</t>
  </si>
  <si>
    <t>Unisecure Philadelphia</t>
  </si>
  <si>
    <t>BgA4OG</t>
  </si>
  <si>
    <t>952640a24319ac28a49fe9b84c7cf8af9977b5981616dbcb3c84d1a278213444</t>
  </si>
  <si>
    <t>Universal Planning LLC</t>
  </si>
  <si>
    <t>Gregory Road Data Center</t>
  </si>
  <si>
    <t>161 Gregory Rd., Covington, GA 30014</t>
  </si>
  <si>
    <t>BXJJNG</t>
  </si>
  <si>
    <t>c0ee75c4482a8fed57cb9b8f8e032a170096ad0445f0aadcef8276c870124b45</t>
  </si>
  <si>
    <t>University of Dallas</t>
  </si>
  <si>
    <t>UofD Data Center</t>
  </si>
  <si>
    <t>E John W Carpenter Fwy &amp; Tom Braniff Dr</t>
  </si>
  <si>
    <t>GaAVmG</t>
  </si>
  <si>
    <t>6664c6a987ff7db9e0c9941395f849dc417ca1b33e7b23c2013c3fccefc7c3c5</t>
  </si>
  <si>
    <t>University of Hawaii</t>
  </si>
  <si>
    <t>UH IT Center</t>
  </si>
  <si>
    <t>University of Hawaii IT Center, Honolulu, Hawaii 96822, USA</t>
  </si>
  <si>
    <t>96822</t>
  </si>
  <si>
    <t>Lower Mānoa</t>
  </si>
  <si>
    <t>Mānoa</t>
  </si>
  <si>
    <t>BA3lxG</t>
  </si>
  <si>
    <t>d660015a4ec5579a7c483629ba58686e17b9ec24c459bef31a2a9775c84c3f3c</t>
  </si>
  <si>
    <t>University of Illinois Urbana Champaign</t>
  </si>
  <si>
    <t>The National Petascale Computing Facility</t>
  </si>
  <si>
    <t>1725 S Oak St, Champaign, IL 61820, United States</t>
  </si>
  <si>
    <t>Champaign County</t>
  </si>
  <si>
    <t>Champaign</t>
  </si>
  <si>
    <t>61820</t>
  </si>
  <si>
    <t>Gnq4gR</t>
  </si>
  <si>
    <t>bb7f12cd62005504c5c66f12190bf2cf513dff31a51aee5dc97f80d61e95e926</t>
  </si>
  <si>
    <t>University of Michigan</t>
  </si>
  <si>
    <t>Ypsilanti</t>
  </si>
  <si>
    <t>Ypsilanti Charter Township</t>
  </si>
  <si>
    <t>48197</t>
  </si>
  <si>
    <t>Gdz2PB</t>
  </si>
  <si>
    <t>4a50341f2a9ef400b274c715a5cc5686a85a9cd7de55fe9c2ae11b3bfb46283a</t>
  </si>
  <si>
    <t>University of Utah</t>
  </si>
  <si>
    <t>UoT Data Center</t>
  </si>
  <si>
    <t>1827 Fremont Dr, Salt Lake City, Utah 84104, USA</t>
  </si>
  <si>
    <t>B1Xmxw</t>
  </si>
  <si>
    <t>fbaf3544c4cc4c3f13d3e76a5b5a6d37e28f68aa58016a22b28722f70152d12d</t>
  </si>
  <si>
    <t>University of Virginia</t>
  </si>
  <si>
    <t>Fontaine Research Park Data Center</t>
  </si>
  <si>
    <t>Charlottesville, VA 22903</t>
  </si>
  <si>
    <t>Albemarle County</t>
  </si>
  <si>
    <t>Charlottesville</t>
  </si>
  <si>
    <t>22903</t>
  </si>
  <si>
    <t>Nob Hill</t>
  </si>
  <si>
    <t>GLDvoG</t>
  </si>
  <si>
    <t>69db536df3e7ebf20643e16f0d9e4565c39e4ba5ad102a493cc74b8e0c5040a7</t>
  </si>
  <si>
    <t>University of Virginia ITC Data Centre</t>
  </si>
  <si>
    <t>914 Emmet St N, Charlottesville, VA 22903</t>
  </si>
  <si>
    <t>City of Charlottesville</t>
  </si>
  <si>
    <t>22901</t>
  </si>
  <si>
    <t>Venable</t>
  </si>
  <si>
    <t>GaA4vG</t>
  </si>
  <si>
    <t>a80af9c998f577dc05af053f9c66c1d9d840b62b4a770367a9a28777d8936ca9</t>
  </si>
  <si>
    <t>UPS</t>
  </si>
  <si>
    <t>Windward Alpharetta Data Center</t>
  </si>
  <si>
    <t>1865 McFarland Pkwy, Alpharetta, GA 30005, United States</t>
  </si>
  <si>
    <t>Gn49KB</t>
  </si>
  <si>
    <t>e005a8e6a390afc30257fab19d545d10bfccc30709dcba09983d669999e9ea38</t>
  </si>
  <si>
    <t>Urbacon Data Centre Solutions</t>
  </si>
  <si>
    <t>Niagara Falls</t>
  </si>
  <si>
    <t>10th St, Niagara Falls, NY 14303, United States</t>
  </si>
  <si>
    <t>14303</t>
  </si>
  <si>
    <t>GDLyYG</t>
  </si>
  <si>
    <t>e197cdb28a558f895371440ef5161e0f215953e6a48e0bd1b40fef08eb66981d</t>
  </si>
  <si>
    <t>US Air Force</t>
  </si>
  <si>
    <t>Davis-Monthan Air Force Data Center</t>
  </si>
  <si>
    <t>85706</t>
  </si>
  <si>
    <t>Rxn11w</t>
  </si>
  <si>
    <t>36f60ea33d4d3b905b7851461405c6fbbd838f727d489239adba28e68f7a7142</t>
  </si>
  <si>
    <t>US Internet</t>
  </si>
  <si>
    <t>12450 Wayzata Blvd</t>
  </si>
  <si>
    <t>12450 Wayzata Blvd 55305 Minnetonka Minnesota, USA</t>
  </si>
  <si>
    <t>55305</t>
  </si>
  <si>
    <t>BqW76G</t>
  </si>
  <si>
    <t>af679afb287f411ad5920171c870fc3d4159f379eb16e79146a35f1d89216814</t>
  </si>
  <si>
    <t>US Signal</t>
  </si>
  <si>
    <t>Cedar Falls</t>
  </si>
  <si>
    <t>1205 Technology Parkway 50613 Cedar Falls Iowa, USA</t>
  </si>
  <si>
    <t>Black Hawk County</t>
  </si>
  <si>
    <t>50613</t>
  </si>
  <si>
    <t>BEWmrG</t>
  </si>
  <si>
    <t>856e23fc1044797108b7df8d478f535d2db5267139206895ced511fa22e9a3a5</t>
  </si>
  <si>
    <t>CO01</t>
  </si>
  <si>
    <t>8675 Concord Center Dr, Englewood, CO 80112</t>
  </si>
  <si>
    <t>w9DrpG</t>
  </si>
  <si>
    <t>dce1a51bc2a0b99d8fa253fd04350024076f75ed726a0f7361ca3cfd6be4111f</t>
  </si>
  <si>
    <t>390 NE Alices Road 50263 Des Moines Iowa, USA</t>
  </si>
  <si>
    <t>G6EZ4R</t>
  </si>
  <si>
    <t>0fb0158271b97c018369388a0f33697b5f4202d28a07bfbc28926ed98f6be4cf</t>
  </si>
  <si>
    <t>Detroit Metro</t>
  </si>
  <si>
    <t>9275 Haggerty Rd, Belleville, MI 48111</t>
  </si>
  <si>
    <t>Belleville</t>
  </si>
  <si>
    <t>48111</t>
  </si>
  <si>
    <t>wV6kQw</t>
  </si>
  <si>
    <t>b9fbceb35429944a043ccf18b101167f98788c6633ab8ccacb4a3df694aa1718</t>
  </si>
  <si>
    <t>Grand Rapids East</t>
  </si>
  <si>
    <t>4765 Barden Ct. SE 49512 Kentwood Michigan, USA</t>
  </si>
  <si>
    <t>Kentwood</t>
  </si>
  <si>
    <t>weNd9B</t>
  </si>
  <si>
    <t>ed1f2b602cc3e034512f3126c2acb9c334b762517baeee2fa263036c65bcd39f</t>
  </si>
  <si>
    <t>6325 Morenci Trail, Indianapolis, IN 46268, USA</t>
  </si>
  <si>
    <t>46268</t>
  </si>
  <si>
    <t>RQL11B</t>
  </si>
  <si>
    <t>5b1e6a759346a9f464ed42f3bed1338e00e5338c262c3d33b930c17662662df8</t>
  </si>
  <si>
    <t>MN01 Minneapolis Data Center</t>
  </si>
  <si>
    <t>wo1e5R</t>
  </si>
  <si>
    <t>b1d3ecaebf9d0893aef107e7cf751cbb71e7f508cef65a3d571e34d9e77e784d</t>
  </si>
  <si>
    <t>OR01 Bend Data Center</t>
  </si>
  <si>
    <t>20845 Sockeye Place Bend, OR 97701</t>
  </si>
  <si>
    <t>G32KWR</t>
  </si>
  <si>
    <t>b9b7e10cbc917f5701c31119914f44da6e44b79e3db4628ca691725629f62e70</t>
  </si>
  <si>
    <t>21644 Melrose Ave 48075 Southfield Michigan, USA</t>
  </si>
  <si>
    <t>wodleB</t>
  </si>
  <si>
    <t>64f2e29b7e9a410238d634996d58df2fc4b82d11b6697d6b63f9bfc11f6a2668</t>
  </si>
  <si>
    <t>WI02 – Madison Data Center</t>
  </si>
  <si>
    <t>5515 Nobel Drive, Fitchburg, WI 53711</t>
  </si>
  <si>
    <t>wVn3Xw</t>
  </si>
  <si>
    <t>30e8829cc33fd8be0dc6635b5a87eb0a9af63f29d832db3d4b762be86bf8eba5</t>
  </si>
  <si>
    <t>Valero Energy</t>
  </si>
  <si>
    <t>Valero Energy  Data Center</t>
  </si>
  <si>
    <t>3535 Wiseman Blvd, San Antonio, Texas 78251, USA</t>
  </si>
  <si>
    <t>Rp7PdB</t>
  </si>
  <si>
    <t>a16e20ca04d3ddd279e9580a73bf79b5771cdc00c01b0a6ef372c502506d582a</t>
  </si>
  <si>
    <t>ValorC3</t>
  </si>
  <si>
    <t>10215 W Emerald St, Boise, ID 83704, USA</t>
  </si>
  <si>
    <t>83704</t>
  </si>
  <si>
    <t>GDozDR</t>
  </si>
  <si>
    <t>a0e7ef62bf96cff873f04c31842c81e80a40edc429d78756b17470237e67c40c</t>
  </si>
  <si>
    <t>4442 Newcastle Road, Oklahoma City, Oklahoma 73119, USA</t>
  </si>
  <si>
    <t>73119</t>
  </si>
  <si>
    <t>Gn4xOB</t>
  </si>
  <si>
    <t>9d369349657650cee6d2db5f11307d747b86ba12173a7dc8457d7432f1029eef</t>
  </si>
  <si>
    <t>1108 West 1600 South, St. George, Utah 84770, USA</t>
  </si>
  <si>
    <t>84770</t>
  </si>
  <si>
    <t>GmxQ9R</t>
  </si>
  <si>
    <t>56ec3a1b4b732ae85534bf5d3fa3c5e0f1835f95eb15b60088b482ab63ddf3e4</t>
  </si>
  <si>
    <t>Vantage Data Centers</t>
  </si>
  <si>
    <t>105 Nortech Pkwy</t>
  </si>
  <si>
    <t xml:space="preserve">105 Nortech Pkwy, San Jose, CA 95134, United States </t>
  </si>
  <si>
    <t>RjJDnR</t>
  </si>
  <si>
    <t>92012ecffda3aad33ab6e6bc7ee097e758455de609f7ea366111ad5962bf8ff2</t>
  </si>
  <si>
    <t>Ashburn (VA1) Data Center Campus</t>
  </si>
  <si>
    <t>45200 Vantage Data Plaza  Sterling, Virginia, 20166, USA</t>
  </si>
  <si>
    <t>Vantage Ashburn Campus</t>
  </si>
  <si>
    <t>B1QE8B</t>
  </si>
  <si>
    <t>57364618c3429a6ca751501421750b883461aaec4337254832016744e0f5950a</t>
  </si>
  <si>
    <t>Ashburn (VA2) Data Center Campus</t>
  </si>
  <si>
    <t>22318 Glenn Dr, Sterling, VA 20164</t>
  </si>
  <si>
    <t>GDopnR</t>
  </si>
  <si>
    <t>e62fa3ce530a3baba59eea8a53e62a989694c996d936afab2a78fa21bf235106</t>
  </si>
  <si>
    <t>Ashburn (VA3) Data Center Campus</t>
  </si>
  <si>
    <t>43321 Data Dr, Ashburn, VA 20147</t>
  </si>
  <si>
    <t>wMrvnB</t>
  </si>
  <si>
    <t>9a7d512280015d1fc66b580f1fec85692bac160867c5b94fcdb30a3baa26379d</t>
  </si>
  <si>
    <t>Riverside Pkwy, Douglasville, GA 30135, United States</t>
  </si>
  <si>
    <t>30135</t>
  </si>
  <si>
    <t>R8mv4G</t>
  </si>
  <si>
    <t>98c54ea833de4dd2a16bcd6c6bce9b8b5e8715b297902ba4a796c8058cc018f5</t>
  </si>
  <si>
    <t>AZ1 Data Center Campus</t>
  </si>
  <si>
    <t>45 S Bullard Avenue Goodyear, AZ 85338 USA</t>
  </si>
  <si>
    <t>Bgq14G</t>
  </si>
  <si>
    <t>394175a68119ee31b7b417f961d3daf37dc6a315e0a253ee1f8f3d27837e8f52</t>
  </si>
  <si>
    <t>AZ2</t>
  </si>
  <si>
    <t>14675 W Broadway Rd, Goodyear AZ, 85338</t>
  </si>
  <si>
    <t>wVnLKw</t>
  </si>
  <si>
    <t>f9b158fdb69dcc5e6a3abccc235c7956f84097a61865ea42f225588eb91d155c</t>
  </si>
  <si>
    <t>AZ3</t>
  </si>
  <si>
    <t>5595 N Cotton Ln, Glendale, AZ</t>
  </si>
  <si>
    <t>G331WG</t>
  </si>
  <si>
    <t>344e14909dd48dbcacaf414fdf2bcf415fa1ba4dda66e20d6b656fb4e60e7677</t>
  </si>
  <si>
    <t>Millersport</t>
  </si>
  <si>
    <t>Hocking</t>
  </si>
  <si>
    <t>R2JOeR</t>
  </si>
  <si>
    <t>15eb3db7fa3bed8e8fa796aed29d4f4c99daa55c3264d9f708239d6c6bd6cd81</t>
  </si>
  <si>
    <t>NV1 Campus</t>
  </si>
  <si>
    <t>1121 USA Parkway Sparks, NV 89437</t>
  </si>
  <si>
    <t>Gm4XvR</t>
  </si>
  <si>
    <t>3b6c12886f6a61f422a7e03741b3fa4baa067038921dac2b4e63180b756c6be3</t>
  </si>
  <si>
    <t>OH1</t>
  </si>
  <si>
    <t>3325 Horizon Court New Albany, OH 43031</t>
  </si>
  <si>
    <t>BqvJ7R</t>
  </si>
  <si>
    <t>9afefbcd22a5baffe79069e99389f45c73bccb3a186c9edb2a2ccd70a85516de</t>
  </si>
  <si>
    <t>Project Lighthouse (Stargate)</t>
  </si>
  <si>
    <t>Ozaukee County</t>
  </si>
  <si>
    <t>Town of Port Washington</t>
  </si>
  <si>
    <t>53074</t>
  </si>
  <si>
    <t>Gy4NER</t>
  </si>
  <si>
    <t>1311d587fc58504c3ad84c4704277aeaff55fa34971c9960bc11bea3a6f0bb4f</t>
  </si>
  <si>
    <t>Quincy Campus</t>
  </si>
  <si>
    <t>2101 M Street NE  , Quincy, Washington , 98848 , USA</t>
  </si>
  <si>
    <t>GlJrzB</t>
  </si>
  <si>
    <t>f13eb3619577b32d88c9049d30b06ef298becc5de04a746f32e552ba0c5e3c4d</t>
  </si>
  <si>
    <t>SANTA CLARA I (CA1)</t>
  </si>
  <si>
    <t>GnXDQB</t>
  </si>
  <si>
    <t>96f1bd8f0ec42ba14d653cdc4de40c40a91196ce9cc807533e14b4c0008345b3</t>
  </si>
  <si>
    <t>SANTA CLARA II (CA2)</t>
  </si>
  <si>
    <t>737 Mathew St, Santa Clara, CA 95050, United States</t>
  </si>
  <si>
    <t>RpgnLB</t>
  </si>
  <si>
    <t>60efd4cc52a485b243ed1967b883c208b09fb285f9d989a24aad4af805f3d850</t>
  </si>
  <si>
    <t>Santa Clara III (CA3)</t>
  </si>
  <si>
    <t>2590 Walsh Avenue Santa Clara CA</t>
  </si>
  <si>
    <t>woW9pw</t>
  </si>
  <si>
    <t>713330ebac535ce1f1b3800cffeb9906fef2109d0993dfc2e64a9a4c2c0399d0</t>
  </si>
  <si>
    <t>Stacks Rd</t>
  </si>
  <si>
    <t>4380 Stacks Rd, College Park, GA 30349</t>
  </si>
  <si>
    <t>wMAjZw</t>
  </si>
  <si>
    <t>3ee95ffa9208b7ff898397ab41bdbbe047b529b3bf1003a180763f8465cb8b1f</t>
  </si>
  <si>
    <t>Stargate- Frontier Campus</t>
  </si>
  <si>
    <t>Intersection of Hwy 604 &amp; Hwy 351</t>
  </si>
  <si>
    <t>Shackelford County</t>
  </si>
  <si>
    <t>79601</t>
  </si>
  <si>
    <t>GZ6l9G</t>
  </si>
  <si>
    <t>dbbdf6cafbc4d2fe319478a082ee1d7699ef9117cb79100ccbe81b4591a3ffe6</t>
  </si>
  <si>
    <t>TX11</t>
  </si>
  <si>
    <t>14720 Omicron Drive, San Antonio, Texas 78245, USA</t>
  </si>
  <si>
    <t>Grv4XG</t>
  </si>
  <si>
    <t>4fb193ad3b9095d7cd920caa4df315fd185b02759096986648457d202f3699fb</t>
  </si>
  <si>
    <t>Stafford County, Virginia</t>
  </si>
  <si>
    <t>22406</t>
  </si>
  <si>
    <t>wVqkXG</t>
  </si>
  <si>
    <t>38f070ca47a98f94e2cc5df050f4d0edb1015e55e0ed965c62f25794a911b927</t>
  </si>
  <si>
    <t>RxYLXG</t>
  </si>
  <si>
    <t>e3cc7e3988c6a6953c29b1d928cab4820683848fdcbe046def54f6490e4f604b</t>
  </si>
  <si>
    <t>Vaultas</t>
  </si>
  <si>
    <t>Alexandria, MN</t>
  </si>
  <si>
    <t>720 Hawthorne St 56308 Alexandria Minnesota, USA</t>
  </si>
  <si>
    <t>Alexandria</t>
  </si>
  <si>
    <t>56308</t>
  </si>
  <si>
    <t>GrV8XG</t>
  </si>
  <si>
    <t>aacb289ba60d92fa642a7dc711f336d58f8efda238afd1852965890a9cad96f7</t>
  </si>
  <si>
    <t>St. Cloud, MN</t>
  </si>
  <si>
    <t>3701 18th Street South, St. Cloud, MN 56301, United States</t>
  </si>
  <si>
    <t>Stearns County</t>
  </si>
  <si>
    <t>St. Cloud</t>
  </si>
  <si>
    <t>56301</t>
  </si>
  <si>
    <t>GDogoR</t>
  </si>
  <si>
    <t>866f5c0ef8c2348acdb675770afa16b99bba1bba284493875a131d2dea5182ae</t>
  </si>
  <si>
    <t>Verizon</t>
  </si>
  <si>
    <t>100 S Charles Street</t>
  </si>
  <si>
    <t>100 S Charles St, Baltimore, MD 21201</t>
  </si>
  <si>
    <t>City of Baltimore</t>
  </si>
  <si>
    <t>21202</t>
  </si>
  <si>
    <t>Downtown West</t>
  </si>
  <si>
    <t>wOLkgB</t>
  </si>
  <si>
    <t>4e501b48eabe6a4f7a6ca394957cbb0fcec3fe366a82f2e986ad68706ae0e035</t>
  </si>
  <si>
    <t>4428 E Sahara Ave</t>
  </si>
  <si>
    <t>4428 E Sahara Ave, Las Vegas, NV 89104, USA</t>
  </si>
  <si>
    <t>GrVv1G</t>
  </si>
  <si>
    <t>bb1b9457458f27cd1ea54ff489f2754b55beed2e31adf8b9356d2a4027a07bf1</t>
  </si>
  <si>
    <t>7777 Infantry Ridge Road</t>
  </si>
  <si>
    <t>7777 Infantry Ridge Rd, Manassas, VA 20109</t>
  </si>
  <si>
    <t>GaAALG</t>
  </si>
  <si>
    <t>f52e4ac61ad667bc99f0d9f59bbcdc80778b65f73e7d8d08d44354d035213c1a</t>
  </si>
  <si>
    <t>8921 Research Dr Charlotte</t>
  </si>
  <si>
    <t>8921 Research Dr, Charlotte, NC 28262, USA</t>
  </si>
  <si>
    <t>RQL9eB</t>
  </si>
  <si>
    <t>c2a53320184ddd7447095c5629f592fdb6f2ec8a11b5186e4490189e3c6f705c</t>
  </si>
  <si>
    <t>Atlanta DC 1</t>
  </si>
  <si>
    <t>10300 Old Alabama Connector Rd, Alpharetta, GA 30022, US</t>
  </si>
  <si>
    <t>B1XDVw</t>
  </si>
  <si>
    <t>78c8ecfba461a621d9c95f75b315eacbd1c5e4319412250101c7d0daac96c37c</t>
  </si>
  <si>
    <t>Atlanta DC 2</t>
  </si>
  <si>
    <t>10325 Turner Rd, Roswell, GA 30076, USA</t>
  </si>
  <si>
    <t>Roswell</t>
  </si>
  <si>
    <t>30076</t>
  </si>
  <si>
    <t>RKZrzB</t>
  </si>
  <si>
    <t>58bedb6541f5ffbd89a2081721a3a6fa9d847cad61d2f92be3638f689a4e78b5</t>
  </si>
  <si>
    <t>Attleboro - 39 Bank St</t>
  </si>
  <si>
    <t>39 Bank St Attleboro, MA 02703 USA</t>
  </si>
  <si>
    <t>Bristol County</t>
  </si>
  <si>
    <t>Attleboro</t>
  </si>
  <si>
    <t>02703</t>
  </si>
  <si>
    <t>RKZWzB</t>
  </si>
  <si>
    <t>b5d4afced46b2d99313af9dfccf57dc6a044c1a4be5d2afbb34ed572386d12c3</t>
  </si>
  <si>
    <t>Cambridge - Fulkerson St</t>
  </si>
  <si>
    <t>89 Fulkerson St, Cambridge, MA 02141, USA</t>
  </si>
  <si>
    <t>G3VEPR</t>
  </si>
  <si>
    <t>795330b22bb0e4e15e28bf35713a0bd206b3985b89ab0b6aa99b468224567d7f</t>
  </si>
  <si>
    <t>Dorchester - 175 Adams St</t>
  </si>
  <si>
    <t>175 Adams St, Dorchester, MA 02122, USA</t>
  </si>
  <si>
    <t>02122</t>
  </si>
  <si>
    <t>Meeting House Hill</t>
  </si>
  <si>
    <t>Dorchester</t>
  </si>
  <si>
    <t>B1X4Vw</t>
  </si>
  <si>
    <t>a51007890c80a2937e92982250387fc43fe2b026f7019cc5455088ff7dcca366</t>
  </si>
  <si>
    <t>Henderson Data Center</t>
  </si>
  <si>
    <t>2240 Corporate Circle, Henderson, NV 89074, United States</t>
  </si>
  <si>
    <t>89074</t>
  </si>
  <si>
    <t>GDrDYB</t>
  </si>
  <si>
    <t>ddebbaa5c01c4480ffc71d339ab5002541b4394fa7137bd3b18b40d70810a525</t>
  </si>
  <si>
    <t>Hyannis - 49 Ocean St</t>
  </si>
  <si>
    <t>49 Ocean St Hyannis, MA 02601 USA</t>
  </si>
  <si>
    <t>Barnstable</t>
  </si>
  <si>
    <t>Barnstable County</t>
  </si>
  <si>
    <t>02601</t>
  </si>
  <si>
    <t>Hyannis</t>
  </si>
  <si>
    <t>RjW8EG</t>
  </si>
  <si>
    <t>220c78b5e47f869dcc1769e01fed650287acc472d21bc507abadf74dc0db1e73</t>
  </si>
  <si>
    <t>5127 Truse Rd, Memphis, TN 38117, United States</t>
  </si>
  <si>
    <t>38117</t>
  </si>
  <si>
    <t>Colonial</t>
  </si>
  <si>
    <t>Rp7l5B</t>
  </si>
  <si>
    <t>ffdc864b17c5f184ba4226a78535962cd097693192f60eb92e6c2cd01953708b</t>
  </si>
  <si>
    <t>Milford - 9 Water St</t>
  </si>
  <si>
    <t>9 Water St Milford, MA 01757 USA</t>
  </si>
  <si>
    <t>Milford</t>
  </si>
  <si>
    <t>01757</t>
  </si>
  <si>
    <t>BgAlOG</t>
  </si>
  <si>
    <t>526192cdecd0635b545003ab561584b9debc939aa7d6a68b9bbdc849d349cc41</t>
  </si>
  <si>
    <t>1070 Hancock St, Quincy, MA 02169, USA</t>
  </si>
  <si>
    <t>02169</t>
  </si>
  <si>
    <t>Quincy Center</t>
  </si>
  <si>
    <t>RNeZYB</t>
  </si>
  <si>
    <t>f0af8a8179d167d95dc93a1b73647b470a5ed910682e0dcb1939ef135023ac7c</t>
  </si>
  <si>
    <t>Southlake City NOC</t>
  </si>
  <si>
    <t>500 West Dove Road, Southlake, Texas 76092, USA</t>
  </si>
  <si>
    <t>Southlake</t>
  </si>
  <si>
    <t>76092</t>
  </si>
  <si>
    <t>RQL6DB</t>
  </si>
  <si>
    <t>6b869cb33101e56fcfe161651cde3c611a9234faa37e49bc7ec43b159459773e</t>
  </si>
  <si>
    <t>Verizon - Rensselaer Tech Park</t>
  </si>
  <si>
    <t>225 Jordan Rd, Troy, NY 12180</t>
  </si>
  <si>
    <t>BgJP6w</t>
  </si>
  <si>
    <t>cef61030afc5fdc7776701f3f33dc113c48e3d00203486c040d19c4934aa42a0</t>
  </si>
  <si>
    <t>Verizon Beltsville</t>
  </si>
  <si>
    <t>6900 Muirkirk Meadows Dr, Beltsville, MD 20705</t>
  </si>
  <si>
    <t>BJrQNB</t>
  </si>
  <si>
    <t>c0e2db99b43e91ea6bcb9d05c0b7fad737b3f8eb7af593a6f74b4d5e83f30e57</t>
  </si>
  <si>
    <t>Verizon HQ Office NE</t>
  </si>
  <si>
    <t>145 Chubb Way, Branchburg, NJ</t>
  </si>
  <si>
    <t>Branchburg Township</t>
  </si>
  <si>
    <t>08821</t>
  </si>
  <si>
    <t>G6EbbR</t>
  </si>
  <si>
    <t>53005127b16d7ef256a4df15869dcadd9d439cc481dc9369690a5d802396cad1</t>
  </si>
  <si>
    <t>Verizon Los Angeles</t>
  </si>
  <si>
    <t>800 S Hope St, Los Angeles, CA 90017</t>
  </si>
  <si>
    <t>GrVLXG</t>
  </si>
  <si>
    <t>2dd3587527bb7a1ef3ae0b542d876778ed49d4cca8e4b5a2d9c74d8009a07a03</t>
  </si>
  <si>
    <t>36 Spring St Waltham, MA 02451 USA</t>
  </si>
  <si>
    <t>02454</t>
  </si>
  <si>
    <t>Central Square</t>
  </si>
  <si>
    <t>G6EMNR</t>
  </si>
  <si>
    <t>8cb7224b2785e0c4ecbb2612ea8055ff08538c70653f88300bd29436535c47af</t>
  </si>
  <si>
    <t>Waltham - 36 Spring St</t>
  </si>
  <si>
    <t>36 Spring St, Waltham, MA 02451, United States</t>
  </si>
  <si>
    <t>GlPAeG</t>
  </si>
  <si>
    <t>2b8d927faad9734c963c9d07903d68dd5d152a8a777b7a5e8ddec451fb4f6c32</t>
  </si>
  <si>
    <t>Vibrint</t>
  </si>
  <si>
    <t>10977 Guilford Road</t>
  </si>
  <si>
    <t>10977 Guilford Rd, Annapolis Junction, MD 20701</t>
  </si>
  <si>
    <t>Howard County</t>
  </si>
  <si>
    <t>Whitehurst</t>
  </si>
  <si>
    <t>20701</t>
  </si>
  <si>
    <t>R2L74w</t>
  </si>
  <si>
    <t>fc2df7983292932e90d6845d80f80ac414a9254f1c5ae41339d339c99a8e1470</t>
  </si>
  <si>
    <t>Vint Hill Corners</t>
  </si>
  <si>
    <t>4295 Aiken Dr, Warrenton, VA 20187</t>
  </si>
  <si>
    <t>w5Aeaw</t>
  </si>
  <si>
    <t>81a5e199f152fae7c0a2048d7618a7d8011dc38fb4fd497858fefb804ddfd1b7</t>
  </si>
  <si>
    <t>Virginia Commonwealth University</t>
  </si>
  <si>
    <t>Virginia Commonwealth University Technology Operations Center</t>
  </si>
  <si>
    <t>707 W Broad St, Richmond, VA 23220</t>
  </si>
  <si>
    <t>City of Richmond</t>
  </si>
  <si>
    <t>23220</t>
  </si>
  <si>
    <t>West Franklin Street</t>
  </si>
  <si>
    <t>BbA6ew</t>
  </si>
  <si>
    <t>d1b74c5166386523c21b27720df415d63b405f50f507f6da1236b36f4881eba2</t>
  </si>
  <si>
    <t>Visa</t>
  </si>
  <si>
    <t>Visa Ashburn</t>
  </si>
  <si>
    <t>44901 Russell Branch Pkwy, Ashburn, VA 20147</t>
  </si>
  <si>
    <t>R8mmPG</t>
  </si>
  <si>
    <t>342a5b0943f545b2ee2cdced36bde737ec0b8ae8b9b22541de514f2d86c44ccc</t>
  </si>
  <si>
    <t>Vision Net</t>
  </si>
  <si>
    <t>Billings Data Center</t>
  </si>
  <si>
    <t>1030 Central Ave, Billings, MT 59102, USA</t>
  </si>
  <si>
    <t>59101</t>
  </si>
  <si>
    <t>GzYQDR</t>
  </si>
  <si>
    <t>e4a184f798c344a61e35704c95e4a64b37eade18bf5400af390aec4e988c36df</t>
  </si>
  <si>
    <t>Billings Fiber Hotel</t>
  </si>
  <si>
    <t>222 N 32nd St, Billings, MT 59101, USA</t>
  </si>
  <si>
    <t>West Downtown</t>
  </si>
  <si>
    <t>BEW6dG</t>
  </si>
  <si>
    <t>161b6a49a5e756d550b8920d814cf39a4c22d95658cd9e9eb068ffac1f0f6d33</t>
  </si>
  <si>
    <t>Helena Data Center</t>
  </si>
  <si>
    <t>1084 Helena Avenue, Helena, MT 59601, USA</t>
  </si>
  <si>
    <t>Lewis and Clark County</t>
  </si>
  <si>
    <t>Helena</t>
  </si>
  <si>
    <t>59601</t>
  </si>
  <si>
    <t>BgAEzG</t>
  </si>
  <si>
    <t>3af3519cbbf17e4c16b47d2dcfec38b0120079e62d341b67f92d48774cc5e374</t>
  </si>
  <si>
    <t>Missoula Data Center</t>
  </si>
  <si>
    <t>1221 N. Russell Missoula, MT 59808</t>
  </si>
  <si>
    <t>Missoula County</t>
  </si>
  <si>
    <t>Missoula</t>
  </si>
  <si>
    <t>59802</t>
  </si>
  <si>
    <t>Heart of Missoula</t>
  </si>
  <si>
    <t>G3V6xR</t>
  </si>
  <si>
    <t>40040417f85126f2652e15a4dc4c4b77cca314feb9488109bb0a7a2379c9d1b0</t>
  </si>
  <si>
    <t>Volico</t>
  </si>
  <si>
    <t>FLL1</t>
  </si>
  <si>
    <t xml:space="preserve"> 500 Green Rd. Deerfield, FL 33064</t>
  </si>
  <si>
    <t>Leisureville</t>
  </si>
  <si>
    <t>33064</t>
  </si>
  <si>
    <t>wOLdDB</t>
  </si>
  <si>
    <t>b947ef7e7c7950327a2c5e19db0ab2d871fab8bdff1fec8f7d1b2542548eed6c</t>
  </si>
  <si>
    <t>MIA1</t>
  </si>
  <si>
    <t>100 N. Biscayne Blvd. Miami, FL 33131</t>
  </si>
  <si>
    <t>GagWKB</t>
  </si>
  <si>
    <t>7cb8b32ad58ac06a915018f824050c16857b6424f04c33b80dfc9c3d4977e0ef</t>
  </si>
  <si>
    <t>VPLS</t>
  </si>
  <si>
    <t>Orange County Data Centre</t>
  </si>
  <si>
    <t>1400 S Grand Ave, Santa Ana, CA 92705</t>
  </si>
  <si>
    <t>Santa Ana</t>
  </si>
  <si>
    <t>92705</t>
  </si>
  <si>
    <t>Cedar Evergreen</t>
  </si>
  <si>
    <t>BJLzmG</t>
  </si>
  <si>
    <t>9786bde0cece92d292a7e47d25521f88b22fddbb5e411d882b74ef3dcdb7a8e3</t>
  </si>
  <si>
    <t>VTX1 Companies</t>
  </si>
  <si>
    <t>520 Matamoros St, Laredo, Texas 78040, USA</t>
  </si>
  <si>
    <t>78040</t>
  </si>
  <si>
    <t>GZqL3R</t>
  </si>
  <si>
    <t>c99c13a9e815ecbe2a4aa556097f0c7a18161d1912ff93a09070d50a4e8e5028</t>
  </si>
  <si>
    <t>Wallace Jackson LLC</t>
  </si>
  <si>
    <t>Wallace Jackson Data Center Campus</t>
  </si>
  <si>
    <t>5745 Jackson Rd, Griffin, GA 30223</t>
  </si>
  <si>
    <t>30248</t>
  </si>
  <si>
    <t>RQ6Q1G</t>
  </si>
  <si>
    <t>d2019aece1b1651d0933c040c93e73ea6239c0c2c8637a77e126e279238b47bc</t>
  </si>
  <si>
    <t>Walsh, Colucci, Lubeley &amp; Walsh</t>
  </si>
  <si>
    <t>The Gardner Property</t>
  </si>
  <si>
    <t>Gainesville, VA 20155</t>
  </si>
  <si>
    <t>Gm6kmw</t>
  </si>
  <si>
    <t>3f251460fef1f47a872b0c2f7373bb8a59111c85766c979d1ef8ad45ee0b5c32</t>
  </si>
  <si>
    <t>Wave Business</t>
  </si>
  <si>
    <t>Wave Business Mountain View</t>
  </si>
  <si>
    <t>1555 Plymouth St, Mountain View, CA 94043</t>
  </si>
  <si>
    <t>BA70xG</t>
  </si>
  <si>
    <t>c13733015ea8791577e52a0d8bf5c7fb10295c7105167605917540e8941afc67</t>
  </si>
  <si>
    <t>Wells Fargo</t>
  </si>
  <si>
    <t>100 Sunnynoll Ct, Winston-Salem, NC 27106, USA</t>
  </si>
  <si>
    <t>27106</t>
  </si>
  <si>
    <t>GDo84R</t>
  </si>
  <si>
    <t>b19d3c83c8eb31290930d878cb15a0138735759d0c088716e05defb4f65387a0</t>
  </si>
  <si>
    <t>Westelcom</t>
  </si>
  <si>
    <t>Westelcom Plattsburgh</t>
  </si>
  <si>
    <t>24 Margaret St, Plattsburgh, NY 12901</t>
  </si>
  <si>
    <t>Clinton County</t>
  </si>
  <si>
    <t>Plattsburgh</t>
  </si>
  <si>
    <t>12901</t>
  </si>
  <si>
    <t>RYqYdR</t>
  </si>
  <si>
    <t>cd0dd80818eacd8ff950f64e25f3880b8c3c58240c936f2b33587eb741cf00ac</t>
  </si>
  <si>
    <t>Westelcom Syracuse</t>
  </si>
  <si>
    <t>109 S Warren St, Syracuse, NY 13202</t>
  </si>
  <si>
    <t>City of Syracuse</t>
  </si>
  <si>
    <t>13202</t>
  </si>
  <si>
    <t>Bb0xkG</t>
  </si>
  <si>
    <t>69041dbe2bf26bb0fb3a9df7018b2c764f1077053c5018b7d3bb1a19530d39fb</t>
  </si>
  <si>
    <t>Westelcom Watertown</t>
  </si>
  <si>
    <t>130 Park Pl, Watertown, NY 13601</t>
  </si>
  <si>
    <t>City of Watertown</t>
  </si>
  <si>
    <t>13601</t>
  </si>
  <si>
    <t>GagQ9B</t>
  </si>
  <si>
    <t>04919bd7af7487bf71941a5b4f2483f1c0190f7e680f2da85d4f2fd3f0d353de</t>
  </si>
  <si>
    <t>Western Hospitality Partners</t>
  </si>
  <si>
    <t>Project Gravity</t>
  </si>
  <si>
    <t>wo11xR</t>
  </si>
  <si>
    <t>8f2e5ba60c49dce1ece77dae46d1f29de269a844f55649e5d5159ede037c4a04</t>
  </si>
  <si>
    <t>Project Lincoln: OC Data Center</t>
  </si>
  <si>
    <t>3210 D.W. Griffith Ln, La Grange, KY 40031</t>
  </si>
  <si>
    <t>Oldham County</t>
  </si>
  <si>
    <t>40031</t>
  </si>
  <si>
    <t>R0lZnR</t>
  </si>
  <si>
    <t>271bf57fe0572d5e7806c2bf704e881fa1edbba0fc7ce1d9cc96d8b66ce5411a</t>
  </si>
  <si>
    <t>Western Hospitality Partners WHP Braidwood</t>
  </si>
  <si>
    <t>Grundy County</t>
  </si>
  <si>
    <t>Braidwood</t>
  </si>
  <si>
    <t>60408</t>
  </si>
  <si>
    <t>Reed Township</t>
  </si>
  <si>
    <t>Ga7JKB</t>
  </si>
  <si>
    <t>47a5eb9d2d640e55cb24661a82b05862c116f50338390881e002571e174118bd</t>
  </si>
  <si>
    <t>Western Hospitality Partners WHP Perkin</t>
  </si>
  <si>
    <t>Tazewell County</t>
  </si>
  <si>
    <t>Pekin</t>
  </si>
  <si>
    <t>61554</t>
  </si>
  <si>
    <t>Pekin Township</t>
  </si>
  <si>
    <t>wVnDpw</t>
  </si>
  <si>
    <t>204b026e8879263a3fd0647e6fd78c72b04e0333f54fbdfd66da7ee4fb707f35</t>
  </si>
  <si>
    <t>Whitelabel IT Solutions</t>
  </si>
  <si>
    <t>Whitelabel IT Solutions New Jersey</t>
  </si>
  <si>
    <t>150 Atlantic St, Hackensack, NJ 07601</t>
  </si>
  <si>
    <t>Hackensack</t>
  </si>
  <si>
    <t>07601</t>
  </si>
  <si>
    <t>GlPmxG</t>
  </si>
  <si>
    <t>98e386914e01ff4167653eb529de65d5f7bf4683a724361acaedf444bff15e05</t>
  </si>
  <si>
    <t>William &amp; Mary</t>
  </si>
  <si>
    <t>West Campus Utility Plant</t>
  </si>
  <si>
    <t>281 Ukrop Way, Williamsburg, VA 23185</t>
  </si>
  <si>
    <t>Williamsburg (city)</t>
  </si>
  <si>
    <t>Williamsburg</t>
  </si>
  <si>
    <t>23185</t>
  </si>
  <si>
    <t>Gm6xDw</t>
  </si>
  <si>
    <t>e4186abcbba6e6c6a2368be82c8bf882ef3361226bd3fe375276e34004d452fc</t>
  </si>
  <si>
    <t>Willowbend Capital LLC</t>
  </si>
  <si>
    <t>Little Rock Port</t>
  </si>
  <si>
    <t>10600 Industrial Harbor Dr, Little Rock, AR 72206</t>
  </si>
  <si>
    <t>RYN7bG</t>
  </si>
  <si>
    <t>761565a789852570de4a2ccf0ce32cf1608308b3b6ddb8bf2355952519378429</t>
  </si>
  <si>
    <t>Windstream</t>
  </si>
  <si>
    <t>5707 S 27th</t>
  </si>
  <si>
    <t>5707 S 27th St, Lincoln, NE 68512, USA</t>
  </si>
  <si>
    <t>68512</t>
  </si>
  <si>
    <t>RvY9MB</t>
  </si>
  <si>
    <t>d81cf2c656f597d1fe43722f4d7e2b228b903ba83b2033712305b3f5f0f944f6</t>
  </si>
  <si>
    <t>Windstream Ephrata</t>
  </si>
  <si>
    <t>140 Akron Rd, Ephrata, PA 17522</t>
  </si>
  <si>
    <t>Ephrata</t>
  </si>
  <si>
    <t>17522</t>
  </si>
  <si>
    <t>G3VbkR</t>
  </si>
  <si>
    <t>dd2fc6140fa73f731dd539d1e7fcf68fecf86da4cb56d1b3c0fc93a4d0e0a637</t>
  </si>
  <si>
    <t>Windstream State College</t>
  </si>
  <si>
    <t>441 Science Park Rd, State College, PA 16803</t>
  </si>
  <si>
    <t>Centre County</t>
  </si>
  <si>
    <t>State College</t>
  </si>
  <si>
    <t>16803</t>
  </si>
  <si>
    <t>Science Park</t>
  </si>
  <si>
    <t>wodzkB</t>
  </si>
  <si>
    <t>ac3ee27ded709d81d14bf471dcc2944a6088a10b1f535909ebfe7de49ea758cb</t>
  </si>
  <si>
    <t>Wintek</t>
  </si>
  <si>
    <t>Data Centre - Wintek</t>
  </si>
  <si>
    <t>427 N 6th St, Lafayette, IN 47901, United States</t>
  </si>
  <si>
    <t>Tippecanoe County</t>
  </si>
  <si>
    <t>Lafayette</t>
  </si>
  <si>
    <t>47901</t>
  </si>
  <si>
    <t>Fairfield Township</t>
  </si>
  <si>
    <t>GDoxeR</t>
  </si>
  <si>
    <t>e7bf5b0b7285443bff14151b2ed36dd0f872ffd4fc0f91665bf0c620209cde21</t>
  </si>
  <si>
    <t>Wise County Industrial Development Authority</t>
  </si>
  <si>
    <t>Elam Farm - Abandoned Mine Land Economic Revitilazation</t>
  </si>
  <si>
    <t>Wise, VA 24293</t>
  </si>
  <si>
    <t>Grv95G</t>
  </si>
  <si>
    <t>73b4ffe40888ea4e5a774e3423bc753090c140ae0ebb9291ed89d57276818a48</t>
  </si>
  <si>
    <t>WRV Nurseries South Brunswick LLC</t>
  </si>
  <si>
    <t>4405 US-1</t>
  </si>
  <si>
    <t>4405 US-1, Princeton, NJ 08540</t>
  </si>
  <si>
    <t>Monmouth Junction</t>
  </si>
  <si>
    <t>08852</t>
  </si>
  <si>
    <t>South Brunswick Township</t>
  </si>
  <si>
    <t>GnK4nw</t>
  </si>
  <si>
    <t>1b92480320e9e2729308ede92fc68ffebd055e5de364b6cc128a8715bd597cb9</t>
  </si>
  <si>
    <t>xAI</t>
  </si>
  <si>
    <t>Colossus 1</t>
  </si>
  <si>
    <t>3231 Riverport Rd, Memphis, TN 38109</t>
  </si>
  <si>
    <t>38113</t>
  </si>
  <si>
    <t>large_appliances</t>
  </si>
  <si>
    <t>RpZLLw</t>
  </si>
  <si>
    <t>0289c7d913f979fd3568cee1da3837401b9649be3a5163b1861100a2c84bc5eb</t>
  </si>
  <si>
    <t>Colossus 2</t>
  </si>
  <si>
    <t>5400 Tulane Rd, Memphis, TN 38109</t>
  </si>
  <si>
    <t>38109</t>
  </si>
  <si>
    <t>Ga7AXB</t>
  </si>
  <si>
    <t>3c42d3fb166143c56d866620265d9d6feee0a4fc2b89000f70736c69c8bb21a1</t>
  </si>
  <si>
    <t>Xecunet</t>
  </si>
  <si>
    <t>Xecunet Frederick</t>
  </si>
  <si>
    <t>5744 Industry Ln, Frederick, MD 21704</t>
  </si>
  <si>
    <t>Rp7JDB</t>
  </si>
  <si>
    <t>4d2a9db61a27ca55270394d225af33846a4fa40ba5a6c9e0245aa6541adef1f6</t>
  </si>
  <si>
    <t>Xfernet</t>
  </si>
  <si>
    <t>Xfernet Los Angeles</t>
  </si>
  <si>
    <t>3250 Wilshire Blvd #301, Los Angeles, CA 90010</t>
  </si>
  <si>
    <t>90010</t>
  </si>
  <si>
    <t>GDrVpB</t>
  </si>
  <si>
    <t>afc65cfec060b2fce6fd51a203a9358f5b7a0753183e1ddca3d696a16c620938</t>
  </si>
  <si>
    <t>XNet</t>
  </si>
  <si>
    <t>XNet Critical Computing</t>
  </si>
  <si>
    <t>3080 Ogden Avenue, Suite 303, Lisle, IL 60532-1681</t>
  </si>
  <si>
    <t>RQLpJB</t>
  </si>
  <si>
    <t>1fd7795fb2d8949dcef637cc92623adb2a53fa09aa8c182ac5b3798c89e4883f</t>
  </si>
  <si>
    <t>XO Communications</t>
  </si>
  <si>
    <t>XO Communications Washington, DC</t>
  </si>
  <si>
    <t>4301 Connecticut Ave NW, Washington, D.C., DC 20008</t>
  </si>
  <si>
    <t>20015</t>
  </si>
  <si>
    <t>Ward 3</t>
  </si>
  <si>
    <t>BgAgKG</t>
  </si>
  <si>
    <t>0f9f03b3b4980d4d246b9c0e601e0bfeaa5cd708d3200bc171ef921a289a32f4</t>
  </si>
  <si>
    <t>Yahoo</t>
  </si>
  <si>
    <t>La Vista Data Centre</t>
  </si>
  <si>
    <t xml:space="preserve"> 10917 Harry Watanabe Pkwy La Vista, NE 68128, USA</t>
  </si>
  <si>
    <t>La Vista</t>
  </si>
  <si>
    <t>GDoYpR</t>
  </si>
  <si>
    <t>0fa86a59a489e2aa4de96f016ff876b29a6ee2c249e98c66b1520f49748d813b</t>
  </si>
  <si>
    <t>1010 Yahoo Way Quincy, WA 98848 USA</t>
  </si>
  <si>
    <t>RxPqLR</t>
  </si>
  <si>
    <t>685cf85133ad254a0addc8598c7e4821510c931f249c0a727e4b5475b9cf11db</t>
  </si>
  <si>
    <t>Yahoo! Japan</t>
  </si>
  <si>
    <t>Actapio Wenatchee</t>
  </si>
  <si>
    <t>207 N United Sakura Drive, East Wenatchee, WA 98802, United States</t>
  </si>
  <si>
    <t>RNeLdB</t>
  </si>
  <si>
    <t>9f11f094437541c7352f4dd35337934a12f6dd98108b0fbb027092dd7561d414</t>
  </si>
  <si>
    <t>Yondr</t>
  </si>
  <si>
    <t>Yondr Loudoun County</t>
  </si>
  <si>
    <t>41835 Dulles W Blvd, Aldie, VA 20105</t>
  </si>
  <si>
    <t>R8JqPw</t>
  </si>
  <si>
    <t>891d055a5447af013cf07e890362abfa7c62a1135f574cec5c80958241461d7c</t>
  </si>
  <si>
    <t>PERMITTED</t>
  </si>
  <si>
    <t>DON’T USE</t>
  </si>
  <si>
    <t>LIVE</t>
  </si>
  <si>
    <t>UNDER CONSTRUCTION</t>
  </si>
  <si>
    <t>ANNOUNCED</t>
  </si>
  <si>
    <t>?? - 50/50</t>
  </si>
  <si>
    <t>Clean Buy Likelihood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</si>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</sst>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79"/>
  <sheetViews>
    <sheetView tabSelected="1" workbookViewId="0">
      <selection activeCell="E11" activeCellId="1" sqref="B1:B2 E11"/>
    </sheetView>
  </sheetViews>
  <sheetFormatPr defaultRowHeight="15.75" x14ac:dyDescent="0.25"/>
  <cols>
    <col min="2" max="2" width="21.5" customWidth="1"/>
    <col min="3" max="3" width="50.875" bestFit="1" customWidth="1"/>
    <col min="4" max="4" width="17" customWidth="1"/>
    <col min="5" max="5" width="14.75" bestFit="1" customWidth="1"/>
    <col min="6" max="6" width="8.75" customWidth="1"/>
    <col min="7" max="7" width="22" bestFit="1" customWidth="1"/>
    <col min="8" max="22" width="8.75" customWidth="1"/>
    <col min="24" max="24" width="20.75" bestFit="1" customWidth="1"/>
    <col min="25" max="25" width="23.75" bestFit="1" customWidth="1"/>
    <col min="26" max="26" width="23.875" bestFit="1" customWidth="1"/>
    <col min="27" max="27" width="19.25" customWidth="1"/>
    <col min="28" max="28" width="20.75" bestFit="1" customWidth="1"/>
  </cols>
  <sheetData>
    <row r="1" spans="1:31" x14ac:dyDescent="0.25">
      <c r="A1" t="s">
        <v>0</v>
      </c>
      <c r="Y1" s="1">
        <v>0.8</v>
      </c>
      <c r="Z1" t="s">
        <v>11348</v>
      </c>
    </row>
    <row r="2" spans="1:31" x14ac:dyDescent="0.25">
      <c r="A2" t="s">
        <v>1</v>
      </c>
      <c r="W2" t="s">
        <v>11345</v>
      </c>
      <c r="X2" t="s">
        <v>11346</v>
      </c>
      <c r="Y2" t="s">
        <v>11343</v>
      </c>
      <c r="Z2" t="s">
        <v>11347</v>
      </c>
      <c r="AB2" t="s">
        <v>11344</v>
      </c>
    </row>
    <row r="3" spans="1:31" x14ac:dyDescent="0.25">
      <c r="A3" t="s">
        <v>2</v>
      </c>
      <c r="B3" t="s">
        <v>11349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</row>
    <row r="4" spans="1:31" x14ac:dyDescent="0.25">
      <c r="A4" t="s">
        <v>31</v>
      </c>
      <c r="C4" t="s">
        <v>5652</v>
      </c>
      <c r="D4" t="s">
        <v>5653</v>
      </c>
      <c r="E4" t="s">
        <v>34</v>
      </c>
      <c r="F4" t="s">
        <v>66</v>
      </c>
      <c r="G4">
        <v>2026</v>
      </c>
      <c r="H4" t="s">
        <v>411</v>
      </c>
      <c r="I4" t="s">
        <v>325</v>
      </c>
      <c r="J4" t="s">
        <v>31</v>
      </c>
      <c r="K4" t="s">
        <v>38</v>
      </c>
      <c r="L4" t="s">
        <v>68</v>
      </c>
      <c r="M4" t="s">
        <v>69</v>
      </c>
      <c r="N4" t="s">
        <v>5654</v>
      </c>
      <c r="T4">
        <v>35.384808063000001</v>
      </c>
      <c r="U4">
        <v>-101.75252716200001</v>
      </c>
      <c r="V4">
        <f>SUM(W4:X4)+(Y4*0.8)+(Z4*0.4)</f>
        <v>4400</v>
      </c>
      <c r="W4">
        <v>0</v>
      </c>
      <c r="X4">
        <v>0</v>
      </c>
      <c r="Y4">
        <v>600</v>
      </c>
      <c r="Z4">
        <v>9800</v>
      </c>
      <c r="AA4" t="s">
        <v>43</v>
      </c>
      <c r="AB4">
        <v>0</v>
      </c>
      <c r="AD4" t="s">
        <v>5655</v>
      </c>
      <c r="AE4" t="s">
        <v>5656</v>
      </c>
    </row>
    <row r="5" spans="1:31" x14ac:dyDescent="0.25">
      <c r="A5" t="s">
        <v>31</v>
      </c>
      <c r="B5" t="s">
        <v>11350</v>
      </c>
      <c r="C5" t="s">
        <v>7684</v>
      </c>
      <c r="D5" t="s">
        <v>7802</v>
      </c>
      <c r="E5" t="s">
        <v>362</v>
      </c>
      <c r="F5" t="s">
        <v>363</v>
      </c>
      <c r="G5">
        <v>2030</v>
      </c>
      <c r="H5" t="s">
        <v>36</v>
      </c>
      <c r="I5" t="s">
        <v>7803</v>
      </c>
      <c r="J5" t="s">
        <v>31</v>
      </c>
      <c r="K5" t="s">
        <v>38</v>
      </c>
      <c r="L5" t="s">
        <v>2620</v>
      </c>
      <c r="M5" t="s">
        <v>2621</v>
      </c>
      <c r="N5" t="s">
        <v>7802</v>
      </c>
      <c r="P5" t="s">
        <v>7804</v>
      </c>
      <c r="T5">
        <v>32.514308753999998</v>
      </c>
      <c r="U5">
        <v>-91.641480157000004</v>
      </c>
      <c r="V5">
        <f>SUM(W5:X5)+(Y5*0.8)+(Z5*0.4)</f>
        <v>2850</v>
      </c>
      <c r="W5">
        <v>0</v>
      </c>
      <c r="X5">
        <v>250</v>
      </c>
      <c r="Y5">
        <v>1750</v>
      </c>
      <c r="Z5">
        <v>3000</v>
      </c>
      <c r="AA5" t="s">
        <v>43</v>
      </c>
      <c r="AB5">
        <v>2000</v>
      </c>
      <c r="AD5" t="s">
        <v>7805</v>
      </c>
      <c r="AE5" t="s">
        <v>7806</v>
      </c>
    </row>
    <row r="6" spans="1:31" x14ac:dyDescent="0.25">
      <c r="A6" t="s">
        <v>31</v>
      </c>
      <c r="C6" t="s">
        <v>9585</v>
      </c>
      <c r="D6" t="s">
        <v>9586</v>
      </c>
      <c r="E6" t="s">
        <v>34</v>
      </c>
      <c r="F6" t="s">
        <v>76</v>
      </c>
      <c r="G6">
        <v>2027</v>
      </c>
      <c r="H6" t="s">
        <v>411</v>
      </c>
      <c r="I6" t="s">
        <v>325</v>
      </c>
      <c r="J6" t="s">
        <v>31</v>
      </c>
      <c r="K6" t="s">
        <v>38</v>
      </c>
      <c r="L6" t="s">
        <v>68</v>
      </c>
      <c r="M6" t="s">
        <v>69</v>
      </c>
      <c r="N6" t="s">
        <v>9587</v>
      </c>
      <c r="O6" t="s">
        <v>9588</v>
      </c>
      <c r="P6" t="s">
        <v>9589</v>
      </c>
      <c r="T6">
        <v>32.412205673000003</v>
      </c>
      <c r="U6">
        <v>-97.857849526999999</v>
      </c>
      <c r="V6">
        <f>SUM(W6:X6)+(Y6*0.8)+(Z6*0.4)</f>
        <v>2000</v>
      </c>
      <c r="W6">
        <v>0</v>
      </c>
      <c r="X6">
        <v>0</v>
      </c>
      <c r="Y6">
        <v>0</v>
      </c>
      <c r="Z6">
        <v>5000</v>
      </c>
      <c r="AA6" t="s">
        <v>43</v>
      </c>
      <c r="AB6">
        <v>0</v>
      </c>
      <c r="AD6" t="s">
        <v>9590</v>
      </c>
      <c r="AE6" t="s">
        <v>9591</v>
      </c>
    </row>
    <row r="7" spans="1:31" x14ac:dyDescent="0.25">
      <c r="A7" t="s">
        <v>31</v>
      </c>
      <c r="C7" t="s">
        <v>5126</v>
      </c>
      <c r="D7" t="s">
        <v>5127</v>
      </c>
      <c r="E7" t="s">
        <v>34</v>
      </c>
      <c r="F7" t="s">
        <v>66</v>
      </c>
      <c r="H7" t="s">
        <v>411</v>
      </c>
      <c r="J7" t="s">
        <v>31</v>
      </c>
      <c r="K7" t="s">
        <v>38</v>
      </c>
      <c r="L7" t="s">
        <v>68</v>
      </c>
      <c r="M7" t="s">
        <v>69</v>
      </c>
      <c r="N7" t="s">
        <v>5128</v>
      </c>
      <c r="T7">
        <v>27.637249018999999</v>
      </c>
      <c r="U7">
        <v>-99.409863986999994</v>
      </c>
      <c r="V7">
        <f>SUM(W7:X7)+(Y7*0.8)+(Z7*0.4)</f>
        <v>2000</v>
      </c>
      <c r="W7">
        <v>0</v>
      </c>
      <c r="X7">
        <v>0</v>
      </c>
      <c r="Y7">
        <v>0</v>
      </c>
      <c r="Z7">
        <v>5000</v>
      </c>
      <c r="AA7" t="s">
        <v>43</v>
      </c>
      <c r="AB7">
        <v>0</v>
      </c>
      <c r="AD7" t="s">
        <v>5129</v>
      </c>
      <c r="AE7" t="s">
        <v>5130</v>
      </c>
    </row>
    <row r="8" spans="1:31" x14ac:dyDescent="0.25">
      <c r="A8" t="s">
        <v>31</v>
      </c>
      <c r="B8" t="s">
        <v>11350</v>
      </c>
      <c r="C8" t="s">
        <v>647</v>
      </c>
      <c r="D8" t="s">
        <v>928</v>
      </c>
      <c r="E8" t="s">
        <v>362</v>
      </c>
      <c r="F8" t="s">
        <v>649</v>
      </c>
      <c r="G8">
        <v>2034</v>
      </c>
      <c r="H8" t="s">
        <v>36</v>
      </c>
      <c r="I8" t="s">
        <v>929</v>
      </c>
      <c r="J8" t="s">
        <v>31</v>
      </c>
      <c r="K8" t="s">
        <v>38</v>
      </c>
      <c r="L8" t="s">
        <v>185</v>
      </c>
      <c r="M8" t="s">
        <v>186</v>
      </c>
      <c r="N8" t="s">
        <v>930</v>
      </c>
      <c r="P8" t="s">
        <v>931</v>
      </c>
      <c r="T8">
        <v>33.177781598000003</v>
      </c>
      <c r="U8">
        <v>-84.052624953999995</v>
      </c>
      <c r="V8">
        <f>SUM(W8:X8)+(Y8*0.8)+(Z8*0.4)</f>
        <v>1941.6000000000001</v>
      </c>
      <c r="W8">
        <v>0</v>
      </c>
      <c r="X8">
        <v>0</v>
      </c>
      <c r="Y8">
        <v>0</v>
      </c>
      <c r="Z8">
        <v>4854</v>
      </c>
      <c r="AA8" t="s">
        <v>43</v>
      </c>
      <c r="AB8">
        <v>0</v>
      </c>
      <c r="AD8" t="s">
        <v>932</v>
      </c>
      <c r="AE8" t="s">
        <v>933</v>
      </c>
    </row>
    <row r="9" spans="1:31" x14ac:dyDescent="0.25">
      <c r="A9" t="s">
        <v>31</v>
      </c>
      <c r="C9" t="s">
        <v>1811</v>
      </c>
      <c r="D9" t="s">
        <v>1817</v>
      </c>
      <c r="E9" t="s">
        <v>34</v>
      </c>
      <c r="F9" t="s">
        <v>66</v>
      </c>
      <c r="G9">
        <v>2027</v>
      </c>
      <c r="H9" t="s">
        <v>36</v>
      </c>
      <c r="I9" t="s">
        <v>1818</v>
      </c>
      <c r="J9" t="s">
        <v>31</v>
      </c>
      <c r="K9" t="s">
        <v>38</v>
      </c>
      <c r="L9" t="s">
        <v>1819</v>
      </c>
      <c r="M9" t="s">
        <v>1820</v>
      </c>
      <c r="N9" t="s">
        <v>1821</v>
      </c>
      <c r="O9" t="s">
        <v>1822</v>
      </c>
      <c r="P9" t="s">
        <v>1823</v>
      </c>
      <c r="T9">
        <v>36.273006234999997</v>
      </c>
      <c r="U9">
        <v>-95.90959556</v>
      </c>
      <c r="V9">
        <f>SUM(W9:X9)+(Y9*0.8)+(Z9*0.4)</f>
        <v>1870</v>
      </c>
      <c r="W9">
        <v>0</v>
      </c>
      <c r="X9">
        <v>550</v>
      </c>
      <c r="Y9">
        <v>1650</v>
      </c>
      <c r="Z9">
        <v>0</v>
      </c>
      <c r="AA9" t="s">
        <v>43</v>
      </c>
      <c r="AB9">
        <v>0</v>
      </c>
      <c r="AD9" t="s">
        <v>1824</v>
      </c>
      <c r="AE9" t="s">
        <v>1825</v>
      </c>
    </row>
    <row r="10" spans="1:31" x14ac:dyDescent="0.25">
      <c r="A10" t="s">
        <v>31</v>
      </c>
      <c r="C10" t="s">
        <v>3281</v>
      </c>
      <c r="D10" t="s">
        <v>3287</v>
      </c>
      <c r="E10" t="s">
        <v>34</v>
      </c>
      <c r="F10" t="s">
        <v>76</v>
      </c>
      <c r="G10">
        <v>2028</v>
      </c>
      <c r="H10" t="s">
        <v>36</v>
      </c>
      <c r="J10" t="s">
        <v>31</v>
      </c>
      <c r="K10" t="s">
        <v>38</v>
      </c>
      <c r="L10" t="s">
        <v>3288</v>
      </c>
      <c r="M10" t="s">
        <v>3289</v>
      </c>
      <c r="N10" t="s">
        <v>3290</v>
      </c>
      <c r="T10">
        <v>41.037064657999998</v>
      </c>
      <c r="U10">
        <v>-104.802090787</v>
      </c>
      <c r="V10">
        <f>SUM(W10:X10)+(Y10*0.8)+(Z10*0.4)</f>
        <v>1456</v>
      </c>
      <c r="W10">
        <v>0</v>
      </c>
      <c r="X10">
        <v>0</v>
      </c>
      <c r="Y10">
        <v>1820</v>
      </c>
      <c r="Z10">
        <v>0</v>
      </c>
      <c r="AA10" t="s">
        <v>43</v>
      </c>
      <c r="AB10">
        <v>0</v>
      </c>
      <c r="AD10" t="s">
        <v>3291</v>
      </c>
      <c r="AE10" t="s">
        <v>3292</v>
      </c>
    </row>
    <row r="11" spans="1:31" x14ac:dyDescent="0.25">
      <c r="A11" t="s">
        <v>31</v>
      </c>
      <c r="C11" t="s">
        <v>10285</v>
      </c>
      <c r="D11" t="s">
        <v>10290</v>
      </c>
      <c r="E11" t="s">
        <v>34</v>
      </c>
      <c r="F11" t="s">
        <v>66</v>
      </c>
      <c r="G11">
        <v>2025</v>
      </c>
      <c r="H11" t="s">
        <v>36</v>
      </c>
      <c r="I11" t="s">
        <v>10291</v>
      </c>
      <c r="J11" t="s">
        <v>31</v>
      </c>
      <c r="K11" t="s">
        <v>38</v>
      </c>
      <c r="L11" t="s">
        <v>77</v>
      </c>
      <c r="M11" t="s">
        <v>78</v>
      </c>
      <c r="N11" t="s">
        <v>10292</v>
      </c>
      <c r="O11" t="s">
        <v>10293</v>
      </c>
      <c r="P11" t="s">
        <v>10294</v>
      </c>
      <c r="T11">
        <v>40.546494690000003</v>
      </c>
      <c r="U11">
        <v>-79.651107943</v>
      </c>
      <c r="V11">
        <f>SUM(W11:X11)+(Y11*0.8)+(Z11*0.4)</f>
        <v>1362.4</v>
      </c>
      <c r="W11">
        <v>12</v>
      </c>
      <c r="X11">
        <v>0</v>
      </c>
      <c r="Y11">
        <v>988</v>
      </c>
      <c r="Z11">
        <v>1400</v>
      </c>
      <c r="AA11" t="s">
        <v>43</v>
      </c>
      <c r="AB11">
        <v>1000</v>
      </c>
      <c r="AD11" t="s">
        <v>10295</v>
      </c>
      <c r="AE11" t="s">
        <v>10296</v>
      </c>
    </row>
    <row r="12" spans="1:31" x14ac:dyDescent="0.25">
      <c r="A12" t="s">
        <v>31</v>
      </c>
      <c r="C12" t="s">
        <v>3849</v>
      </c>
      <c r="D12" t="s">
        <v>4511</v>
      </c>
      <c r="E12" t="s">
        <v>34</v>
      </c>
      <c r="F12" t="s">
        <v>66</v>
      </c>
      <c r="G12">
        <v>2023</v>
      </c>
      <c r="H12" t="s">
        <v>36</v>
      </c>
      <c r="I12" t="s">
        <v>4512</v>
      </c>
      <c r="J12" t="s">
        <v>31</v>
      </c>
      <c r="K12" t="s">
        <v>38</v>
      </c>
      <c r="L12" t="s">
        <v>242</v>
      </c>
      <c r="M12" t="s">
        <v>243</v>
      </c>
      <c r="N12" t="s">
        <v>405</v>
      </c>
      <c r="O12" t="s">
        <v>526</v>
      </c>
      <c r="P12" t="s">
        <v>527</v>
      </c>
      <c r="T12">
        <v>38.964092731999997</v>
      </c>
      <c r="U12">
        <v>-77.492705495999999</v>
      </c>
      <c r="V12">
        <f>SUM(W12:X12)+(Y12*0.8)+(Z12*0.4)</f>
        <v>1132.8</v>
      </c>
      <c r="W12">
        <v>57.6</v>
      </c>
      <c r="X12">
        <v>230.4</v>
      </c>
      <c r="Y12">
        <v>960</v>
      </c>
      <c r="Z12">
        <v>192</v>
      </c>
      <c r="AA12" t="s">
        <v>43</v>
      </c>
      <c r="AB12">
        <v>189</v>
      </c>
      <c r="AD12" t="s">
        <v>4513</v>
      </c>
      <c r="AE12" t="s">
        <v>4514</v>
      </c>
    </row>
    <row r="13" spans="1:31" x14ac:dyDescent="0.25">
      <c r="A13" t="s">
        <v>31</v>
      </c>
      <c r="C13" t="s">
        <v>3281</v>
      </c>
      <c r="D13" t="s">
        <v>3293</v>
      </c>
      <c r="E13" t="s">
        <v>34</v>
      </c>
      <c r="F13" t="s">
        <v>76</v>
      </c>
      <c r="G13">
        <v>2025</v>
      </c>
      <c r="H13" t="s">
        <v>36</v>
      </c>
      <c r="I13" t="s">
        <v>3294</v>
      </c>
      <c r="J13" t="s">
        <v>31</v>
      </c>
      <c r="K13" t="s">
        <v>38</v>
      </c>
      <c r="L13" t="s">
        <v>68</v>
      </c>
      <c r="M13" t="s">
        <v>69</v>
      </c>
      <c r="N13" t="s">
        <v>3295</v>
      </c>
      <c r="O13" t="s">
        <v>3296</v>
      </c>
      <c r="T13">
        <v>32.502642104000003</v>
      </c>
      <c r="U13">
        <v>-99.787528739999999</v>
      </c>
      <c r="V13">
        <f>SUM(W13:X13)+(Y13*0.8)+(Z13*0.4)</f>
        <v>1126</v>
      </c>
      <c r="W13">
        <v>206</v>
      </c>
      <c r="X13">
        <v>600</v>
      </c>
      <c r="Y13">
        <v>0</v>
      </c>
      <c r="Z13">
        <v>800</v>
      </c>
      <c r="AA13" t="s">
        <v>43</v>
      </c>
      <c r="AB13">
        <v>706</v>
      </c>
      <c r="AD13" t="s">
        <v>3297</v>
      </c>
      <c r="AE13" t="s">
        <v>3298</v>
      </c>
    </row>
    <row r="14" spans="1:31" x14ac:dyDescent="0.25">
      <c r="A14" t="s">
        <v>31</v>
      </c>
      <c r="C14" t="s">
        <v>2535</v>
      </c>
      <c r="D14" t="s">
        <v>2558</v>
      </c>
      <c r="E14" t="s">
        <v>34</v>
      </c>
      <c r="F14" t="s">
        <v>66</v>
      </c>
      <c r="G14">
        <v>2019</v>
      </c>
      <c r="H14" t="s">
        <v>36</v>
      </c>
      <c r="I14" t="s">
        <v>2559</v>
      </c>
      <c r="J14" t="s">
        <v>31</v>
      </c>
      <c r="K14" t="s">
        <v>38</v>
      </c>
      <c r="L14" t="s">
        <v>242</v>
      </c>
      <c r="M14" t="s">
        <v>243</v>
      </c>
      <c r="N14" t="s">
        <v>405</v>
      </c>
      <c r="O14" t="s">
        <v>516</v>
      </c>
      <c r="P14" t="s">
        <v>517</v>
      </c>
      <c r="T14">
        <v>39.002173368999998</v>
      </c>
      <c r="U14">
        <v>-77.472372970999999</v>
      </c>
      <c r="V14">
        <f>SUM(W14:X14)+(Y14*0.8)+(Z14*0.4)</f>
        <v>1109.5999999999999</v>
      </c>
      <c r="W14">
        <v>328</v>
      </c>
      <c r="X14">
        <v>288</v>
      </c>
      <c r="Y14">
        <v>617</v>
      </c>
      <c r="Z14">
        <v>0</v>
      </c>
      <c r="AA14" t="s">
        <v>43</v>
      </c>
      <c r="AB14">
        <v>616</v>
      </c>
      <c r="AD14" t="s">
        <v>2560</v>
      </c>
      <c r="AE14" t="s">
        <v>2561</v>
      </c>
    </row>
    <row r="15" spans="1:31" x14ac:dyDescent="0.25">
      <c r="A15" t="s">
        <v>31</v>
      </c>
      <c r="C15" t="s">
        <v>8969</v>
      </c>
      <c r="D15" t="s">
        <v>8997</v>
      </c>
      <c r="E15" t="s">
        <v>34</v>
      </c>
      <c r="F15" t="s">
        <v>66</v>
      </c>
      <c r="G15">
        <v>2027</v>
      </c>
      <c r="H15" t="s">
        <v>36</v>
      </c>
      <c r="I15" t="s">
        <v>8998</v>
      </c>
      <c r="J15" t="s">
        <v>31</v>
      </c>
      <c r="K15" t="s">
        <v>38</v>
      </c>
      <c r="L15" t="s">
        <v>77</v>
      </c>
      <c r="M15" t="s">
        <v>78</v>
      </c>
      <c r="N15" t="s">
        <v>487</v>
      </c>
      <c r="O15" t="s">
        <v>8999</v>
      </c>
      <c r="P15" t="s">
        <v>9000</v>
      </c>
      <c r="Q15" t="s">
        <v>9001</v>
      </c>
      <c r="T15">
        <v>40.252275586000003</v>
      </c>
      <c r="U15">
        <v>-77.114117836999995</v>
      </c>
      <c r="V15">
        <f>SUM(W15:X15)+(Y15*0.8)+(Z15*0.4)</f>
        <v>1080</v>
      </c>
      <c r="W15">
        <v>0</v>
      </c>
      <c r="X15">
        <v>0</v>
      </c>
      <c r="Y15">
        <v>1350</v>
      </c>
      <c r="Z15">
        <v>0</v>
      </c>
      <c r="AA15" t="s">
        <v>43</v>
      </c>
      <c r="AB15">
        <v>0</v>
      </c>
      <c r="AD15" t="s">
        <v>9002</v>
      </c>
      <c r="AE15" t="s">
        <v>9003</v>
      </c>
    </row>
    <row r="16" spans="1:31" x14ac:dyDescent="0.25">
      <c r="A16" t="s">
        <v>31</v>
      </c>
      <c r="C16" t="s">
        <v>11162</v>
      </c>
      <c r="D16" t="s">
        <v>11163</v>
      </c>
      <c r="E16" t="s">
        <v>34</v>
      </c>
      <c r="F16" t="s">
        <v>43</v>
      </c>
      <c r="G16">
        <v>2035</v>
      </c>
      <c r="H16" t="s">
        <v>36</v>
      </c>
      <c r="I16" t="s">
        <v>11164</v>
      </c>
      <c r="J16" t="s">
        <v>31</v>
      </c>
      <c r="K16" t="s">
        <v>38</v>
      </c>
      <c r="L16" t="s">
        <v>185</v>
      </c>
      <c r="M16" t="s">
        <v>186</v>
      </c>
      <c r="N16" t="s">
        <v>6769</v>
      </c>
      <c r="P16" t="s">
        <v>11165</v>
      </c>
      <c r="T16">
        <v>33.281044655000002</v>
      </c>
      <c r="U16">
        <v>-84.117705255999994</v>
      </c>
      <c r="V16">
        <f>SUM(W16:X16)+(Y16*0.8)+(Z16*0.4)</f>
        <v>1067.2</v>
      </c>
      <c r="W16">
        <v>0</v>
      </c>
      <c r="X16">
        <v>0</v>
      </c>
      <c r="Y16">
        <v>0</v>
      </c>
      <c r="Z16">
        <v>2668</v>
      </c>
      <c r="AA16" t="s">
        <v>43</v>
      </c>
      <c r="AB16">
        <v>0</v>
      </c>
      <c r="AD16" t="s">
        <v>11166</v>
      </c>
      <c r="AE16" t="s">
        <v>11167</v>
      </c>
    </row>
    <row r="17" spans="1:31" x14ac:dyDescent="0.25">
      <c r="A17" t="s">
        <v>31</v>
      </c>
      <c r="C17" t="s">
        <v>4747</v>
      </c>
      <c r="D17" t="s">
        <v>4748</v>
      </c>
      <c r="E17" t="s">
        <v>34</v>
      </c>
      <c r="F17" t="s">
        <v>76</v>
      </c>
      <c r="G17">
        <v>2026</v>
      </c>
      <c r="H17" t="s">
        <v>36</v>
      </c>
      <c r="I17" t="s">
        <v>4749</v>
      </c>
      <c r="J17" t="s">
        <v>31</v>
      </c>
      <c r="K17" t="s">
        <v>38</v>
      </c>
      <c r="L17" t="s">
        <v>185</v>
      </c>
      <c r="M17" t="s">
        <v>186</v>
      </c>
      <c r="N17" t="s">
        <v>1269</v>
      </c>
      <c r="O17" t="s">
        <v>4750</v>
      </c>
      <c r="P17" t="s">
        <v>4751</v>
      </c>
      <c r="T17">
        <v>33.443270961000003</v>
      </c>
      <c r="U17">
        <v>-82.164469116000006</v>
      </c>
      <c r="V17">
        <f>SUM(W17:X17)+(Y17*0.8)+(Z17*0.4)</f>
        <v>1000.3200000000002</v>
      </c>
      <c r="W17">
        <v>0</v>
      </c>
      <c r="X17">
        <v>0</v>
      </c>
      <c r="Y17">
        <v>0</v>
      </c>
      <c r="Z17">
        <v>2500.8000000000002</v>
      </c>
      <c r="AA17" t="s">
        <v>43</v>
      </c>
      <c r="AB17">
        <v>0</v>
      </c>
      <c r="AD17" t="s">
        <v>4752</v>
      </c>
      <c r="AE17" t="s">
        <v>4753</v>
      </c>
    </row>
    <row r="18" spans="1:31" x14ac:dyDescent="0.25">
      <c r="A18" t="s">
        <v>31</v>
      </c>
      <c r="B18" t="s">
        <v>11350</v>
      </c>
      <c r="C18" t="s">
        <v>7684</v>
      </c>
      <c r="D18" t="s">
        <v>7685</v>
      </c>
      <c r="E18" t="s">
        <v>362</v>
      </c>
      <c r="F18" t="s">
        <v>7686</v>
      </c>
      <c r="G18">
        <v>2027</v>
      </c>
      <c r="H18" t="s">
        <v>36</v>
      </c>
      <c r="I18" t="s">
        <v>325</v>
      </c>
      <c r="J18" t="s">
        <v>31</v>
      </c>
      <c r="K18" t="s">
        <v>38</v>
      </c>
      <c r="L18" t="s">
        <v>2437</v>
      </c>
      <c r="M18" t="s">
        <v>2438</v>
      </c>
      <c r="N18" t="s">
        <v>4098</v>
      </c>
      <c r="P18" t="s">
        <v>7687</v>
      </c>
      <c r="T18">
        <v>33.642801521000003</v>
      </c>
      <c r="U18">
        <v>-81.842991350000005</v>
      </c>
      <c r="V18">
        <f>SUM(W18:X18)+(Y18*0.8)+(Z18*0.4)</f>
        <v>1000</v>
      </c>
      <c r="W18">
        <v>0</v>
      </c>
      <c r="X18">
        <v>1000</v>
      </c>
      <c r="Y18">
        <v>0</v>
      </c>
      <c r="Z18">
        <v>0</v>
      </c>
      <c r="AA18" t="s">
        <v>43</v>
      </c>
      <c r="AB18">
        <v>1000</v>
      </c>
      <c r="AD18" t="s">
        <v>7688</v>
      </c>
      <c r="AE18" t="s">
        <v>7689</v>
      </c>
    </row>
    <row r="19" spans="1:31" x14ac:dyDescent="0.25">
      <c r="A19" t="s">
        <v>31</v>
      </c>
      <c r="C19" t="s">
        <v>10102</v>
      </c>
      <c r="D19" t="s">
        <v>10160</v>
      </c>
      <c r="E19" t="s">
        <v>34</v>
      </c>
      <c r="F19" t="s">
        <v>66</v>
      </c>
      <c r="G19">
        <v>2026</v>
      </c>
      <c r="H19" t="s">
        <v>36</v>
      </c>
      <c r="I19" t="s">
        <v>10161</v>
      </c>
      <c r="J19" t="s">
        <v>31</v>
      </c>
      <c r="K19" t="s">
        <v>38</v>
      </c>
      <c r="L19" t="s">
        <v>185</v>
      </c>
      <c r="M19" t="s">
        <v>186</v>
      </c>
      <c r="N19" t="s">
        <v>4630</v>
      </c>
      <c r="O19" t="s">
        <v>4631</v>
      </c>
      <c r="P19" t="s">
        <v>4632</v>
      </c>
      <c r="T19">
        <v>34.108442594000003</v>
      </c>
      <c r="U19">
        <v>-84.803428616000005</v>
      </c>
      <c r="V19">
        <f>SUM(W19:X19)+(Y19*0.8)+(Z19*0.4)</f>
        <v>980</v>
      </c>
      <c r="W19">
        <v>0</v>
      </c>
      <c r="X19">
        <v>300</v>
      </c>
      <c r="Y19">
        <v>0</v>
      </c>
      <c r="Z19">
        <v>1700</v>
      </c>
      <c r="AA19" t="s">
        <v>43</v>
      </c>
      <c r="AB19">
        <v>300</v>
      </c>
      <c r="AD19" t="s">
        <v>10162</v>
      </c>
      <c r="AE19" t="s">
        <v>10163</v>
      </c>
    </row>
    <row r="20" spans="1:31" x14ac:dyDescent="0.25">
      <c r="A20" t="s">
        <v>31</v>
      </c>
      <c r="B20" t="s">
        <v>11350</v>
      </c>
      <c r="C20" t="s">
        <v>647</v>
      </c>
      <c r="D20" t="s">
        <v>1000</v>
      </c>
      <c r="E20" t="s">
        <v>362</v>
      </c>
      <c r="F20" t="s">
        <v>363</v>
      </c>
      <c r="H20" t="s">
        <v>36</v>
      </c>
      <c r="I20" t="s">
        <v>1001</v>
      </c>
      <c r="J20" t="s">
        <v>31</v>
      </c>
      <c r="K20" t="s">
        <v>38</v>
      </c>
      <c r="L20" t="s">
        <v>143</v>
      </c>
      <c r="M20" t="s">
        <v>144</v>
      </c>
      <c r="N20" t="s">
        <v>1002</v>
      </c>
      <c r="O20" t="s">
        <v>1000</v>
      </c>
      <c r="P20" t="s">
        <v>1003</v>
      </c>
      <c r="Q20" t="s">
        <v>1004</v>
      </c>
      <c r="T20">
        <v>41.505209000000001</v>
      </c>
      <c r="U20">
        <v>-87.291601</v>
      </c>
      <c r="V20">
        <f>SUM(W20:X20)+(Y20*0.8)+(Z20*0.4)</f>
        <v>960</v>
      </c>
      <c r="W20">
        <v>0</v>
      </c>
      <c r="X20">
        <v>0</v>
      </c>
      <c r="Y20">
        <v>0</v>
      </c>
      <c r="Z20">
        <v>2400</v>
      </c>
      <c r="AA20" t="s">
        <v>43</v>
      </c>
      <c r="AB20">
        <v>0</v>
      </c>
      <c r="AD20" t="s">
        <v>1005</v>
      </c>
      <c r="AE20" t="s">
        <v>1006</v>
      </c>
    </row>
    <row r="21" spans="1:31" x14ac:dyDescent="0.25">
      <c r="A21" t="s">
        <v>31</v>
      </c>
      <c r="C21" t="s">
        <v>2255</v>
      </c>
      <c r="D21" t="s">
        <v>10594</v>
      </c>
      <c r="E21" t="s">
        <v>34</v>
      </c>
      <c r="F21" t="s">
        <v>66</v>
      </c>
      <c r="G21">
        <v>2032</v>
      </c>
      <c r="H21" t="s">
        <v>36</v>
      </c>
      <c r="J21" t="s">
        <v>31</v>
      </c>
      <c r="K21" t="s">
        <v>38</v>
      </c>
      <c r="L21" t="s">
        <v>1883</v>
      </c>
      <c r="M21" t="s">
        <v>1884</v>
      </c>
      <c r="N21" t="s">
        <v>1885</v>
      </c>
      <c r="O21" t="s">
        <v>10595</v>
      </c>
      <c r="P21" t="s">
        <v>10596</v>
      </c>
      <c r="T21">
        <v>33.345155841</v>
      </c>
      <c r="U21">
        <v>-87.037555999999995</v>
      </c>
      <c r="V21">
        <f>SUM(W21:X21)+(Y21*0.8)+(Z21*0.4)</f>
        <v>950.40000000000009</v>
      </c>
      <c r="W21">
        <v>0</v>
      </c>
      <c r="X21">
        <v>0</v>
      </c>
      <c r="Y21">
        <v>1188</v>
      </c>
      <c r="Z21">
        <v>0</v>
      </c>
      <c r="AA21" t="s">
        <v>43</v>
      </c>
      <c r="AB21">
        <v>0</v>
      </c>
      <c r="AD21" t="s">
        <v>10597</v>
      </c>
      <c r="AE21" t="s">
        <v>10598</v>
      </c>
    </row>
    <row r="22" spans="1:31" x14ac:dyDescent="0.25">
      <c r="A22" t="s">
        <v>31</v>
      </c>
      <c r="C22" t="s">
        <v>11289</v>
      </c>
      <c r="D22" t="s">
        <v>11296</v>
      </c>
      <c r="E22" t="s">
        <v>362</v>
      </c>
      <c r="F22" t="s">
        <v>7686</v>
      </c>
      <c r="G22">
        <v>2025</v>
      </c>
      <c r="H22" t="s">
        <v>36</v>
      </c>
      <c r="I22" t="s">
        <v>11297</v>
      </c>
      <c r="J22" t="s">
        <v>31</v>
      </c>
      <c r="K22" t="s">
        <v>38</v>
      </c>
      <c r="L22" t="s">
        <v>260</v>
      </c>
      <c r="M22" t="s">
        <v>261</v>
      </c>
      <c r="N22" t="s">
        <v>336</v>
      </c>
      <c r="O22" t="s">
        <v>337</v>
      </c>
      <c r="P22" t="s">
        <v>11298</v>
      </c>
      <c r="T22">
        <v>34.999543584000001</v>
      </c>
      <c r="U22">
        <v>-90.04157506</v>
      </c>
      <c r="V22">
        <f>SUM(W22:X22)+(Y22*0.8)+(Z22*0.4)</f>
        <v>932</v>
      </c>
      <c r="W22">
        <v>212</v>
      </c>
      <c r="X22">
        <v>0</v>
      </c>
      <c r="Y22">
        <v>900</v>
      </c>
      <c r="Z22">
        <v>0</v>
      </c>
      <c r="AA22" t="s">
        <v>43</v>
      </c>
      <c r="AB22">
        <v>1112</v>
      </c>
      <c r="AD22" t="s">
        <v>11299</v>
      </c>
      <c r="AE22" t="s">
        <v>11300</v>
      </c>
    </row>
    <row r="23" spans="1:31" x14ac:dyDescent="0.25">
      <c r="A23" t="s">
        <v>31</v>
      </c>
      <c r="B23" t="s">
        <v>11350</v>
      </c>
      <c r="C23" t="s">
        <v>647</v>
      </c>
      <c r="D23" t="s">
        <v>904</v>
      </c>
      <c r="E23" t="s">
        <v>362</v>
      </c>
      <c r="F23" t="s">
        <v>363</v>
      </c>
      <c r="G23">
        <v>2025</v>
      </c>
      <c r="H23" t="s">
        <v>36</v>
      </c>
      <c r="I23" t="s">
        <v>905</v>
      </c>
      <c r="J23" t="s">
        <v>31</v>
      </c>
      <c r="K23" t="s">
        <v>38</v>
      </c>
      <c r="L23" t="s">
        <v>143</v>
      </c>
      <c r="M23" t="s">
        <v>144</v>
      </c>
      <c r="N23" t="s">
        <v>906</v>
      </c>
      <c r="O23" t="s">
        <v>907</v>
      </c>
      <c r="P23" t="s">
        <v>908</v>
      </c>
      <c r="Q23" t="s">
        <v>909</v>
      </c>
      <c r="T23">
        <v>41.668582825999998</v>
      </c>
      <c r="U23">
        <v>-86.474030429999999</v>
      </c>
      <c r="V23">
        <f>SUM(W23:X23)+(Y23*0.8)+(Z23*0.4)</f>
        <v>893.2</v>
      </c>
      <c r="W23">
        <v>232</v>
      </c>
      <c r="X23">
        <v>522</v>
      </c>
      <c r="Y23">
        <v>174</v>
      </c>
      <c r="Z23">
        <v>0</v>
      </c>
      <c r="AA23" t="s">
        <v>43</v>
      </c>
      <c r="AB23">
        <v>928</v>
      </c>
      <c r="AD23" t="s">
        <v>910</v>
      </c>
      <c r="AE23" t="s">
        <v>911</v>
      </c>
    </row>
    <row r="24" spans="1:31" x14ac:dyDescent="0.25">
      <c r="A24" t="s">
        <v>31</v>
      </c>
      <c r="C24" t="s">
        <v>9124</v>
      </c>
      <c r="D24" t="s">
        <v>9144</v>
      </c>
      <c r="E24" t="s">
        <v>34</v>
      </c>
      <c r="F24" t="s">
        <v>66</v>
      </c>
      <c r="H24" t="s">
        <v>36</v>
      </c>
      <c r="I24" t="s">
        <v>9145</v>
      </c>
      <c r="J24" t="s">
        <v>31</v>
      </c>
      <c r="K24" t="s">
        <v>38</v>
      </c>
      <c r="L24" t="s">
        <v>86</v>
      </c>
      <c r="M24" t="s">
        <v>87</v>
      </c>
      <c r="N24" t="s">
        <v>3402</v>
      </c>
      <c r="O24" t="s">
        <v>3403</v>
      </c>
      <c r="P24" t="s">
        <v>8051</v>
      </c>
      <c r="T24">
        <v>41.707688115000003</v>
      </c>
      <c r="U24">
        <v>-88.481330817</v>
      </c>
      <c r="V24">
        <f>SUM(W24:X24)+(Y24*0.8)+(Z24*0.4)</f>
        <v>883.2</v>
      </c>
      <c r="W24">
        <v>0</v>
      </c>
      <c r="X24">
        <v>0</v>
      </c>
      <c r="Y24">
        <v>0</v>
      </c>
      <c r="Z24">
        <v>2208</v>
      </c>
      <c r="AA24" t="s">
        <v>43</v>
      </c>
      <c r="AB24">
        <v>0</v>
      </c>
      <c r="AD24" t="s">
        <v>9146</v>
      </c>
      <c r="AE24" t="s">
        <v>9147</v>
      </c>
    </row>
    <row r="25" spans="1:31" x14ac:dyDescent="0.25">
      <c r="A25" t="s">
        <v>31</v>
      </c>
      <c r="C25" t="s">
        <v>9886</v>
      </c>
      <c r="D25" t="s">
        <v>9981</v>
      </c>
      <c r="E25" t="s">
        <v>34</v>
      </c>
      <c r="F25" t="s">
        <v>66</v>
      </c>
      <c r="H25" t="s">
        <v>36</v>
      </c>
      <c r="I25" t="s">
        <v>9982</v>
      </c>
      <c r="J25" t="s">
        <v>31</v>
      </c>
      <c r="K25" t="s">
        <v>38</v>
      </c>
      <c r="L25" t="s">
        <v>242</v>
      </c>
      <c r="M25" t="s">
        <v>243</v>
      </c>
      <c r="N25" t="s">
        <v>413</v>
      </c>
      <c r="O25" t="s">
        <v>951</v>
      </c>
      <c r="P25" t="s">
        <v>8831</v>
      </c>
      <c r="T25">
        <v>38.386882939000003</v>
      </c>
      <c r="U25">
        <v>-77.431124607000001</v>
      </c>
      <c r="V25">
        <f>SUM(W25:X25)+(Y25*0.8)+(Z25*0.4)</f>
        <v>880</v>
      </c>
      <c r="W25">
        <v>0</v>
      </c>
      <c r="X25">
        <v>0</v>
      </c>
      <c r="Y25">
        <v>1100</v>
      </c>
      <c r="Z25">
        <v>0</v>
      </c>
      <c r="AA25" t="s">
        <v>43</v>
      </c>
      <c r="AB25">
        <v>1100</v>
      </c>
      <c r="AD25" t="s">
        <v>9983</v>
      </c>
      <c r="AE25" t="s">
        <v>9984</v>
      </c>
    </row>
    <row r="26" spans="1:31" x14ac:dyDescent="0.25">
      <c r="A26" t="s">
        <v>31</v>
      </c>
      <c r="C26" t="s">
        <v>4998</v>
      </c>
      <c r="D26" t="s">
        <v>5015</v>
      </c>
      <c r="E26" t="s">
        <v>34</v>
      </c>
      <c r="F26" t="s">
        <v>66</v>
      </c>
      <c r="H26" t="s">
        <v>36</v>
      </c>
      <c r="I26" t="s">
        <v>5016</v>
      </c>
      <c r="J26" t="s">
        <v>31</v>
      </c>
      <c r="K26" t="s">
        <v>38</v>
      </c>
      <c r="L26" t="s">
        <v>242</v>
      </c>
      <c r="M26" t="s">
        <v>243</v>
      </c>
      <c r="N26" t="s">
        <v>5017</v>
      </c>
      <c r="O26" t="s">
        <v>5018</v>
      </c>
      <c r="P26" t="s">
        <v>5019</v>
      </c>
      <c r="T26">
        <v>37.884171449</v>
      </c>
      <c r="U26">
        <v>-78.038200023000002</v>
      </c>
      <c r="V26">
        <f>SUM(W26:X26)+(Y26*0.8)+(Z26*0.4)</f>
        <v>880</v>
      </c>
      <c r="W26">
        <v>0</v>
      </c>
      <c r="X26">
        <v>0</v>
      </c>
      <c r="Y26">
        <v>1100</v>
      </c>
      <c r="Z26">
        <v>0</v>
      </c>
      <c r="AA26" t="s">
        <v>43</v>
      </c>
      <c r="AB26">
        <v>0</v>
      </c>
      <c r="AD26" t="s">
        <v>5020</v>
      </c>
      <c r="AE26" t="s">
        <v>5021</v>
      </c>
    </row>
    <row r="27" spans="1:31" x14ac:dyDescent="0.25">
      <c r="A27" t="s">
        <v>31</v>
      </c>
      <c r="C27" t="s">
        <v>6807</v>
      </c>
      <c r="D27" t="s">
        <v>6808</v>
      </c>
      <c r="E27" t="s">
        <v>34</v>
      </c>
      <c r="F27" t="s">
        <v>66</v>
      </c>
      <c r="G27">
        <v>2040</v>
      </c>
      <c r="H27" t="s">
        <v>36</v>
      </c>
      <c r="J27" t="s">
        <v>31</v>
      </c>
      <c r="K27" t="s">
        <v>38</v>
      </c>
      <c r="L27" t="s">
        <v>185</v>
      </c>
      <c r="M27" t="s">
        <v>186</v>
      </c>
      <c r="N27" t="s">
        <v>6809</v>
      </c>
      <c r="P27" t="s">
        <v>6810</v>
      </c>
      <c r="T27">
        <v>33.263420000000004</v>
      </c>
      <c r="U27">
        <v>-84.085402000000002</v>
      </c>
      <c r="V27">
        <f>SUM(W27:X27)+(Y27*0.8)+(Z27*0.4)</f>
        <v>850.88</v>
      </c>
      <c r="W27">
        <v>0</v>
      </c>
      <c r="X27">
        <v>0</v>
      </c>
      <c r="Y27">
        <v>0</v>
      </c>
      <c r="Z27">
        <v>2127.1999999999998</v>
      </c>
      <c r="AA27" t="s">
        <v>43</v>
      </c>
      <c r="AB27">
        <v>0</v>
      </c>
      <c r="AD27" t="s">
        <v>6811</v>
      </c>
      <c r="AE27" t="s">
        <v>6812</v>
      </c>
    </row>
    <row r="28" spans="1:31" x14ac:dyDescent="0.25">
      <c r="A28" t="s">
        <v>31</v>
      </c>
      <c r="C28" t="s">
        <v>10876</v>
      </c>
      <c r="D28" t="s">
        <v>10922</v>
      </c>
      <c r="E28" t="s">
        <v>34</v>
      </c>
      <c r="F28" t="s">
        <v>76</v>
      </c>
      <c r="G28">
        <v>2028</v>
      </c>
      <c r="H28" t="s">
        <v>36</v>
      </c>
      <c r="I28" t="s">
        <v>1115</v>
      </c>
      <c r="J28" t="s">
        <v>31</v>
      </c>
      <c r="K28" t="s">
        <v>38</v>
      </c>
      <c r="L28" t="s">
        <v>112</v>
      </c>
      <c r="M28" t="s">
        <v>113</v>
      </c>
      <c r="N28" t="s">
        <v>10923</v>
      </c>
      <c r="O28" t="s">
        <v>10924</v>
      </c>
      <c r="P28" t="s">
        <v>10925</v>
      </c>
      <c r="T28">
        <v>43.456341090999999</v>
      </c>
      <c r="U28">
        <v>-87.852809549</v>
      </c>
      <c r="V28">
        <f>SUM(W28:X28)+(Y28*0.8)+(Z28*0.4)</f>
        <v>849.6</v>
      </c>
      <c r="W28">
        <v>0</v>
      </c>
      <c r="X28">
        <v>248</v>
      </c>
      <c r="Y28">
        <v>752</v>
      </c>
      <c r="Z28">
        <v>0</v>
      </c>
      <c r="AA28" t="s">
        <v>43</v>
      </c>
      <c r="AB28">
        <v>1000</v>
      </c>
      <c r="AD28" t="s">
        <v>10926</v>
      </c>
      <c r="AE28" t="s">
        <v>10927</v>
      </c>
    </row>
    <row r="29" spans="1:31" x14ac:dyDescent="0.25">
      <c r="A29" t="s">
        <v>31</v>
      </c>
      <c r="C29" t="s">
        <v>9202</v>
      </c>
      <c r="D29" t="s">
        <v>6159</v>
      </c>
      <c r="E29" t="s">
        <v>34</v>
      </c>
      <c r="F29" t="s">
        <v>66</v>
      </c>
      <c r="G29">
        <v>2026</v>
      </c>
      <c r="H29" t="s">
        <v>36</v>
      </c>
      <c r="I29" t="s">
        <v>1115</v>
      </c>
      <c r="J29" t="s">
        <v>31</v>
      </c>
      <c r="K29" t="s">
        <v>38</v>
      </c>
      <c r="L29" t="s">
        <v>1433</v>
      </c>
      <c r="M29" t="s">
        <v>1434</v>
      </c>
      <c r="N29" t="s">
        <v>1582</v>
      </c>
      <c r="O29" t="s">
        <v>9238</v>
      </c>
      <c r="P29" t="s">
        <v>9239</v>
      </c>
      <c r="T29">
        <v>41.908234436000001</v>
      </c>
      <c r="U29">
        <v>-91.756765836</v>
      </c>
      <c r="V29">
        <f>SUM(W29:X29)+(Y29*0.8)+(Z29*0.4)</f>
        <v>828.6</v>
      </c>
      <c r="W29">
        <v>0</v>
      </c>
      <c r="X29">
        <v>143</v>
      </c>
      <c r="Y29">
        <v>857</v>
      </c>
      <c r="Z29">
        <v>0</v>
      </c>
      <c r="AA29" t="s">
        <v>43</v>
      </c>
      <c r="AB29">
        <v>1000</v>
      </c>
      <c r="AD29" t="s">
        <v>9240</v>
      </c>
      <c r="AE29" t="s">
        <v>9241</v>
      </c>
    </row>
    <row r="30" spans="1:31" x14ac:dyDescent="0.25">
      <c r="A30" t="s">
        <v>31</v>
      </c>
      <c r="C30" t="s">
        <v>3849</v>
      </c>
      <c r="D30" t="s">
        <v>4629</v>
      </c>
      <c r="E30" t="s">
        <v>34</v>
      </c>
      <c r="F30" t="s">
        <v>66</v>
      </c>
      <c r="G30">
        <v>2035</v>
      </c>
      <c r="H30" t="s">
        <v>36</v>
      </c>
      <c r="J30" t="s">
        <v>31</v>
      </c>
      <c r="K30" t="s">
        <v>38</v>
      </c>
      <c r="L30" t="s">
        <v>185</v>
      </c>
      <c r="M30" t="s">
        <v>186</v>
      </c>
      <c r="N30" t="s">
        <v>4630</v>
      </c>
      <c r="O30" t="s">
        <v>4631</v>
      </c>
      <c r="P30" t="s">
        <v>4632</v>
      </c>
      <c r="T30">
        <v>34.096532000000003</v>
      </c>
      <c r="U30">
        <v>-84.911951000000002</v>
      </c>
      <c r="V30">
        <f>SUM(W30:X30)+(Y30*0.8)+(Z30*0.4)</f>
        <v>819.2</v>
      </c>
      <c r="W30">
        <v>0</v>
      </c>
      <c r="X30">
        <v>0</v>
      </c>
      <c r="Y30">
        <v>1024</v>
      </c>
      <c r="Z30">
        <v>0</v>
      </c>
      <c r="AA30" t="s">
        <v>43</v>
      </c>
      <c r="AB30">
        <v>0</v>
      </c>
      <c r="AD30" t="s">
        <v>4633</v>
      </c>
      <c r="AE30" t="s">
        <v>4634</v>
      </c>
    </row>
    <row r="31" spans="1:31" x14ac:dyDescent="0.25">
      <c r="A31" t="s">
        <v>31</v>
      </c>
      <c r="C31" t="s">
        <v>10876</v>
      </c>
      <c r="D31" t="s">
        <v>10947</v>
      </c>
      <c r="E31" t="s">
        <v>362</v>
      </c>
      <c r="F31" t="s">
        <v>43</v>
      </c>
      <c r="G31">
        <v>2026</v>
      </c>
      <c r="H31" t="s">
        <v>411</v>
      </c>
      <c r="I31" t="s">
        <v>10948</v>
      </c>
      <c r="J31" t="s">
        <v>31</v>
      </c>
      <c r="K31" t="s">
        <v>38</v>
      </c>
      <c r="L31" t="s">
        <v>68</v>
      </c>
      <c r="M31" t="s">
        <v>69</v>
      </c>
      <c r="N31" t="s">
        <v>10949</v>
      </c>
      <c r="O31" t="s">
        <v>3296</v>
      </c>
      <c r="P31" t="s">
        <v>10950</v>
      </c>
      <c r="T31">
        <v>32.537504509999998</v>
      </c>
      <c r="U31">
        <v>-99.57124555</v>
      </c>
      <c r="V31">
        <f>SUM(W31:X31)+(Y31*0.8)+(Z31*0.4)</f>
        <v>812</v>
      </c>
      <c r="W31">
        <v>0</v>
      </c>
      <c r="X31">
        <v>140</v>
      </c>
      <c r="Y31">
        <v>420</v>
      </c>
      <c r="Z31">
        <v>840</v>
      </c>
      <c r="AA31" t="s">
        <v>43</v>
      </c>
      <c r="AB31">
        <v>560</v>
      </c>
      <c r="AD31" t="s">
        <v>10951</v>
      </c>
      <c r="AE31" t="s">
        <v>10952</v>
      </c>
    </row>
    <row r="32" spans="1:31" x14ac:dyDescent="0.25">
      <c r="A32" t="s">
        <v>31</v>
      </c>
      <c r="C32" t="s">
        <v>9824</v>
      </c>
      <c r="D32" t="s">
        <v>9833</v>
      </c>
      <c r="E32" t="s">
        <v>362</v>
      </c>
      <c r="F32" t="s">
        <v>43</v>
      </c>
      <c r="G32">
        <v>2027</v>
      </c>
      <c r="H32" t="s">
        <v>411</v>
      </c>
      <c r="I32" t="s">
        <v>9834</v>
      </c>
      <c r="J32" t="s">
        <v>31</v>
      </c>
      <c r="K32" t="s">
        <v>38</v>
      </c>
      <c r="L32" t="s">
        <v>68</v>
      </c>
      <c r="M32" t="s">
        <v>69</v>
      </c>
      <c r="N32" t="s">
        <v>9835</v>
      </c>
      <c r="O32" t="s">
        <v>2939</v>
      </c>
      <c r="P32" t="s">
        <v>9836</v>
      </c>
      <c r="T32">
        <v>31.003164615999999</v>
      </c>
      <c r="U32">
        <v>-97.018642783000004</v>
      </c>
      <c r="V32">
        <f>SUM(W32:X32)+(Y32*0.8)+(Z32*0.4)</f>
        <v>810</v>
      </c>
      <c r="W32">
        <v>0</v>
      </c>
      <c r="X32">
        <v>450</v>
      </c>
      <c r="Y32">
        <v>450</v>
      </c>
      <c r="Z32">
        <v>0</v>
      </c>
      <c r="AA32" t="s">
        <v>43</v>
      </c>
      <c r="AB32">
        <v>900</v>
      </c>
      <c r="AD32" t="s">
        <v>9837</v>
      </c>
      <c r="AE32" t="s">
        <v>9838</v>
      </c>
    </row>
    <row r="33" spans="1:31" x14ac:dyDescent="0.25">
      <c r="A33" t="s">
        <v>31</v>
      </c>
      <c r="B33" t="s">
        <v>11350</v>
      </c>
      <c r="C33" t="s">
        <v>647</v>
      </c>
      <c r="D33" t="s">
        <v>1269</v>
      </c>
      <c r="E33" t="s">
        <v>362</v>
      </c>
      <c r="F33" t="s">
        <v>43</v>
      </c>
      <c r="H33" t="s">
        <v>36</v>
      </c>
      <c r="I33" t="s">
        <v>1270</v>
      </c>
      <c r="J33" t="s">
        <v>31</v>
      </c>
      <c r="K33" t="s">
        <v>38</v>
      </c>
      <c r="L33" t="s">
        <v>383</v>
      </c>
      <c r="M33" t="s">
        <v>384</v>
      </c>
      <c r="N33" t="s">
        <v>1269</v>
      </c>
      <c r="O33" t="s">
        <v>1271</v>
      </c>
      <c r="P33" t="s">
        <v>1272</v>
      </c>
      <c r="T33">
        <v>34.838453387000001</v>
      </c>
      <c r="U33">
        <v>-79.725998536999995</v>
      </c>
      <c r="V33">
        <f>SUM(W33:X33)+(Y33*0.8)+(Z33*0.4)</f>
        <v>810</v>
      </c>
      <c r="W33">
        <v>0</v>
      </c>
      <c r="X33">
        <v>50</v>
      </c>
      <c r="Y33">
        <v>950</v>
      </c>
      <c r="Z33">
        <v>0</v>
      </c>
      <c r="AA33" t="s">
        <v>43</v>
      </c>
      <c r="AB33">
        <v>1000</v>
      </c>
      <c r="AD33" t="s">
        <v>1273</v>
      </c>
      <c r="AE33" t="s">
        <v>1274</v>
      </c>
    </row>
    <row r="34" spans="1:31" x14ac:dyDescent="0.25">
      <c r="A34" t="s">
        <v>31</v>
      </c>
      <c r="C34" t="s">
        <v>9493</v>
      </c>
      <c r="D34" t="s">
        <v>9494</v>
      </c>
      <c r="E34" t="s">
        <v>34</v>
      </c>
      <c r="F34" t="s">
        <v>66</v>
      </c>
      <c r="H34" t="s">
        <v>36</v>
      </c>
      <c r="I34" t="s">
        <v>1115</v>
      </c>
      <c r="J34" t="s">
        <v>31</v>
      </c>
      <c r="K34" t="s">
        <v>38</v>
      </c>
      <c r="L34" t="s">
        <v>49</v>
      </c>
      <c r="M34" t="s">
        <v>50</v>
      </c>
      <c r="N34" t="s">
        <v>9495</v>
      </c>
      <c r="O34" t="s">
        <v>9496</v>
      </c>
      <c r="P34" t="s">
        <v>9497</v>
      </c>
      <c r="T34">
        <v>42.117074797999997</v>
      </c>
      <c r="U34">
        <v>-83.879716990000006</v>
      </c>
      <c r="V34">
        <f>SUM(W34:X34)+(Y34*0.8)+(Z34*0.4)</f>
        <v>800</v>
      </c>
      <c r="W34">
        <v>0</v>
      </c>
      <c r="X34">
        <v>0</v>
      </c>
      <c r="Y34">
        <v>1000</v>
      </c>
      <c r="Z34">
        <v>0</v>
      </c>
      <c r="AA34" t="s">
        <v>43</v>
      </c>
      <c r="AB34">
        <v>1000</v>
      </c>
      <c r="AD34" t="s">
        <v>9498</v>
      </c>
      <c r="AE34" t="s">
        <v>9499</v>
      </c>
    </row>
    <row r="35" spans="1:31" x14ac:dyDescent="0.25">
      <c r="A35" t="s">
        <v>31</v>
      </c>
      <c r="B35" t="s">
        <v>11350</v>
      </c>
      <c r="C35" t="s">
        <v>6116</v>
      </c>
      <c r="D35" t="s">
        <v>6280</v>
      </c>
      <c r="E35" t="s">
        <v>34</v>
      </c>
      <c r="F35" t="s">
        <v>43</v>
      </c>
      <c r="H35" t="s">
        <v>36</v>
      </c>
      <c r="I35" t="s">
        <v>6281</v>
      </c>
      <c r="J35" t="s">
        <v>31</v>
      </c>
      <c r="K35" t="s">
        <v>38</v>
      </c>
      <c r="L35" t="s">
        <v>828</v>
      </c>
      <c r="M35" t="s">
        <v>829</v>
      </c>
      <c r="N35" t="s">
        <v>6282</v>
      </c>
      <c r="O35" t="s">
        <v>6283</v>
      </c>
      <c r="P35" t="s">
        <v>6284</v>
      </c>
      <c r="Q35" t="s">
        <v>6285</v>
      </c>
      <c r="T35">
        <v>44.220540999999997</v>
      </c>
      <c r="U35">
        <v>-92.645117999999997</v>
      </c>
      <c r="V35">
        <f>SUM(W35:X35)+(Y35*0.8)+(Z35*0.4)</f>
        <v>760</v>
      </c>
      <c r="W35">
        <v>0</v>
      </c>
      <c r="X35">
        <v>0</v>
      </c>
      <c r="Y35">
        <v>0</v>
      </c>
      <c r="Z35">
        <v>1900</v>
      </c>
      <c r="AA35" t="s">
        <v>43</v>
      </c>
      <c r="AB35">
        <v>0</v>
      </c>
      <c r="AD35" t="s">
        <v>6286</v>
      </c>
      <c r="AE35" t="s">
        <v>6287</v>
      </c>
    </row>
    <row r="36" spans="1:31" x14ac:dyDescent="0.25">
      <c r="A36" t="s">
        <v>31</v>
      </c>
      <c r="C36" t="s">
        <v>10319</v>
      </c>
      <c r="D36" t="s">
        <v>10334</v>
      </c>
      <c r="E36" t="s">
        <v>34</v>
      </c>
      <c r="F36" t="s">
        <v>76</v>
      </c>
      <c r="G36">
        <v>2022</v>
      </c>
      <c r="H36" t="s">
        <v>36</v>
      </c>
      <c r="I36" t="s">
        <v>10335</v>
      </c>
      <c r="J36" t="s">
        <v>31</v>
      </c>
      <c r="K36" t="s">
        <v>38</v>
      </c>
      <c r="L36" t="s">
        <v>123</v>
      </c>
      <c r="M36" t="s">
        <v>124</v>
      </c>
      <c r="N36" t="s">
        <v>365</v>
      </c>
      <c r="O36" t="s">
        <v>10336</v>
      </c>
      <c r="P36" t="s">
        <v>10337</v>
      </c>
      <c r="T36">
        <v>43.359015798999998</v>
      </c>
      <c r="U36">
        <v>-78.606018461999994</v>
      </c>
      <c r="V36">
        <f>SUM(W36:X36)+(Y36*0.8)+(Z36*0.4)</f>
        <v>751.5</v>
      </c>
      <c r="W36">
        <v>292.5</v>
      </c>
      <c r="X36">
        <v>459</v>
      </c>
      <c r="Y36">
        <v>0</v>
      </c>
      <c r="Z36">
        <v>0</v>
      </c>
      <c r="AA36" t="s">
        <v>43</v>
      </c>
      <c r="AB36">
        <v>751.5</v>
      </c>
      <c r="AD36" t="s">
        <v>10338</v>
      </c>
      <c r="AE36" t="s">
        <v>10339</v>
      </c>
    </row>
    <row r="37" spans="1:31" x14ac:dyDescent="0.25">
      <c r="A37" t="s">
        <v>31</v>
      </c>
      <c r="C37" t="s">
        <v>10652</v>
      </c>
      <c r="D37" t="s">
        <v>10663</v>
      </c>
      <c r="E37" t="s">
        <v>34</v>
      </c>
      <c r="F37" t="s">
        <v>66</v>
      </c>
      <c r="G37">
        <v>2027</v>
      </c>
      <c r="H37" t="s">
        <v>36</v>
      </c>
      <c r="I37" t="s">
        <v>10664</v>
      </c>
      <c r="J37" t="s">
        <v>31</v>
      </c>
      <c r="K37" t="s">
        <v>38</v>
      </c>
      <c r="L37" t="s">
        <v>185</v>
      </c>
      <c r="M37" t="s">
        <v>186</v>
      </c>
      <c r="N37" t="s">
        <v>3579</v>
      </c>
      <c r="T37">
        <v>33.507591388999998</v>
      </c>
      <c r="U37">
        <v>-82.339317339999994</v>
      </c>
      <c r="V37">
        <f>SUM(W37:X37)+(Y37*0.8)+(Z37*0.4)</f>
        <v>742.40000000000009</v>
      </c>
      <c r="W37">
        <v>0</v>
      </c>
      <c r="X37">
        <v>0</v>
      </c>
      <c r="Y37">
        <v>928</v>
      </c>
      <c r="Z37">
        <v>0</v>
      </c>
      <c r="AA37" t="s">
        <v>43</v>
      </c>
      <c r="AB37">
        <v>0</v>
      </c>
      <c r="AD37" t="s">
        <v>10665</v>
      </c>
      <c r="AE37" t="s">
        <v>10666</v>
      </c>
    </row>
    <row r="38" spans="1:31" x14ac:dyDescent="0.25">
      <c r="A38" t="s">
        <v>31</v>
      </c>
      <c r="C38" t="s">
        <v>8879</v>
      </c>
      <c r="D38" t="s">
        <v>8880</v>
      </c>
      <c r="E38" t="s">
        <v>34</v>
      </c>
      <c r="F38" t="s">
        <v>76</v>
      </c>
      <c r="G38">
        <v>2029</v>
      </c>
      <c r="H38" t="s">
        <v>36</v>
      </c>
      <c r="I38" t="s">
        <v>8881</v>
      </c>
      <c r="J38" t="s">
        <v>31</v>
      </c>
      <c r="K38" t="s">
        <v>38</v>
      </c>
      <c r="L38" t="s">
        <v>86</v>
      </c>
      <c r="M38" t="s">
        <v>87</v>
      </c>
      <c r="N38" t="s">
        <v>3402</v>
      </c>
      <c r="O38" t="s">
        <v>3403</v>
      </c>
      <c r="P38" t="s">
        <v>8882</v>
      </c>
      <c r="Q38" t="s">
        <v>8883</v>
      </c>
      <c r="T38">
        <v>41.712792141999998</v>
      </c>
      <c r="U38">
        <v>-88.455887004000004</v>
      </c>
      <c r="V38">
        <f>SUM(W38:X38)+(Y38*0.8)+(Z38*0.4)</f>
        <v>721.2</v>
      </c>
      <c r="W38">
        <v>0</v>
      </c>
      <c r="X38">
        <v>0</v>
      </c>
      <c r="Y38">
        <v>0</v>
      </c>
      <c r="Z38">
        <v>1803</v>
      </c>
      <c r="AA38" t="s">
        <v>43</v>
      </c>
      <c r="AB38">
        <v>0</v>
      </c>
      <c r="AD38" t="s">
        <v>8884</v>
      </c>
      <c r="AE38" t="s">
        <v>8885</v>
      </c>
    </row>
    <row r="39" spans="1:31" x14ac:dyDescent="0.25">
      <c r="A39" t="s">
        <v>31</v>
      </c>
      <c r="C39" t="s">
        <v>10607</v>
      </c>
      <c r="D39" t="s">
        <v>10608</v>
      </c>
      <c r="E39" t="s">
        <v>34</v>
      </c>
      <c r="F39" t="s">
        <v>66</v>
      </c>
      <c r="H39" t="s">
        <v>36</v>
      </c>
      <c r="I39" t="s">
        <v>325</v>
      </c>
      <c r="J39" t="s">
        <v>31</v>
      </c>
      <c r="K39" t="s">
        <v>38</v>
      </c>
      <c r="L39" t="s">
        <v>326</v>
      </c>
      <c r="M39" t="s">
        <v>327</v>
      </c>
      <c r="N39" t="s">
        <v>328</v>
      </c>
      <c r="O39" t="s">
        <v>1526</v>
      </c>
      <c r="P39" t="s">
        <v>1527</v>
      </c>
      <c r="T39">
        <v>33.431646999999998</v>
      </c>
      <c r="U39">
        <v>-112.722572</v>
      </c>
      <c r="V39">
        <f>SUM(W39:X39)+(Y39*0.8)+(Z39*0.4)</f>
        <v>720</v>
      </c>
      <c r="W39">
        <v>0</v>
      </c>
      <c r="X39">
        <v>0</v>
      </c>
      <c r="Y39">
        <v>0</v>
      </c>
      <c r="Z39">
        <v>1800</v>
      </c>
      <c r="AA39" t="s">
        <v>43</v>
      </c>
      <c r="AB39">
        <v>0</v>
      </c>
      <c r="AD39" t="s">
        <v>10609</v>
      </c>
      <c r="AE39" t="s">
        <v>10610</v>
      </c>
    </row>
    <row r="40" spans="1:31" x14ac:dyDescent="0.25">
      <c r="A40" t="s">
        <v>31</v>
      </c>
      <c r="C40" t="s">
        <v>8969</v>
      </c>
      <c r="D40" t="s">
        <v>8985</v>
      </c>
      <c r="E40" t="s">
        <v>34</v>
      </c>
      <c r="F40" t="s">
        <v>43</v>
      </c>
      <c r="H40" t="s">
        <v>36</v>
      </c>
      <c r="I40" t="s">
        <v>8986</v>
      </c>
      <c r="J40" t="s">
        <v>31</v>
      </c>
      <c r="K40" t="s">
        <v>38</v>
      </c>
      <c r="L40" t="s">
        <v>86</v>
      </c>
      <c r="M40" t="s">
        <v>87</v>
      </c>
      <c r="N40" t="s">
        <v>8987</v>
      </c>
      <c r="O40" t="s">
        <v>8988</v>
      </c>
      <c r="P40" t="s">
        <v>8989</v>
      </c>
      <c r="Q40" t="s">
        <v>8990</v>
      </c>
      <c r="T40">
        <v>41.456135000000003</v>
      </c>
      <c r="U40">
        <v>-88.071461999999997</v>
      </c>
      <c r="V40">
        <f>SUM(W40:X40)+(Y40*0.8)+(Z40*0.4)</f>
        <v>720</v>
      </c>
      <c r="W40">
        <v>0</v>
      </c>
      <c r="X40">
        <v>0</v>
      </c>
      <c r="Y40">
        <v>0</v>
      </c>
      <c r="Z40">
        <v>1800</v>
      </c>
      <c r="AA40" t="s">
        <v>43</v>
      </c>
      <c r="AB40">
        <v>0</v>
      </c>
      <c r="AD40" t="s">
        <v>8991</v>
      </c>
      <c r="AE40" t="s">
        <v>8992</v>
      </c>
    </row>
    <row r="41" spans="1:31" x14ac:dyDescent="0.25">
      <c r="A41" t="s">
        <v>31</v>
      </c>
      <c r="C41" t="s">
        <v>10607</v>
      </c>
      <c r="D41" t="s">
        <v>10623</v>
      </c>
      <c r="E41" t="s">
        <v>34</v>
      </c>
      <c r="F41" t="s">
        <v>76</v>
      </c>
      <c r="G41">
        <v>2027</v>
      </c>
      <c r="H41" t="s">
        <v>36</v>
      </c>
      <c r="I41" t="s">
        <v>10624</v>
      </c>
      <c r="J41" t="s">
        <v>31</v>
      </c>
      <c r="K41" t="s">
        <v>38</v>
      </c>
      <c r="L41" t="s">
        <v>1457</v>
      </c>
      <c r="M41" t="s">
        <v>1458</v>
      </c>
      <c r="N41" t="s">
        <v>10625</v>
      </c>
      <c r="T41">
        <v>39.522019544999999</v>
      </c>
      <c r="U41">
        <v>-119.51111341399999</v>
      </c>
      <c r="V41">
        <f>SUM(W41:X41)+(Y41*0.8)+(Z41*0.4)</f>
        <v>702</v>
      </c>
      <c r="W41">
        <v>0</v>
      </c>
      <c r="X41">
        <v>270</v>
      </c>
      <c r="Y41">
        <v>540</v>
      </c>
      <c r="Z41">
        <v>0</v>
      </c>
      <c r="AA41" t="s">
        <v>43</v>
      </c>
      <c r="AB41">
        <v>0</v>
      </c>
      <c r="AD41" t="s">
        <v>10626</v>
      </c>
      <c r="AE41" t="s">
        <v>10627</v>
      </c>
    </row>
    <row r="42" spans="1:31" x14ac:dyDescent="0.25">
      <c r="A42" t="s">
        <v>31</v>
      </c>
      <c r="B42" t="s">
        <v>11350</v>
      </c>
      <c r="C42" t="s">
        <v>647</v>
      </c>
      <c r="D42" t="s">
        <v>1181</v>
      </c>
      <c r="E42" t="s">
        <v>362</v>
      </c>
      <c r="F42" t="s">
        <v>649</v>
      </c>
      <c r="G42">
        <v>2024</v>
      </c>
      <c r="H42" t="s">
        <v>411</v>
      </c>
      <c r="I42" t="s">
        <v>1182</v>
      </c>
      <c r="J42" t="s">
        <v>31</v>
      </c>
      <c r="K42" t="s">
        <v>38</v>
      </c>
      <c r="L42" t="s">
        <v>317</v>
      </c>
      <c r="M42" t="s">
        <v>318</v>
      </c>
      <c r="N42" t="s">
        <v>584</v>
      </c>
      <c r="O42" t="s">
        <v>1170</v>
      </c>
      <c r="P42" t="s">
        <v>1171</v>
      </c>
      <c r="T42">
        <v>40.115485718000002</v>
      </c>
      <c r="U42">
        <v>-82.750916967999999</v>
      </c>
      <c r="V42">
        <f>SUM(W42:X42)+(Y42*0.8)+(Z42*0.4)</f>
        <v>700.8</v>
      </c>
      <c r="W42">
        <v>192</v>
      </c>
      <c r="X42">
        <v>48</v>
      </c>
      <c r="Y42">
        <v>0</v>
      </c>
      <c r="Z42">
        <v>1152</v>
      </c>
      <c r="AA42" t="s">
        <v>43</v>
      </c>
      <c r="AB42">
        <v>240</v>
      </c>
      <c r="AD42" t="s">
        <v>1183</v>
      </c>
      <c r="AE42" t="s">
        <v>1184</v>
      </c>
    </row>
    <row r="43" spans="1:31" x14ac:dyDescent="0.25">
      <c r="A43" t="s">
        <v>31</v>
      </c>
      <c r="B43" t="s">
        <v>11350</v>
      </c>
      <c r="C43" t="s">
        <v>7857</v>
      </c>
      <c r="D43" t="s">
        <v>7880</v>
      </c>
      <c r="E43" t="s">
        <v>362</v>
      </c>
      <c r="F43" t="s">
        <v>649</v>
      </c>
      <c r="G43">
        <v>2013</v>
      </c>
      <c r="H43" t="s">
        <v>36</v>
      </c>
      <c r="I43" t="s">
        <v>7881</v>
      </c>
      <c r="J43" t="s">
        <v>31</v>
      </c>
      <c r="K43" t="s">
        <v>38</v>
      </c>
      <c r="L43" t="s">
        <v>242</v>
      </c>
      <c r="M43" t="s">
        <v>243</v>
      </c>
      <c r="N43" t="s">
        <v>2270</v>
      </c>
      <c r="O43" t="s">
        <v>7880</v>
      </c>
      <c r="P43" t="s">
        <v>7882</v>
      </c>
      <c r="T43">
        <v>36.679246929999998</v>
      </c>
      <c r="U43">
        <v>-78.374275357000002</v>
      </c>
      <c r="V43">
        <f>SUM(W43:X43)+(Y43*0.8)+(Z43*0.4)</f>
        <v>690</v>
      </c>
      <c r="W43">
        <v>690</v>
      </c>
      <c r="X43">
        <v>0</v>
      </c>
      <c r="Y43">
        <v>0</v>
      </c>
      <c r="Z43">
        <v>0</v>
      </c>
      <c r="AA43" t="s">
        <v>43</v>
      </c>
      <c r="AB43">
        <v>690</v>
      </c>
      <c r="AD43" t="s">
        <v>7883</v>
      </c>
      <c r="AE43" t="s">
        <v>7884</v>
      </c>
    </row>
    <row r="44" spans="1:31" x14ac:dyDescent="0.25">
      <c r="A44" t="s">
        <v>31</v>
      </c>
      <c r="C44" t="s">
        <v>9202</v>
      </c>
      <c r="D44" t="s">
        <v>9343</v>
      </c>
      <c r="E44" t="s">
        <v>34</v>
      </c>
      <c r="F44" t="s">
        <v>66</v>
      </c>
      <c r="G44">
        <v>2010</v>
      </c>
      <c r="H44" t="s">
        <v>36</v>
      </c>
      <c r="I44" t="s">
        <v>9344</v>
      </c>
      <c r="J44" t="s">
        <v>31</v>
      </c>
      <c r="K44" t="s">
        <v>38</v>
      </c>
      <c r="L44" t="s">
        <v>242</v>
      </c>
      <c r="M44" t="s">
        <v>243</v>
      </c>
      <c r="N44" t="s">
        <v>1796</v>
      </c>
      <c r="P44" t="s">
        <v>6903</v>
      </c>
      <c r="T44">
        <v>37.488109999999999</v>
      </c>
      <c r="U44">
        <v>-77.244401999999994</v>
      </c>
      <c r="V44">
        <f>SUM(W44:X44)+(Y44*0.8)+(Z44*0.4)</f>
        <v>681.4</v>
      </c>
      <c r="W44">
        <v>189</v>
      </c>
      <c r="X44">
        <v>168</v>
      </c>
      <c r="Y44">
        <v>168</v>
      </c>
      <c r="Z44">
        <v>475</v>
      </c>
      <c r="AA44" t="s">
        <v>43</v>
      </c>
      <c r="AB44">
        <v>357</v>
      </c>
      <c r="AC44">
        <v>0</v>
      </c>
      <c r="AD44" t="s">
        <v>9345</v>
      </c>
      <c r="AE44" t="s">
        <v>9346</v>
      </c>
    </row>
    <row r="45" spans="1:31" x14ac:dyDescent="0.25">
      <c r="A45" t="s">
        <v>31</v>
      </c>
      <c r="C45" t="s">
        <v>9202</v>
      </c>
      <c r="D45" t="s">
        <v>485</v>
      </c>
      <c r="E45" t="s">
        <v>34</v>
      </c>
      <c r="F45" t="s">
        <v>66</v>
      </c>
      <c r="G45">
        <v>2025</v>
      </c>
      <c r="H45" t="s">
        <v>36</v>
      </c>
      <c r="I45" t="s">
        <v>9272</v>
      </c>
      <c r="J45" t="s">
        <v>31</v>
      </c>
      <c r="K45" t="s">
        <v>38</v>
      </c>
      <c r="L45" t="s">
        <v>185</v>
      </c>
      <c r="M45" t="s">
        <v>186</v>
      </c>
      <c r="N45" t="s">
        <v>1116</v>
      </c>
      <c r="O45" t="s">
        <v>485</v>
      </c>
      <c r="P45" t="s">
        <v>9273</v>
      </c>
      <c r="T45">
        <v>33.450343394999997</v>
      </c>
      <c r="U45">
        <v>-84.523922321000001</v>
      </c>
      <c r="V45">
        <f>SUM(W45:X45)+(Y45*0.8)+(Z45*0.4)</f>
        <v>672</v>
      </c>
      <c r="W45">
        <v>48</v>
      </c>
      <c r="X45">
        <v>240</v>
      </c>
      <c r="Y45">
        <v>480</v>
      </c>
      <c r="Z45">
        <v>0</v>
      </c>
      <c r="AA45" t="s">
        <v>43</v>
      </c>
      <c r="AB45">
        <v>288</v>
      </c>
      <c r="AD45" t="s">
        <v>9274</v>
      </c>
      <c r="AE45" t="s">
        <v>9275</v>
      </c>
    </row>
    <row r="46" spans="1:31" x14ac:dyDescent="0.25">
      <c r="A46" t="s">
        <v>31</v>
      </c>
      <c r="C46" t="s">
        <v>6034</v>
      </c>
      <c r="D46" t="s">
        <v>6035</v>
      </c>
      <c r="E46" t="s">
        <v>34</v>
      </c>
      <c r="F46" t="s">
        <v>76</v>
      </c>
      <c r="G46">
        <v>2026</v>
      </c>
      <c r="H46" t="s">
        <v>36</v>
      </c>
      <c r="I46" t="s">
        <v>6036</v>
      </c>
      <c r="J46" t="s">
        <v>31</v>
      </c>
      <c r="K46" t="s">
        <v>38</v>
      </c>
      <c r="L46" t="s">
        <v>68</v>
      </c>
      <c r="M46" t="s">
        <v>69</v>
      </c>
      <c r="N46" t="s">
        <v>6037</v>
      </c>
      <c r="P46" t="s">
        <v>6038</v>
      </c>
      <c r="T46">
        <v>33.774649949999997</v>
      </c>
      <c r="U46">
        <v>-100.86909903999999</v>
      </c>
      <c r="V46">
        <f>SUM(W46:X46)+(Y46*0.8)+(Z46*0.4)</f>
        <v>665.40000000000009</v>
      </c>
      <c r="W46">
        <v>0</v>
      </c>
      <c r="X46">
        <v>133</v>
      </c>
      <c r="Y46">
        <v>393</v>
      </c>
      <c r="Z46">
        <v>545</v>
      </c>
      <c r="AA46" t="s">
        <v>43</v>
      </c>
      <c r="AB46">
        <v>393</v>
      </c>
      <c r="AD46" t="s">
        <v>6039</v>
      </c>
      <c r="AE46" t="s">
        <v>6040</v>
      </c>
    </row>
    <row r="47" spans="1:31" x14ac:dyDescent="0.25">
      <c r="A47" t="s">
        <v>31</v>
      </c>
      <c r="C47" t="s">
        <v>7094</v>
      </c>
      <c r="D47" t="s">
        <v>7095</v>
      </c>
      <c r="E47" t="s">
        <v>34</v>
      </c>
      <c r="F47" t="s">
        <v>66</v>
      </c>
      <c r="G47">
        <v>2026</v>
      </c>
      <c r="H47" t="s">
        <v>36</v>
      </c>
      <c r="I47" t="s">
        <v>7096</v>
      </c>
      <c r="J47" t="s">
        <v>31</v>
      </c>
      <c r="K47" t="s">
        <v>38</v>
      </c>
      <c r="L47" t="s">
        <v>448</v>
      </c>
      <c r="M47" t="s">
        <v>449</v>
      </c>
      <c r="N47" t="s">
        <v>450</v>
      </c>
      <c r="O47" t="s">
        <v>7097</v>
      </c>
      <c r="P47" t="s">
        <v>7098</v>
      </c>
      <c r="T47">
        <v>38.920321743999999</v>
      </c>
      <c r="U47">
        <v>-76.856393647000004</v>
      </c>
      <c r="V47">
        <f>SUM(W47:X47)+(Y47*0.8)+(Z47*0.4)</f>
        <v>656</v>
      </c>
      <c r="W47">
        <v>0</v>
      </c>
      <c r="X47">
        <v>0</v>
      </c>
      <c r="Y47">
        <v>820</v>
      </c>
      <c r="Z47">
        <v>0</v>
      </c>
      <c r="AA47" t="s">
        <v>43</v>
      </c>
      <c r="AB47">
        <v>0</v>
      </c>
      <c r="AD47" t="s">
        <v>7099</v>
      </c>
      <c r="AE47" t="s">
        <v>7100</v>
      </c>
    </row>
    <row r="48" spans="1:31" x14ac:dyDescent="0.25">
      <c r="A48" t="s">
        <v>31</v>
      </c>
      <c r="B48" t="s">
        <v>11350</v>
      </c>
      <c r="C48" t="s">
        <v>7684</v>
      </c>
      <c r="D48" t="s">
        <v>7807</v>
      </c>
      <c r="E48" t="s">
        <v>362</v>
      </c>
      <c r="F48" t="s">
        <v>7686</v>
      </c>
      <c r="G48">
        <v>2019</v>
      </c>
      <c r="H48" t="s">
        <v>36</v>
      </c>
      <c r="I48" t="s">
        <v>7808</v>
      </c>
      <c r="J48" t="s">
        <v>31</v>
      </c>
      <c r="K48" t="s">
        <v>38</v>
      </c>
      <c r="L48" t="s">
        <v>153</v>
      </c>
      <c r="M48" t="s">
        <v>154</v>
      </c>
      <c r="N48" t="s">
        <v>5682</v>
      </c>
      <c r="O48" t="s">
        <v>5680</v>
      </c>
      <c r="P48" t="s">
        <v>7809</v>
      </c>
      <c r="Q48" t="s">
        <v>5680</v>
      </c>
      <c r="S48" t="s">
        <v>7810</v>
      </c>
      <c r="T48">
        <v>41.122556576999997</v>
      </c>
      <c r="U48">
        <v>-96.143177538000003</v>
      </c>
      <c r="V48">
        <f>SUM(W48:X48)+(Y48*0.8)+(Z48*0.4)</f>
        <v>648</v>
      </c>
      <c r="W48">
        <v>648</v>
      </c>
      <c r="X48">
        <v>0</v>
      </c>
      <c r="Y48">
        <v>0</v>
      </c>
      <c r="Z48">
        <v>0</v>
      </c>
      <c r="AA48" t="s">
        <v>43</v>
      </c>
      <c r="AB48">
        <v>648</v>
      </c>
      <c r="AD48" t="s">
        <v>7811</v>
      </c>
      <c r="AE48" t="s">
        <v>7812</v>
      </c>
    </row>
    <row r="49" spans="1:31" x14ac:dyDescent="0.25">
      <c r="A49" t="s">
        <v>31</v>
      </c>
      <c r="C49" t="s">
        <v>8969</v>
      </c>
      <c r="D49" t="s">
        <v>9004</v>
      </c>
      <c r="E49" t="s">
        <v>34</v>
      </c>
      <c r="F49" t="s">
        <v>66</v>
      </c>
      <c r="G49">
        <v>2026</v>
      </c>
      <c r="H49" t="s">
        <v>36</v>
      </c>
      <c r="I49" t="s">
        <v>9005</v>
      </c>
      <c r="J49" t="s">
        <v>31</v>
      </c>
      <c r="K49" t="s">
        <v>38</v>
      </c>
      <c r="L49" t="s">
        <v>68</v>
      </c>
      <c r="M49" t="s">
        <v>69</v>
      </c>
      <c r="N49" t="s">
        <v>297</v>
      </c>
      <c r="O49" t="s">
        <v>9006</v>
      </c>
      <c r="P49" t="s">
        <v>9007</v>
      </c>
      <c r="T49">
        <v>32.475845904000003</v>
      </c>
      <c r="U49">
        <v>-97.069300220000002</v>
      </c>
      <c r="V49">
        <f>SUM(W49:X49)+(Y49*0.8)+(Z49*0.4)</f>
        <v>641.20000000000005</v>
      </c>
      <c r="W49">
        <v>0</v>
      </c>
      <c r="X49">
        <v>0</v>
      </c>
      <c r="Y49">
        <v>567</v>
      </c>
      <c r="Z49">
        <v>469</v>
      </c>
      <c r="AA49" t="s">
        <v>43</v>
      </c>
      <c r="AB49">
        <v>0</v>
      </c>
      <c r="AC49">
        <v>1.35</v>
      </c>
      <c r="AD49" t="s">
        <v>9008</v>
      </c>
      <c r="AE49" t="s">
        <v>9009</v>
      </c>
    </row>
    <row r="50" spans="1:31" x14ac:dyDescent="0.25">
      <c r="A50" t="s">
        <v>31</v>
      </c>
      <c r="C50" t="s">
        <v>8955</v>
      </c>
      <c r="D50" t="s">
        <v>8956</v>
      </c>
      <c r="E50" t="s">
        <v>34</v>
      </c>
      <c r="F50" t="s">
        <v>43</v>
      </c>
      <c r="G50">
        <v>2026</v>
      </c>
      <c r="H50" t="s">
        <v>36</v>
      </c>
      <c r="I50" t="s">
        <v>8957</v>
      </c>
      <c r="J50" t="s">
        <v>31</v>
      </c>
      <c r="K50" t="s">
        <v>38</v>
      </c>
      <c r="L50" t="s">
        <v>242</v>
      </c>
      <c r="M50" t="s">
        <v>243</v>
      </c>
      <c r="N50" t="s">
        <v>8958</v>
      </c>
      <c r="O50" t="s">
        <v>8959</v>
      </c>
      <c r="P50" t="s">
        <v>8960</v>
      </c>
      <c r="T50">
        <v>38.311015288</v>
      </c>
      <c r="U50">
        <v>-77.107806783000001</v>
      </c>
      <c r="V50">
        <f>SUM(W50:X50)+(Y50*0.8)+(Z50*0.4)</f>
        <v>640</v>
      </c>
      <c r="W50">
        <v>0</v>
      </c>
      <c r="X50">
        <v>0</v>
      </c>
      <c r="Y50">
        <v>800</v>
      </c>
      <c r="Z50">
        <v>0</v>
      </c>
      <c r="AA50" t="s">
        <v>43</v>
      </c>
      <c r="AB50">
        <v>0</v>
      </c>
      <c r="AD50" t="s">
        <v>8961</v>
      </c>
      <c r="AE50" t="s">
        <v>8962</v>
      </c>
    </row>
    <row r="51" spans="1:31" x14ac:dyDescent="0.25">
      <c r="A51" t="s">
        <v>31</v>
      </c>
      <c r="C51" t="s">
        <v>8969</v>
      </c>
      <c r="D51" t="s">
        <v>9010</v>
      </c>
      <c r="E51" t="s">
        <v>34</v>
      </c>
      <c r="F51" t="s">
        <v>66</v>
      </c>
      <c r="G51">
        <v>2025</v>
      </c>
      <c r="H51" t="s">
        <v>36</v>
      </c>
      <c r="I51" t="s">
        <v>9011</v>
      </c>
      <c r="J51" t="s">
        <v>31</v>
      </c>
      <c r="K51" t="s">
        <v>38</v>
      </c>
      <c r="L51" t="s">
        <v>242</v>
      </c>
      <c r="M51" t="s">
        <v>243</v>
      </c>
      <c r="N51" t="s">
        <v>940</v>
      </c>
      <c r="O51" t="s">
        <v>951</v>
      </c>
      <c r="P51" t="s">
        <v>942</v>
      </c>
      <c r="T51">
        <v>38.221049104999999</v>
      </c>
      <c r="U51">
        <v>-77.477009253000006</v>
      </c>
      <c r="V51">
        <f>SUM(W51:X51)+(Y51*0.8)+(Z51*0.4)</f>
        <v>640</v>
      </c>
      <c r="W51">
        <v>0</v>
      </c>
      <c r="X51">
        <v>0</v>
      </c>
      <c r="Y51">
        <v>800</v>
      </c>
      <c r="Z51">
        <v>0</v>
      </c>
      <c r="AA51" t="s">
        <v>43</v>
      </c>
      <c r="AB51">
        <v>500</v>
      </c>
      <c r="AD51" t="s">
        <v>9012</v>
      </c>
      <c r="AE51" t="s">
        <v>9013</v>
      </c>
    </row>
    <row r="52" spans="1:31" x14ac:dyDescent="0.25">
      <c r="A52" t="s">
        <v>31</v>
      </c>
      <c r="C52" t="s">
        <v>9824</v>
      </c>
      <c r="D52" t="s">
        <v>9825</v>
      </c>
      <c r="E52" t="s">
        <v>362</v>
      </c>
      <c r="F52" t="s">
        <v>363</v>
      </c>
      <c r="G52">
        <v>2026</v>
      </c>
      <c r="H52" t="s">
        <v>36</v>
      </c>
      <c r="I52" t="s">
        <v>9826</v>
      </c>
      <c r="J52" t="s">
        <v>31</v>
      </c>
      <c r="K52" t="s">
        <v>38</v>
      </c>
      <c r="L52" t="s">
        <v>317</v>
      </c>
      <c r="M52" t="s">
        <v>318</v>
      </c>
      <c r="N52" t="s">
        <v>9827</v>
      </c>
      <c r="O52" t="s">
        <v>9828</v>
      </c>
      <c r="P52" t="s">
        <v>9829</v>
      </c>
      <c r="Q52" t="s">
        <v>9828</v>
      </c>
      <c r="S52" t="s">
        <v>9830</v>
      </c>
      <c r="T52">
        <v>41.145390833</v>
      </c>
      <c r="U52">
        <v>-80.879157566000003</v>
      </c>
      <c r="V52">
        <f>SUM(W52:X52)+(Y52*0.8)+(Z52*0.4)</f>
        <v>623.42000000000007</v>
      </c>
      <c r="W52">
        <v>0</v>
      </c>
      <c r="X52">
        <v>51.1</v>
      </c>
      <c r="Y52">
        <v>715.4</v>
      </c>
      <c r="Z52">
        <v>0</v>
      </c>
      <c r="AA52" t="s">
        <v>43</v>
      </c>
      <c r="AB52">
        <v>766.5</v>
      </c>
      <c r="AD52" t="s">
        <v>9831</v>
      </c>
      <c r="AE52" t="s">
        <v>9832</v>
      </c>
    </row>
    <row r="53" spans="1:31" x14ac:dyDescent="0.25">
      <c r="A53" t="s">
        <v>31</v>
      </c>
      <c r="C53" t="s">
        <v>9148</v>
      </c>
      <c r="D53" t="s">
        <v>9155</v>
      </c>
      <c r="E53" t="s">
        <v>34</v>
      </c>
      <c r="F53" t="s">
        <v>66</v>
      </c>
      <c r="H53" t="s">
        <v>411</v>
      </c>
      <c r="J53" t="s">
        <v>31</v>
      </c>
      <c r="K53" t="s">
        <v>38</v>
      </c>
      <c r="L53" t="s">
        <v>3288</v>
      </c>
      <c r="M53" t="s">
        <v>3289</v>
      </c>
      <c r="N53" t="s">
        <v>9156</v>
      </c>
      <c r="T53">
        <v>42.736211398000002</v>
      </c>
      <c r="U53">
        <v>-106.070450373</v>
      </c>
      <c r="V53">
        <f>SUM(W53:X53)+(Y53*0.8)+(Z53*0.4)</f>
        <v>600</v>
      </c>
      <c r="W53">
        <v>0</v>
      </c>
      <c r="X53">
        <v>0</v>
      </c>
      <c r="Y53">
        <v>0</v>
      </c>
      <c r="Z53">
        <v>1500</v>
      </c>
      <c r="AA53" t="s">
        <v>43</v>
      </c>
      <c r="AB53">
        <v>0</v>
      </c>
      <c r="AD53" t="s">
        <v>9157</v>
      </c>
      <c r="AE53" t="s">
        <v>9158</v>
      </c>
    </row>
    <row r="54" spans="1:31" x14ac:dyDescent="0.25">
      <c r="A54" t="s">
        <v>31</v>
      </c>
      <c r="C54" t="s">
        <v>8323</v>
      </c>
      <c r="D54" t="s">
        <v>8324</v>
      </c>
      <c r="E54" t="s">
        <v>34</v>
      </c>
      <c r="F54" t="s">
        <v>43</v>
      </c>
      <c r="H54" t="s">
        <v>36</v>
      </c>
      <c r="I54" t="s">
        <v>8325</v>
      </c>
      <c r="J54" t="s">
        <v>31</v>
      </c>
      <c r="K54" t="s">
        <v>38</v>
      </c>
      <c r="L54" t="s">
        <v>77</v>
      </c>
      <c r="M54" t="s">
        <v>78</v>
      </c>
      <c r="N54" t="s">
        <v>1502</v>
      </c>
      <c r="O54" t="s">
        <v>4192</v>
      </c>
      <c r="T54">
        <v>41.253786187999999</v>
      </c>
      <c r="U54">
        <v>-75.523426237999999</v>
      </c>
      <c r="V54">
        <f>SUM(W54:X54)+(Y54*0.8)+(Z54*0.4)</f>
        <v>600</v>
      </c>
      <c r="W54">
        <v>0</v>
      </c>
      <c r="X54">
        <v>0</v>
      </c>
      <c r="Y54">
        <v>0</v>
      </c>
      <c r="Z54">
        <v>1500</v>
      </c>
      <c r="AA54" t="s">
        <v>43</v>
      </c>
      <c r="AB54">
        <v>0</v>
      </c>
      <c r="AD54" t="s">
        <v>8326</v>
      </c>
      <c r="AE54" t="s">
        <v>8327</v>
      </c>
    </row>
    <row r="55" spans="1:31" x14ac:dyDescent="0.25">
      <c r="A55" t="s">
        <v>31</v>
      </c>
      <c r="B55" t="s">
        <v>11350</v>
      </c>
      <c r="C55" t="s">
        <v>7684</v>
      </c>
      <c r="D55" t="s">
        <v>7724</v>
      </c>
      <c r="E55" t="s">
        <v>362</v>
      </c>
      <c r="F55" t="s">
        <v>7686</v>
      </c>
      <c r="G55">
        <v>2024</v>
      </c>
      <c r="H55" t="s">
        <v>36</v>
      </c>
      <c r="I55" t="s">
        <v>7725</v>
      </c>
      <c r="J55" t="s">
        <v>31</v>
      </c>
      <c r="K55" t="s">
        <v>38</v>
      </c>
      <c r="L55" t="s">
        <v>260</v>
      </c>
      <c r="M55" t="s">
        <v>261</v>
      </c>
      <c r="N55" t="s">
        <v>7726</v>
      </c>
      <c r="O55" t="s">
        <v>7724</v>
      </c>
      <c r="P55" t="s">
        <v>7727</v>
      </c>
      <c r="T55">
        <v>36.410919894000003</v>
      </c>
      <c r="U55">
        <v>-86.369275224999996</v>
      </c>
      <c r="V55">
        <f>SUM(W55:X55)+(Y55*0.8)+(Z55*0.4)</f>
        <v>588</v>
      </c>
      <c r="W55">
        <v>360</v>
      </c>
      <c r="X55">
        <v>180</v>
      </c>
      <c r="Y55">
        <v>0</v>
      </c>
      <c r="Z55">
        <v>120</v>
      </c>
      <c r="AA55" t="s">
        <v>43</v>
      </c>
      <c r="AB55">
        <v>540</v>
      </c>
      <c r="AD55" t="s">
        <v>7728</v>
      </c>
      <c r="AE55" t="s">
        <v>7729</v>
      </c>
    </row>
    <row r="56" spans="1:31" x14ac:dyDescent="0.25">
      <c r="A56" t="s">
        <v>31</v>
      </c>
      <c r="C56" t="s">
        <v>10208</v>
      </c>
      <c r="D56" t="s">
        <v>10235</v>
      </c>
      <c r="E56" t="s">
        <v>34</v>
      </c>
      <c r="F56" t="s">
        <v>66</v>
      </c>
      <c r="G56">
        <v>2027</v>
      </c>
      <c r="H56" t="s">
        <v>36</v>
      </c>
      <c r="I56" t="s">
        <v>10236</v>
      </c>
      <c r="J56" t="s">
        <v>31</v>
      </c>
      <c r="K56" t="s">
        <v>38</v>
      </c>
      <c r="L56" t="s">
        <v>86</v>
      </c>
      <c r="M56" t="s">
        <v>87</v>
      </c>
      <c r="N56" t="s">
        <v>1002</v>
      </c>
      <c r="O56" t="s">
        <v>10237</v>
      </c>
      <c r="P56" t="s">
        <v>10238</v>
      </c>
      <c r="Q56" t="s">
        <v>10239</v>
      </c>
      <c r="T56">
        <v>42.312407767000003</v>
      </c>
      <c r="U56">
        <v>-88.047895875999998</v>
      </c>
      <c r="V56">
        <f>SUM(W56:X56)+(Y56*0.8)+(Z56*0.4)</f>
        <v>564</v>
      </c>
      <c r="W56">
        <v>0</v>
      </c>
      <c r="X56">
        <v>60</v>
      </c>
      <c r="Y56">
        <v>120</v>
      </c>
      <c r="Z56">
        <v>1020</v>
      </c>
      <c r="AA56" t="s">
        <v>43</v>
      </c>
      <c r="AB56">
        <v>0</v>
      </c>
      <c r="AD56" t="s">
        <v>10240</v>
      </c>
      <c r="AE56" t="s">
        <v>10241</v>
      </c>
    </row>
    <row r="57" spans="1:31" x14ac:dyDescent="0.25">
      <c r="A57" t="s">
        <v>31</v>
      </c>
      <c r="C57" t="s">
        <v>10652</v>
      </c>
      <c r="D57" t="s">
        <v>10657</v>
      </c>
      <c r="E57" t="s">
        <v>34</v>
      </c>
      <c r="F57" t="s">
        <v>66</v>
      </c>
      <c r="G57">
        <v>2037</v>
      </c>
      <c r="H57" t="s">
        <v>36</v>
      </c>
      <c r="I57" t="s">
        <v>10658</v>
      </c>
      <c r="J57" t="s">
        <v>31</v>
      </c>
      <c r="K57" t="s">
        <v>38</v>
      </c>
      <c r="L57" t="s">
        <v>185</v>
      </c>
      <c r="M57" t="s">
        <v>186</v>
      </c>
      <c r="N57" t="s">
        <v>2296</v>
      </c>
      <c r="O57" t="s">
        <v>10659</v>
      </c>
      <c r="P57" t="s">
        <v>10660</v>
      </c>
      <c r="T57">
        <v>33.115522007000003</v>
      </c>
      <c r="U57">
        <v>-84.011713450000002</v>
      </c>
      <c r="V57">
        <f>SUM(W57:X57)+(Y57*0.8)+(Z57*0.4)</f>
        <v>557.20000000000005</v>
      </c>
      <c r="W57">
        <v>0</v>
      </c>
      <c r="X57">
        <v>0</v>
      </c>
      <c r="Y57">
        <v>0</v>
      </c>
      <c r="Z57">
        <v>1393</v>
      </c>
      <c r="AA57" t="s">
        <v>43</v>
      </c>
      <c r="AB57">
        <v>0</v>
      </c>
      <c r="AD57" t="s">
        <v>10661</v>
      </c>
      <c r="AE57" t="s">
        <v>10662</v>
      </c>
    </row>
    <row r="58" spans="1:31" x14ac:dyDescent="0.25">
      <c r="A58" t="s">
        <v>31</v>
      </c>
      <c r="B58" t="s">
        <v>11350</v>
      </c>
      <c r="C58" t="s">
        <v>6116</v>
      </c>
      <c r="D58" t="s">
        <v>6291</v>
      </c>
      <c r="E58" t="s">
        <v>362</v>
      </c>
      <c r="F58" t="s">
        <v>363</v>
      </c>
      <c r="G58">
        <v>2027</v>
      </c>
      <c r="H58" t="s">
        <v>36</v>
      </c>
      <c r="I58" t="s">
        <v>6292</v>
      </c>
      <c r="J58" t="s">
        <v>31</v>
      </c>
      <c r="K58" t="s">
        <v>38</v>
      </c>
      <c r="L58" t="s">
        <v>1819</v>
      </c>
      <c r="M58" t="s">
        <v>1820</v>
      </c>
      <c r="N58" t="s">
        <v>6293</v>
      </c>
      <c r="O58" t="s">
        <v>6291</v>
      </c>
      <c r="P58" t="s">
        <v>6294</v>
      </c>
      <c r="T58">
        <v>36.171480870000003</v>
      </c>
      <c r="U58">
        <v>-97.048383471999998</v>
      </c>
      <c r="V58">
        <f>SUM(W58:X58)+(Y58*0.8)+(Z58*0.4)</f>
        <v>553.6</v>
      </c>
      <c r="W58">
        <v>0</v>
      </c>
      <c r="X58">
        <v>0</v>
      </c>
      <c r="Y58">
        <v>346</v>
      </c>
      <c r="Z58">
        <v>692</v>
      </c>
      <c r="AA58" t="s">
        <v>43</v>
      </c>
      <c r="AB58">
        <v>346</v>
      </c>
      <c r="AD58" t="s">
        <v>6295</v>
      </c>
      <c r="AE58" t="s">
        <v>6296</v>
      </c>
    </row>
    <row r="59" spans="1:31" x14ac:dyDescent="0.25">
      <c r="A59" t="s">
        <v>31</v>
      </c>
      <c r="C59" t="s">
        <v>2414</v>
      </c>
      <c r="D59" t="s">
        <v>2420</v>
      </c>
      <c r="E59" t="s">
        <v>34</v>
      </c>
      <c r="F59" t="s">
        <v>66</v>
      </c>
      <c r="G59">
        <v>2013</v>
      </c>
      <c r="H59" t="s">
        <v>36</v>
      </c>
      <c r="I59" t="s">
        <v>2421</v>
      </c>
      <c r="J59" t="s">
        <v>31</v>
      </c>
      <c r="K59" t="s">
        <v>38</v>
      </c>
      <c r="L59" t="s">
        <v>242</v>
      </c>
      <c r="M59" t="s">
        <v>243</v>
      </c>
      <c r="N59" t="s">
        <v>2422</v>
      </c>
      <c r="O59" t="s">
        <v>2423</v>
      </c>
      <c r="P59" t="s">
        <v>2424</v>
      </c>
      <c r="T59">
        <v>37.360361492000003</v>
      </c>
      <c r="U59">
        <v>-77.327400578999999</v>
      </c>
      <c r="V59">
        <f>SUM(W59:X59)+(Y59*0.8)+(Z59*0.4)</f>
        <v>548</v>
      </c>
      <c r="W59">
        <v>28</v>
      </c>
      <c r="X59">
        <v>120</v>
      </c>
      <c r="Y59">
        <v>500</v>
      </c>
      <c r="Z59">
        <v>0</v>
      </c>
      <c r="AA59" t="s">
        <v>43</v>
      </c>
      <c r="AB59">
        <v>148</v>
      </c>
      <c r="AD59" t="s">
        <v>2425</v>
      </c>
      <c r="AE59" t="s">
        <v>2426</v>
      </c>
    </row>
    <row r="60" spans="1:31" x14ac:dyDescent="0.25">
      <c r="A60" t="s">
        <v>31</v>
      </c>
      <c r="B60" t="s">
        <v>11350</v>
      </c>
      <c r="C60" t="s">
        <v>647</v>
      </c>
      <c r="D60" t="s">
        <v>1121</v>
      </c>
      <c r="E60" t="s">
        <v>362</v>
      </c>
      <c r="F60" t="s">
        <v>43</v>
      </c>
      <c r="H60" t="s">
        <v>36</v>
      </c>
      <c r="I60" t="s">
        <v>1122</v>
      </c>
      <c r="J60" t="s">
        <v>31</v>
      </c>
      <c r="K60" t="s">
        <v>38</v>
      </c>
      <c r="L60" t="s">
        <v>77</v>
      </c>
      <c r="M60" t="s">
        <v>78</v>
      </c>
      <c r="N60" t="s">
        <v>1123</v>
      </c>
      <c r="O60" t="s">
        <v>1121</v>
      </c>
      <c r="P60" t="s">
        <v>1124</v>
      </c>
      <c r="T60">
        <v>40.878326698000002</v>
      </c>
      <c r="U60">
        <v>-76.012767449999998</v>
      </c>
      <c r="V60">
        <f>SUM(W60:X60)+(Y60*0.8)+(Z60*0.4)</f>
        <v>544</v>
      </c>
      <c r="W60">
        <v>0</v>
      </c>
      <c r="X60">
        <v>0</v>
      </c>
      <c r="Y60">
        <v>0</v>
      </c>
      <c r="Z60">
        <v>1360</v>
      </c>
      <c r="AA60" t="s">
        <v>43</v>
      </c>
      <c r="AB60">
        <v>0</v>
      </c>
      <c r="AD60" t="s">
        <v>1125</v>
      </c>
      <c r="AE60" t="s">
        <v>1126</v>
      </c>
    </row>
    <row r="61" spans="1:31" x14ac:dyDescent="0.25">
      <c r="A61" t="s">
        <v>31</v>
      </c>
      <c r="C61" t="s">
        <v>2512</v>
      </c>
      <c r="D61" t="s">
        <v>2513</v>
      </c>
      <c r="E61" t="s">
        <v>34</v>
      </c>
      <c r="F61" t="s">
        <v>66</v>
      </c>
      <c r="G61">
        <v>2027</v>
      </c>
      <c r="H61" t="s">
        <v>36</v>
      </c>
      <c r="I61" t="s">
        <v>325</v>
      </c>
      <c r="J61" t="s">
        <v>31</v>
      </c>
      <c r="K61" t="s">
        <v>38</v>
      </c>
      <c r="L61" t="s">
        <v>242</v>
      </c>
      <c r="M61" t="s">
        <v>243</v>
      </c>
      <c r="N61" t="s">
        <v>1756</v>
      </c>
      <c r="O61" t="s">
        <v>1757</v>
      </c>
      <c r="P61" t="s">
        <v>1758</v>
      </c>
      <c r="T61">
        <v>38.016473769999998</v>
      </c>
      <c r="U61">
        <v>-77.496682547999995</v>
      </c>
      <c r="V61">
        <f>SUM(W61:X61)+(Y61*0.8)+(Z61*0.4)</f>
        <v>537.6</v>
      </c>
      <c r="W61">
        <v>0</v>
      </c>
      <c r="X61">
        <v>268.8</v>
      </c>
      <c r="Y61">
        <v>134.4</v>
      </c>
      <c r="Z61">
        <v>403.2</v>
      </c>
      <c r="AA61" t="s">
        <v>43</v>
      </c>
      <c r="AB61">
        <v>0</v>
      </c>
      <c r="AD61" t="s">
        <v>2514</v>
      </c>
      <c r="AE61" t="s">
        <v>2515</v>
      </c>
    </row>
    <row r="62" spans="1:31" x14ac:dyDescent="0.25">
      <c r="A62" t="s">
        <v>31</v>
      </c>
      <c r="C62" t="s">
        <v>10607</v>
      </c>
      <c r="D62" t="s">
        <v>10634</v>
      </c>
      <c r="E62" t="s">
        <v>34</v>
      </c>
      <c r="F62" t="s">
        <v>76</v>
      </c>
      <c r="H62" t="s">
        <v>36</v>
      </c>
      <c r="I62" t="s">
        <v>1115</v>
      </c>
      <c r="J62" t="s">
        <v>31</v>
      </c>
      <c r="K62" t="s">
        <v>38</v>
      </c>
      <c r="L62" t="s">
        <v>828</v>
      </c>
      <c r="M62" t="s">
        <v>829</v>
      </c>
      <c r="N62" t="s">
        <v>2277</v>
      </c>
      <c r="O62" t="s">
        <v>10635</v>
      </c>
      <c r="P62" t="s">
        <v>10636</v>
      </c>
      <c r="Q62" t="s">
        <v>10637</v>
      </c>
      <c r="T62">
        <v>44.530504000000001</v>
      </c>
      <c r="U62">
        <v>-92.924689999999998</v>
      </c>
      <c r="V62">
        <f>SUM(W62:X62)+(Y62*0.8)+(Z62*0.4)</f>
        <v>517.77600000000007</v>
      </c>
      <c r="W62">
        <v>0</v>
      </c>
      <c r="X62">
        <v>0</v>
      </c>
      <c r="Y62">
        <v>0</v>
      </c>
      <c r="Z62">
        <v>1294.44</v>
      </c>
      <c r="AA62" t="s">
        <v>43</v>
      </c>
      <c r="AB62">
        <v>0</v>
      </c>
      <c r="AD62" t="s">
        <v>10638</v>
      </c>
      <c r="AE62" t="s">
        <v>10639</v>
      </c>
    </row>
    <row r="63" spans="1:31" x14ac:dyDescent="0.25">
      <c r="A63" t="s">
        <v>31</v>
      </c>
      <c r="B63" t="s">
        <v>11350</v>
      </c>
      <c r="C63" t="s">
        <v>647</v>
      </c>
      <c r="D63" t="s">
        <v>1144</v>
      </c>
      <c r="E63" t="s">
        <v>362</v>
      </c>
      <c r="F63" t="s">
        <v>649</v>
      </c>
      <c r="G63">
        <v>2027</v>
      </c>
      <c r="H63" t="s">
        <v>36</v>
      </c>
      <c r="I63" t="s">
        <v>1145</v>
      </c>
      <c r="J63" t="s">
        <v>31</v>
      </c>
      <c r="K63" t="s">
        <v>38</v>
      </c>
      <c r="L63" t="s">
        <v>1146</v>
      </c>
      <c r="M63" t="s">
        <v>1147</v>
      </c>
      <c r="N63" t="s">
        <v>1144</v>
      </c>
      <c r="O63" t="s">
        <v>1148</v>
      </c>
      <c r="P63" t="s">
        <v>1149</v>
      </c>
      <c r="T63">
        <v>32.589124423999998</v>
      </c>
      <c r="U63">
        <v>-90.093280770999996</v>
      </c>
      <c r="V63">
        <f>SUM(W63:X63)+(Y63*0.8)+(Z63*0.4)</f>
        <v>510.40000000000003</v>
      </c>
      <c r="W63">
        <v>0</v>
      </c>
      <c r="X63">
        <v>0</v>
      </c>
      <c r="Y63">
        <v>348</v>
      </c>
      <c r="Z63">
        <v>580</v>
      </c>
      <c r="AA63" t="s">
        <v>43</v>
      </c>
      <c r="AB63">
        <v>348</v>
      </c>
      <c r="AD63" t="s">
        <v>1150</v>
      </c>
      <c r="AE63" t="s">
        <v>1151</v>
      </c>
    </row>
    <row r="64" spans="1:31" x14ac:dyDescent="0.25">
      <c r="A64" t="s">
        <v>31</v>
      </c>
      <c r="C64" t="s">
        <v>1990</v>
      </c>
      <c r="D64" t="s">
        <v>1991</v>
      </c>
      <c r="E64" t="s">
        <v>34</v>
      </c>
      <c r="F64" t="s">
        <v>66</v>
      </c>
      <c r="H64" t="s">
        <v>36</v>
      </c>
      <c r="I64" t="s">
        <v>1992</v>
      </c>
      <c r="J64" t="s">
        <v>31</v>
      </c>
      <c r="K64" t="s">
        <v>38</v>
      </c>
      <c r="L64" t="s">
        <v>172</v>
      </c>
      <c r="M64" t="s">
        <v>173</v>
      </c>
      <c r="N64" t="s">
        <v>1993</v>
      </c>
      <c r="O64" t="s">
        <v>1994</v>
      </c>
      <c r="P64" t="s">
        <v>1995</v>
      </c>
      <c r="T64">
        <v>33.151927534000002</v>
      </c>
      <c r="U64">
        <v>-115.621023362</v>
      </c>
      <c r="V64">
        <f>SUM(W64:X64)+(Y64*0.8)+(Z64*0.4)</f>
        <v>504</v>
      </c>
      <c r="W64">
        <v>0</v>
      </c>
      <c r="X64">
        <v>0</v>
      </c>
      <c r="Y64">
        <v>0</v>
      </c>
      <c r="Z64">
        <v>1260</v>
      </c>
      <c r="AA64" t="s">
        <v>43</v>
      </c>
      <c r="AB64">
        <v>0</v>
      </c>
      <c r="AD64" t="s">
        <v>1996</v>
      </c>
      <c r="AE64" t="s">
        <v>1997</v>
      </c>
    </row>
    <row r="65" spans="1:31" x14ac:dyDescent="0.25">
      <c r="A65" t="s">
        <v>31</v>
      </c>
      <c r="B65" t="s">
        <v>11350</v>
      </c>
      <c r="C65" t="s">
        <v>7684</v>
      </c>
      <c r="D65" t="s">
        <v>3444</v>
      </c>
      <c r="E65" t="s">
        <v>362</v>
      </c>
      <c r="F65" t="s">
        <v>363</v>
      </c>
      <c r="G65">
        <v>2025</v>
      </c>
      <c r="H65" t="s">
        <v>36</v>
      </c>
      <c r="I65" t="s">
        <v>7747</v>
      </c>
      <c r="J65" t="s">
        <v>31</v>
      </c>
      <c r="K65" t="s">
        <v>38</v>
      </c>
      <c r="L65" t="s">
        <v>326</v>
      </c>
      <c r="M65" t="s">
        <v>327</v>
      </c>
      <c r="N65" t="s">
        <v>328</v>
      </c>
      <c r="O65" t="s">
        <v>1160</v>
      </c>
      <c r="T65">
        <v>33.341691421999997</v>
      </c>
      <c r="U65">
        <v>-111.631092014</v>
      </c>
      <c r="V65">
        <f>SUM(W65:X65)+(Y65*0.8)+(Z65*0.4)</f>
        <v>500</v>
      </c>
      <c r="W65">
        <v>200</v>
      </c>
      <c r="X65">
        <v>300</v>
      </c>
      <c r="Y65">
        <v>0</v>
      </c>
      <c r="Z65">
        <v>0</v>
      </c>
      <c r="AA65" t="s">
        <v>43</v>
      </c>
      <c r="AB65">
        <v>500</v>
      </c>
      <c r="AD65" t="s">
        <v>7748</v>
      </c>
      <c r="AE65" t="s">
        <v>7749</v>
      </c>
    </row>
    <row r="66" spans="1:31" x14ac:dyDescent="0.25">
      <c r="A66" t="s">
        <v>31</v>
      </c>
      <c r="C66" t="s">
        <v>8901</v>
      </c>
      <c r="D66" t="s">
        <v>8902</v>
      </c>
      <c r="E66" t="s">
        <v>34</v>
      </c>
      <c r="F66" t="s">
        <v>43</v>
      </c>
      <c r="H66" t="s">
        <v>36</v>
      </c>
      <c r="I66" t="s">
        <v>8903</v>
      </c>
      <c r="J66" t="s">
        <v>31</v>
      </c>
      <c r="K66" t="s">
        <v>38</v>
      </c>
      <c r="L66" t="s">
        <v>242</v>
      </c>
      <c r="M66" t="s">
        <v>243</v>
      </c>
      <c r="N66" t="s">
        <v>509</v>
      </c>
      <c r="O66" t="s">
        <v>510</v>
      </c>
      <c r="P66" t="s">
        <v>651</v>
      </c>
      <c r="T66">
        <v>38.630816345</v>
      </c>
      <c r="U66">
        <v>-77.423395131999996</v>
      </c>
      <c r="V66">
        <f>SUM(W66:X66)+(Y66*0.8)+(Z66*0.4)</f>
        <v>500</v>
      </c>
      <c r="W66">
        <v>0</v>
      </c>
      <c r="X66">
        <v>0</v>
      </c>
      <c r="Y66">
        <v>0</v>
      </c>
      <c r="Z66">
        <v>1250</v>
      </c>
      <c r="AA66" t="s">
        <v>43</v>
      </c>
      <c r="AB66">
        <v>0</v>
      </c>
      <c r="AD66" t="s">
        <v>8904</v>
      </c>
      <c r="AE66" t="s">
        <v>8905</v>
      </c>
    </row>
    <row r="67" spans="1:31" x14ac:dyDescent="0.25">
      <c r="A67" t="s">
        <v>31</v>
      </c>
      <c r="C67" t="s">
        <v>1658</v>
      </c>
      <c r="D67" t="s">
        <v>1659</v>
      </c>
      <c r="E67" t="s">
        <v>34</v>
      </c>
      <c r="F67" t="s">
        <v>66</v>
      </c>
      <c r="G67">
        <v>2027</v>
      </c>
      <c r="H67" t="s">
        <v>36</v>
      </c>
      <c r="I67" t="s">
        <v>1660</v>
      </c>
      <c r="J67" t="s">
        <v>31</v>
      </c>
      <c r="K67" t="s">
        <v>38</v>
      </c>
      <c r="L67" t="s">
        <v>202</v>
      </c>
      <c r="M67" t="s">
        <v>203</v>
      </c>
      <c r="N67" t="s">
        <v>1661</v>
      </c>
      <c r="P67" t="s">
        <v>1662</v>
      </c>
      <c r="T67">
        <v>27.473701330000001</v>
      </c>
      <c r="U67">
        <v>-80.535126661000007</v>
      </c>
      <c r="V67">
        <f>SUM(W67:X67)+(Y67*0.8)+(Z67*0.4)</f>
        <v>496</v>
      </c>
      <c r="W67">
        <v>0</v>
      </c>
      <c r="X67">
        <v>0</v>
      </c>
      <c r="Y67">
        <v>240</v>
      </c>
      <c r="Z67">
        <v>760</v>
      </c>
      <c r="AA67" t="s">
        <v>43</v>
      </c>
      <c r="AB67">
        <v>0</v>
      </c>
      <c r="AD67" t="s">
        <v>1663</v>
      </c>
      <c r="AE67" t="s">
        <v>1664</v>
      </c>
    </row>
    <row r="68" spans="1:31" x14ac:dyDescent="0.25">
      <c r="A68" t="s">
        <v>31</v>
      </c>
      <c r="C68" t="s">
        <v>9148</v>
      </c>
      <c r="D68" t="s">
        <v>9149</v>
      </c>
      <c r="E68" t="s">
        <v>34</v>
      </c>
      <c r="F68" t="s">
        <v>66</v>
      </c>
      <c r="G68">
        <v>2026</v>
      </c>
      <c r="H68" t="s">
        <v>36</v>
      </c>
      <c r="J68" t="s">
        <v>31</v>
      </c>
      <c r="K68" t="s">
        <v>38</v>
      </c>
      <c r="L68" t="s">
        <v>3288</v>
      </c>
      <c r="M68" t="s">
        <v>3289</v>
      </c>
      <c r="N68" t="s">
        <v>9150</v>
      </c>
      <c r="O68" t="s">
        <v>9151</v>
      </c>
      <c r="P68" t="s">
        <v>9152</v>
      </c>
      <c r="T68">
        <v>41.23236</v>
      </c>
      <c r="U68">
        <v>-110.76090000000001</v>
      </c>
      <c r="V68">
        <f>SUM(W68:X68)+(Y68*0.8)+(Z68*0.4)</f>
        <v>484</v>
      </c>
      <c r="W68">
        <v>0</v>
      </c>
      <c r="X68">
        <v>0</v>
      </c>
      <c r="Y68">
        <v>90</v>
      </c>
      <c r="Z68">
        <v>1030</v>
      </c>
      <c r="AA68" t="s">
        <v>43</v>
      </c>
      <c r="AB68">
        <v>10</v>
      </c>
      <c r="AD68" t="s">
        <v>9153</v>
      </c>
      <c r="AE68" t="s">
        <v>9154</v>
      </c>
    </row>
    <row r="69" spans="1:31" x14ac:dyDescent="0.25">
      <c r="A69" t="s">
        <v>31</v>
      </c>
      <c r="C69" t="s">
        <v>10025</v>
      </c>
      <c r="D69" t="s">
        <v>10026</v>
      </c>
      <c r="E69" t="s">
        <v>34</v>
      </c>
      <c r="F69" t="s">
        <v>66</v>
      </c>
      <c r="G69">
        <v>2028</v>
      </c>
      <c r="H69" t="s">
        <v>36</v>
      </c>
      <c r="I69" t="s">
        <v>10027</v>
      </c>
      <c r="J69" t="s">
        <v>31</v>
      </c>
      <c r="K69" t="s">
        <v>38</v>
      </c>
      <c r="L69" t="s">
        <v>3625</v>
      </c>
      <c r="M69" t="s">
        <v>3626</v>
      </c>
      <c r="N69" t="s">
        <v>3627</v>
      </c>
      <c r="O69" t="s">
        <v>10028</v>
      </c>
      <c r="P69" t="s">
        <v>10029</v>
      </c>
      <c r="T69">
        <v>39.617187498</v>
      </c>
      <c r="U69">
        <v>-75.637963224999993</v>
      </c>
      <c r="V69">
        <f>SUM(W69:X69)+(Y69*0.8)+(Z69*0.4)</f>
        <v>480</v>
      </c>
      <c r="W69">
        <v>0</v>
      </c>
      <c r="X69">
        <v>0</v>
      </c>
      <c r="Y69">
        <v>0</v>
      </c>
      <c r="Z69">
        <v>1200</v>
      </c>
      <c r="AA69" t="s">
        <v>43</v>
      </c>
      <c r="AB69">
        <v>0</v>
      </c>
      <c r="AD69" t="s">
        <v>10030</v>
      </c>
      <c r="AE69" t="s">
        <v>10031</v>
      </c>
    </row>
    <row r="70" spans="1:31" x14ac:dyDescent="0.25">
      <c r="A70" t="s">
        <v>31</v>
      </c>
      <c r="C70" t="s">
        <v>2527</v>
      </c>
      <c r="D70" t="s">
        <v>2528</v>
      </c>
      <c r="E70" t="s">
        <v>34</v>
      </c>
      <c r="F70" t="s">
        <v>66</v>
      </c>
      <c r="G70">
        <v>2026</v>
      </c>
      <c r="H70" t="s">
        <v>411</v>
      </c>
      <c r="I70" t="s">
        <v>2529</v>
      </c>
      <c r="J70" t="s">
        <v>31</v>
      </c>
      <c r="K70" t="s">
        <v>38</v>
      </c>
      <c r="L70" t="s">
        <v>68</v>
      </c>
      <c r="M70" t="s">
        <v>69</v>
      </c>
      <c r="N70" t="s">
        <v>2530</v>
      </c>
      <c r="O70" t="s">
        <v>2531</v>
      </c>
      <c r="P70" t="s">
        <v>2532</v>
      </c>
      <c r="T70">
        <v>29.941322495000001</v>
      </c>
      <c r="U70">
        <v>-97.887186344</v>
      </c>
      <c r="V70">
        <f>SUM(W70:X70)+(Y70*0.8)+(Z70*0.4)</f>
        <v>480</v>
      </c>
      <c r="W70">
        <v>0</v>
      </c>
      <c r="X70">
        <v>0</v>
      </c>
      <c r="Y70">
        <v>0</v>
      </c>
      <c r="Z70">
        <v>1200</v>
      </c>
      <c r="AA70" t="s">
        <v>43</v>
      </c>
      <c r="AB70">
        <v>0</v>
      </c>
      <c r="AD70" t="s">
        <v>2533</v>
      </c>
      <c r="AE70" t="s">
        <v>2534</v>
      </c>
    </row>
    <row r="71" spans="1:31" x14ac:dyDescent="0.25">
      <c r="A71" t="s">
        <v>31</v>
      </c>
      <c r="C71" t="s">
        <v>2255</v>
      </c>
      <c r="D71" t="s">
        <v>10599</v>
      </c>
      <c r="E71" t="s">
        <v>34</v>
      </c>
      <c r="F71" t="s">
        <v>66</v>
      </c>
      <c r="G71">
        <v>2031</v>
      </c>
      <c r="H71" t="s">
        <v>36</v>
      </c>
      <c r="J71" t="s">
        <v>31</v>
      </c>
      <c r="K71" t="s">
        <v>38</v>
      </c>
      <c r="L71" t="s">
        <v>185</v>
      </c>
      <c r="M71" t="s">
        <v>186</v>
      </c>
      <c r="N71" t="s">
        <v>9593</v>
      </c>
      <c r="O71" t="s">
        <v>7815</v>
      </c>
      <c r="T71">
        <v>33.616280000000003</v>
      </c>
      <c r="U71">
        <v>-83.740123999999994</v>
      </c>
      <c r="V71">
        <f>SUM(W71:X71)+(Y71*0.8)+(Z71*0.4)</f>
        <v>475.20000000000005</v>
      </c>
      <c r="W71">
        <v>0</v>
      </c>
      <c r="X71">
        <v>0</v>
      </c>
      <c r="Y71">
        <v>594</v>
      </c>
      <c r="Z71">
        <v>0</v>
      </c>
      <c r="AA71" t="s">
        <v>43</v>
      </c>
      <c r="AB71">
        <v>0</v>
      </c>
      <c r="AD71" t="s">
        <v>10600</v>
      </c>
      <c r="AE71" t="s">
        <v>10601</v>
      </c>
    </row>
    <row r="72" spans="1:31" x14ac:dyDescent="0.25">
      <c r="A72" t="s">
        <v>31</v>
      </c>
      <c r="B72" t="s">
        <v>11350</v>
      </c>
      <c r="C72" t="s">
        <v>647</v>
      </c>
      <c r="D72" t="s">
        <v>773</v>
      </c>
      <c r="E72" t="s">
        <v>362</v>
      </c>
      <c r="F72" t="s">
        <v>649</v>
      </c>
      <c r="G72">
        <v>2025</v>
      </c>
      <c r="H72" t="s">
        <v>36</v>
      </c>
      <c r="I72" t="s">
        <v>774</v>
      </c>
      <c r="J72" t="s">
        <v>31</v>
      </c>
      <c r="K72" t="s">
        <v>38</v>
      </c>
      <c r="L72" t="s">
        <v>448</v>
      </c>
      <c r="M72" t="s">
        <v>449</v>
      </c>
      <c r="N72" t="s">
        <v>564</v>
      </c>
      <c r="O72" t="s">
        <v>775</v>
      </c>
      <c r="P72" t="s">
        <v>566</v>
      </c>
      <c r="T72">
        <v>39.323850939000003</v>
      </c>
      <c r="U72">
        <v>-77.484724477</v>
      </c>
      <c r="V72">
        <f>SUM(W72:X72)+(Y72*0.8)+(Z72*0.4)</f>
        <v>463.23500000000001</v>
      </c>
      <c r="W72">
        <v>130.27500000000001</v>
      </c>
      <c r="X72">
        <v>332.96</v>
      </c>
      <c r="Y72">
        <v>0</v>
      </c>
      <c r="Z72">
        <v>0</v>
      </c>
      <c r="AA72" t="s">
        <v>43</v>
      </c>
      <c r="AB72">
        <v>463.23500000000001</v>
      </c>
      <c r="AD72" t="s">
        <v>776</v>
      </c>
      <c r="AE72" t="s">
        <v>777</v>
      </c>
    </row>
    <row r="73" spans="1:31" x14ac:dyDescent="0.25">
      <c r="A73" t="s">
        <v>31</v>
      </c>
      <c r="C73" t="s">
        <v>1724</v>
      </c>
      <c r="D73" t="s">
        <v>1731</v>
      </c>
      <c r="E73" t="s">
        <v>34</v>
      </c>
      <c r="F73" t="s">
        <v>66</v>
      </c>
      <c r="G73">
        <v>2027</v>
      </c>
      <c r="H73" t="s">
        <v>411</v>
      </c>
      <c r="I73" t="s">
        <v>1732</v>
      </c>
      <c r="J73" t="s">
        <v>31</v>
      </c>
      <c r="K73" t="s">
        <v>38</v>
      </c>
      <c r="L73" t="s">
        <v>1733</v>
      </c>
      <c r="M73" t="s">
        <v>1734</v>
      </c>
      <c r="N73" t="s">
        <v>1735</v>
      </c>
      <c r="O73" t="s">
        <v>1736</v>
      </c>
      <c r="P73" t="s">
        <v>1737</v>
      </c>
      <c r="T73">
        <v>34.615326472</v>
      </c>
      <c r="U73">
        <v>-92.244826758000002</v>
      </c>
      <c r="V73">
        <f>SUM(W73:X73)+(Y73*0.8)+(Z73*0.4)</f>
        <v>460</v>
      </c>
      <c r="W73">
        <v>0</v>
      </c>
      <c r="X73">
        <v>0</v>
      </c>
      <c r="Y73">
        <v>150</v>
      </c>
      <c r="Z73">
        <v>850</v>
      </c>
      <c r="AA73" t="s">
        <v>43</v>
      </c>
      <c r="AB73">
        <v>0</v>
      </c>
      <c r="AD73" t="s">
        <v>1738</v>
      </c>
      <c r="AE73" t="s">
        <v>1739</v>
      </c>
    </row>
    <row r="74" spans="1:31" x14ac:dyDescent="0.25">
      <c r="A74" t="s">
        <v>31</v>
      </c>
      <c r="C74" t="s">
        <v>6766</v>
      </c>
      <c r="D74" t="s">
        <v>6767</v>
      </c>
      <c r="E74" t="s">
        <v>34</v>
      </c>
      <c r="F74" t="s">
        <v>66</v>
      </c>
      <c r="G74">
        <v>2030</v>
      </c>
      <c r="H74" t="s">
        <v>36</v>
      </c>
      <c r="I74" t="s">
        <v>6768</v>
      </c>
      <c r="J74" t="s">
        <v>31</v>
      </c>
      <c r="K74" t="s">
        <v>38</v>
      </c>
      <c r="L74" t="s">
        <v>185</v>
      </c>
      <c r="M74" t="s">
        <v>186</v>
      </c>
      <c r="N74" t="s">
        <v>6769</v>
      </c>
      <c r="P74" t="s">
        <v>6770</v>
      </c>
      <c r="T74">
        <v>33.257056685000002</v>
      </c>
      <c r="U74">
        <v>-84.146121696999998</v>
      </c>
      <c r="V74">
        <f>SUM(W74:X74)+(Y74*0.8)+(Z74*0.4)</f>
        <v>459.20000000000005</v>
      </c>
      <c r="W74">
        <v>0</v>
      </c>
      <c r="X74">
        <v>0</v>
      </c>
      <c r="Y74">
        <v>0</v>
      </c>
      <c r="Z74">
        <v>1148</v>
      </c>
      <c r="AA74" t="s">
        <v>43</v>
      </c>
      <c r="AB74">
        <v>0</v>
      </c>
      <c r="AD74" t="s">
        <v>6771</v>
      </c>
      <c r="AE74" t="s">
        <v>6772</v>
      </c>
    </row>
    <row r="75" spans="1:31" x14ac:dyDescent="0.25">
      <c r="A75" t="s">
        <v>31</v>
      </c>
      <c r="C75" t="s">
        <v>9524</v>
      </c>
      <c r="D75" t="s">
        <v>9533</v>
      </c>
      <c r="E75" t="s">
        <v>34</v>
      </c>
      <c r="F75" t="s">
        <v>43</v>
      </c>
      <c r="H75" t="s">
        <v>36</v>
      </c>
      <c r="I75" t="s">
        <v>563</v>
      </c>
      <c r="J75" t="s">
        <v>31</v>
      </c>
      <c r="K75" t="s">
        <v>38</v>
      </c>
      <c r="L75" t="s">
        <v>448</v>
      </c>
      <c r="M75" t="s">
        <v>449</v>
      </c>
      <c r="N75" t="s">
        <v>564</v>
      </c>
      <c r="O75" t="s">
        <v>565</v>
      </c>
      <c r="P75" t="s">
        <v>566</v>
      </c>
      <c r="T75">
        <v>39.331890012000002</v>
      </c>
      <c r="U75">
        <v>-77.474615271999994</v>
      </c>
      <c r="V75">
        <f>SUM(W75:X75)+(Y75*0.8)+(Z75*0.4)</f>
        <v>459.20000000000005</v>
      </c>
      <c r="W75">
        <v>0</v>
      </c>
      <c r="X75">
        <v>0</v>
      </c>
      <c r="Y75">
        <v>491</v>
      </c>
      <c r="Z75">
        <v>166</v>
      </c>
      <c r="AA75" t="s">
        <v>43</v>
      </c>
      <c r="AB75">
        <v>231</v>
      </c>
      <c r="AD75" t="s">
        <v>9534</v>
      </c>
      <c r="AE75" t="s">
        <v>9535</v>
      </c>
    </row>
    <row r="76" spans="1:31" x14ac:dyDescent="0.25">
      <c r="A76" t="s">
        <v>31</v>
      </c>
      <c r="B76" t="s">
        <v>11350</v>
      </c>
      <c r="C76" t="s">
        <v>7684</v>
      </c>
      <c r="D76" t="s">
        <v>1304</v>
      </c>
      <c r="E76" t="s">
        <v>362</v>
      </c>
      <c r="F76" t="s">
        <v>7686</v>
      </c>
      <c r="G76">
        <v>2020</v>
      </c>
      <c r="H76" t="s">
        <v>36</v>
      </c>
      <c r="I76" t="s">
        <v>7776</v>
      </c>
      <c r="J76" t="s">
        <v>31</v>
      </c>
      <c r="K76" t="s">
        <v>38</v>
      </c>
      <c r="L76" t="s">
        <v>317</v>
      </c>
      <c r="M76" t="s">
        <v>318</v>
      </c>
      <c r="N76" t="s">
        <v>584</v>
      </c>
      <c r="O76" t="s">
        <v>1304</v>
      </c>
      <c r="P76" t="s">
        <v>585</v>
      </c>
      <c r="T76">
        <v>40.068798999999999</v>
      </c>
      <c r="U76">
        <v>-82.750545000000002</v>
      </c>
      <c r="V76">
        <f>SUM(W76:X76)+(Y76*0.8)+(Z76*0.4)</f>
        <v>452.40000000000003</v>
      </c>
      <c r="W76">
        <v>127.6</v>
      </c>
      <c r="X76">
        <v>232</v>
      </c>
      <c r="Y76">
        <v>0</v>
      </c>
      <c r="Z76">
        <v>232</v>
      </c>
      <c r="AA76" t="s">
        <v>43</v>
      </c>
      <c r="AB76">
        <v>359.6</v>
      </c>
      <c r="AD76" t="s">
        <v>7777</v>
      </c>
      <c r="AE76" t="s">
        <v>7778</v>
      </c>
    </row>
    <row r="77" spans="1:31" x14ac:dyDescent="0.25">
      <c r="A77" t="s">
        <v>31</v>
      </c>
      <c r="C77" t="s">
        <v>9202</v>
      </c>
      <c r="D77" t="s">
        <v>9327</v>
      </c>
      <c r="E77" t="s">
        <v>34</v>
      </c>
      <c r="F77" t="s">
        <v>66</v>
      </c>
      <c r="G77">
        <v>2028</v>
      </c>
      <c r="H77" t="s">
        <v>36</v>
      </c>
      <c r="I77" t="s">
        <v>9328</v>
      </c>
      <c r="J77" t="s">
        <v>31</v>
      </c>
      <c r="K77" t="s">
        <v>38</v>
      </c>
      <c r="L77" t="s">
        <v>326</v>
      </c>
      <c r="M77" t="s">
        <v>327</v>
      </c>
      <c r="N77" t="s">
        <v>328</v>
      </c>
      <c r="O77" t="s">
        <v>9329</v>
      </c>
      <c r="P77" t="s">
        <v>9330</v>
      </c>
      <c r="T77">
        <v>33.513286266000001</v>
      </c>
      <c r="U77">
        <v>-112.434719699</v>
      </c>
      <c r="V77">
        <f>SUM(W77:X77)+(Y77*0.8)+(Z77*0.4)</f>
        <v>451.20000000000005</v>
      </c>
      <c r="W77">
        <v>0</v>
      </c>
      <c r="X77">
        <v>240</v>
      </c>
      <c r="Y77">
        <v>0</v>
      </c>
      <c r="Z77">
        <v>528</v>
      </c>
      <c r="AA77" t="s">
        <v>43</v>
      </c>
      <c r="AB77">
        <v>240</v>
      </c>
      <c r="AD77" t="s">
        <v>9331</v>
      </c>
      <c r="AE77" t="s">
        <v>9332</v>
      </c>
    </row>
    <row r="78" spans="1:31" x14ac:dyDescent="0.25">
      <c r="A78" t="s">
        <v>31</v>
      </c>
      <c r="B78" t="s">
        <v>11350</v>
      </c>
      <c r="C78" t="s">
        <v>7684</v>
      </c>
      <c r="D78" t="s">
        <v>7705</v>
      </c>
      <c r="E78" t="s">
        <v>362</v>
      </c>
      <c r="F78" t="s">
        <v>7686</v>
      </c>
      <c r="G78">
        <v>2021</v>
      </c>
      <c r="H78" t="s">
        <v>36</v>
      </c>
      <c r="I78" t="s">
        <v>7706</v>
      </c>
      <c r="J78" t="s">
        <v>31</v>
      </c>
      <c r="K78" t="s">
        <v>38</v>
      </c>
      <c r="L78" t="s">
        <v>620</v>
      </c>
      <c r="M78" t="s">
        <v>621</v>
      </c>
      <c r="N78" t="s">
        <v>5917</v>
      </c>
      <c r="O78" t="s">
        <v>7707</v>
      </c>
      <c r="P78" t="s">
        <v>7708</v>
      </c>
      <c r="T78">
        <v>40.265485751</v>
      </c>
      <c r="U78">
        <v>-112.013137757</v>
      </c>
      <c r="V78">
        <f>SUM(W78:X78)+(Y78*0.8)+(Z78*0.4)</f>
        <v>450</v>
      </c>
      <c r="W78">
        <v>412.5</v>
      </c>
      <c r="X78">
        <v>37.5</v>
      </c>
      <c r="Y78">
        <v>0</v>
      </c>
      <c r="Z78">
        <v>0</v>
      </c>
      <c r="AA78" t="s">
        <v>43</v>
      </c>
      <c r="AB78">
        <v>450</v>
      </c>
      <c r="AD78" t="s">
        <v>7709</v>
      </c>
      <c r="AE78" t="s">
        <v>7710</v>
      </c>
    </row>
    <row r="79" spans="1:31" x14ac:dyDescent="0.25">
      <c r="A79" t="s">
        <v>31</v>
      </c>
      <c r="C79" t="s">
        <v>3993</v>
      </c>
      <c r="D79" t="s">
        <v>3994</v>
      </c>
      <c r="E79" t="s">
        <v>362</v>
      </c>
      <c r="F79" t="s">
        <v>43</v>
      </c>
      <c r="G79">
        <v>2039</v>
      </c>
      <c r="H79" t="s">
        <v>36</v>
      </c>
      <c r="I79" t="s">
        <v>3995</v>
      </c>
      <c r="J79" t="s">
        <v>31</v>
      </c>
      <c r="K79" t="s">
        <v>38</v>
      </c>
      <c r="L79" t="s">
        <v>185</v>
      </c>
      <c r="M79" t="s">
        <v>186</v>
      </c>
      <c r="N79" t="s">
        <v>2296</v>
      </c>
      <c r="P79" t="s">
        <v>3996</v>
      </c>
      <c r="T79">
        <v>32.989842279000001</v>
      </c>
      <c r="U79">
        <v>-83.837451478000006</v>
      </c>
      <c r="V79">
        <f>SUM(W79:X79)+(Y79*0.8)+(Z79*0.4)</f>
        <v>448</v>
      </c>
      <c r="W79">
        <v>0</v>
      </c>
      <c r="X79">
        <v>0</v>
      </c>
      <c r="Y79">
        <v>0</v>
      </c>
      <c r="Z79">
        <v>1120</v>
      </c>
      <c r="AA79" t="s">
        <v>43</v>
      </c>
      <c r="AB79">
        <v>0</v>
      </c>
      <c r="AD79" t="s">
        <v>3997</v>
      </c>
      <c r="AE79" t="s">
        <v>3998</v>
      </c>
    </row>
    <row r="80" spans="1:31" x14ac:dyDescent="0.25">
      <c r="A80" t="s">
        <v>31</v>
      </c>
      <c r="C80" t="s">
        <v>6813</v>
      </c>
      <c r="D80" t="s">
        <v>6814</v>
      </c>
      <c r="E80" t="s">
        <v>362</v>
      </c>
      <c r="F80" t="s">
        <v>372</v>
      </c>
      <c r="G80">
        <v>2023</v>
      </c>
      <c r="H80" t="s">
        <v>36</v>
      </c>
      <c r="I80" t="s">
        <v>6815</v>
      </c>
      <c r="J80" t="s">
        <v>31</v>
      </c>
      <c r="K80" t="s">
        <v>38</v>
      </c>
      <c r="L80" t="s">
        <v>68</v>
      </c>
      <c r="M80" t="s">
        <v>69</v>
      </c>
      <c r="N80" t="s">
        <v>6816</v>
      </c>
      <c r="O80" t="s">
        <v>6814</v>
      </c>
      <c r="P80" t="s">
        <v>6817</v>
      </c>
      <c r="T80">
        <v>34.383278113000003</v>
      </c>
      <c r="U80">
        <v>-100.056445782</v>
      </c>
      <c r="V80">
        <f>SUM(W80:X80)+(Y80*0.8)+(Z80*0.4)</f>
        <v>441</v>
      </c>
      <c r="W80">
        <v>335</v>
      </c>
      <c r="X80">
        <v>0</v>
      </c>
      <c r="Y80">
        <v>0</v>
      </c>
      <c r="Z80">
        <v>265</v>
      </c>
      <c r="AA80" t="s">
        <v>43</v>
      </c>
      <c r="AB80">
        <v>335</v>
      </c>
      <c r="AD80" t="s">
        <v>6818</v>
      </c>
      <c r="AE80" t="s">
        <v>6819</v>
      </c>
    </row>
    <row r="81" spans="1:31" x14ac:dyDescent="0.25">
      <c r="A81" t="s">
        <v>31</v>
      </c>
      <c r="B81" t="s">
        <v>11350</v>
      </c>
      <c r="C81" t="s">
        <v>6116</v>
      </c>
      <c r="D81" t="s">
        <v>6267</v>
      </c>
      <c r="E81" t="s">
        <v>362</v>
      </c>
      <c r="F81" t="s">
        <v>363</v>
      </c>
      <c r="G81">
        <v>2026</v>
      </c>
      <c r="H81" t="s">
        <v>36</v>
      </c>
      <c r="I81" t="s">
        <v>1115</v>
      </c>
      <c r="J81" t="s">
        <v>31</v>
      </c>
      <c r="K81" t="s">
        <v>38</v>
      </c>
      <c r="L81" t="s">
        <v>1900</v>
      </c>
      <c r="M81" t="s">
        <v>1901</v>
      </c>
      <c r="N81" t="s">
        <v>5058</v>
      </c>
      <c r="O81" t="s">
        <v>5056</v>
      </c>
      <c r="P81" t="s">
        <v>6268</v>
      </c>
      <c r="Q81" t="s">
        <v>5060</v>
      </c>
      <c r="S81" t="s">
        <v>6269</v>
      </c>
      <c r="T81">
        <v>39.319899532999997</v>
      </c>
      <c r="U81">
        <v>-94.573724193999993</v>
      </c>
      <c r="V81">
        <f>SUM(W81:X81)+(Y81*0.8)+(Z81*0.4)</f>
        <v>430.76800000000003</v>
      </c>
      <c r="W81">
        <v>0</v>
      </c>
      <c r="X81">
        <v>0</v>
      </c>
      <c r="Y81">
        <v>538.46</v>
      </c>
      <c r="Z81">
        <v>0</v>
      </c>
      <c r="AA81" t="s">
        <v>43</v>
      </c>
      <c r="AB81">
        <v>538.46</v>
      </c>
      <c r="AD81" t="s">
        <v>6270</v>
      </c>
      <c r="AE81" t="s">
        <v>6271</v>
      </c>
    </row>
    <row r="82" spans="1:31" x14ac:dyDescent="0.25">
      <c r="A82" t="s">
        <v>31</v>
      </c>
      <c r="B82" t="s">
        <v>11350</v>
      </c>
      <c r="C82" t="s">
        <v>6116</v>
      </c>
      <c r="D82" t="s">
        <v>6141</v>
      </c>
      <c r="E82" t="s">
        <v>362</v>
      </c>
      <c r="F82" t="s">
        <v>649</v>
      </c>
      <c r="G82">
        <v>2013</v>
      </c>
      <c r="H82" t="s">
        <v>36</v>
      </c>
      <c r="I82" t="s">
        <v>6142</v>
      </c>
      <c r="J82" t="s">
        <v>31</v>
      </c>
      <c r="K82" t="s">
        <v>38</v>
      </c>
      <c r="L82" t="s">
        <v>1433</v>
      </c>
      <c r="M82" t="s">
        <v>1434</v>
      </c>
      <c r="N82" t="s">
        <v>3499</v>
      </c>
      <c r="O82" t="s">
        <v>3500</v>
      </c>
      <c r="S82" t="s">
        <v>6143</v>
      </c>
      <c r="T82">
        <v>41.173057999999997</v>
      </c>
      <c r="U82">
        <v>-95.802728999999999</v>
      </c>
      <c r="V82">
        <f>SUM(W82:X82)+(Y82*0.8)+(Z82*0.4)</f>
        <v>429.73</v>
      </c>
      <c r="W82">
        <v>429.73</v>
      </c>
      <c r="X82">
        <v>0</v>
      </c>
      <c r="Y82">
        <v>0</v>
      </c>
      <c r="Z82">
        <v>0</v>
      </c>
      <c r="AA82" t="s">
        <v>43</v>
      </c>
      <c r="AB82">
        <v>429.73</v>
      </c>
      <c r="AD82" t="s">
        <v>6144</v>
      </c>
      <c r="AE82" t="s">
        <v>6145</v>
      </c>
    </row>
    <row r="83" spans="1:31" x14ac:dyDescent="0.25">
      <c r="A83" t="s">
        <v>31</v>
      </c>
      <c r="C83" t="s">
        <v>2983</v>
      </c>
      <c r="D83" t="s">
        <v>2984</v>
      </c>
      <c r="E83" t="s">
        <v>34</v>
      </c>
      <c r="F83" t="s">
        <v>76</v>
      </c>
      <c r="H83" t="s">
        <v>36</v>
      </c>
      <c r="I83" t="s">
        <v>2985</v>
      </c>
      <c r="J83" t="s">
        <v>31</v>
      </c>
      <c r="K83" t="s">
        <v>38</v>
      </c>
      <c r="L83" t="s">
        <v>1457</v>
      </c>
      <c r="M83" t="s">
        <v>1458</v>
      </c>
      <c r="N83" t="s">
        <v>2986</v>
      </c>
      <c r="T83">
        <v>39.103182058999998</v>
      </c>
      <c r="U83">
        <v>-119.150497677</v>
      </c>
      <c r="V83">
        <f>SUM(W83:X83)+(Y83*0.8)+(Z83*0.4)</f>
        <v>420</v>
      </c>
      <c r="W83">
        <v>0</v>
      </c>
      <c r="X83">
        <v>0</v>
      </c>
      <c r="Y83">
        <v>0</v>
      </c>
      <c r="Z83">
        <v>1050</v>
      </c>
      <c r="AA83" t="s">
        <v>43</v>
      </c>
      <c r="AB83">
        <v>0</v>
      </c>
      <c r="AD83" t="s">
        <v>2987</v>
      </c>
      <c r="AE83" t="s">
        <v>2988</v>
      </c>
    </row>
    <row r="84" spans="1:31" x14ac:dyDescent="0.25">
      <c r="A84" t="s">
        <v>31</v>
      </c>
      <c r="C84" t="s">
        <v>10607</v>
      </c>
      <c r="D84" t="s">
        <v>10644</v>
      </c>
      <c r="E84" t="s">
        <v>34</v>
      </c>
      <c r="F84" t="s">
        <v>43</v>
      </c>
      <c r="H84" t="s">
        <v>36</v>
      </c>
      <c r="I84" t="s">
        <v>10645</v>
      </c>
      <c r="J84" t="s">
        <v>31</v>
      </c>
      <c r="K84" t="s">
        <v>38</v>
      </c>
      <c r="L84" t="s">
        <v>242</v>
      </c>
      <c r="M84" t="s">
        <v>243</v>
      </c>
      <c r="N84" t="s">
        <v>8889</v>
      </c>
      <c r="O84" t="s">
        <v>10646</v>
      </c>
      <c r="P84" t="s">
        <v>8891</v>
      </c>
      <c r="T84">
        <v>37.786229401</v>
      </c>
      <c r="U84">
        <v>-77.440465914000001</v>
      </c>
      <c r="V84">
        <f>SUM(W84:X84)+(Y84*0.8)+(Z84*0.4)</f>
        <v>414</v>
      </c>
      <c r="W84">
        <v>0</v>
      </c>
      <c r="X84">
        <v>0</v>
      </c>
      <c r="Y84">
        <v>0</v>
      </c>
      <c r="Z84">
        <v>1035</v>
      </c>
      <c r="AA84" t="s">
        <v>43</v>
      </c>
      <c r="AB84">
        <v>0</v>
      </c>
      <c r="AD84" t="s">
        <v>10647</v>
      </c>
      <c r="AE84" t="s">
        <v>10648</v>
      </c>
    </row>
    <row r="85" spans="1:31" x14ac:dyDescent="0.25">
      <c r="A85" t="s">
        <v>31</v>
      </c>
      <c r="B85" t="s">
        <v>11350</v>
      </c>
      <c r="C85" t="s">
        <v>647</v>
      </c>
      <c r="D85" t="s">
        <v>1283</v>
      </c>
      <c r="E85" t="s">
        <v>362</v>
      </c>
      <c r="F85" t="s">
        <v>649</v>
      </c>
      <c r="G85">
        <v>2026</v>
      </c>
      <c r="H85" t="s">
        <v>36</v>
      </c>
      <c r="I85" t="s">
        <v>1284</v>
      </c>
      <c r="J85" t="s">
        <v>31</v>
      </c>
      <c r="K85" t="s">
        <v>38</v>
      </c>
      <c r="L85" t="s">
        <v>242</v>
      </c>
      <c r="M85" t="s">
        <v>243</v>
      </c>
      <c r="N85" t="s">
        <v>405</v>
      </c>
      <c r="O85" t="s">
        <v>1140</v>
      </c>
      <c r="P85" t="s">
        <v>1285</v>
      </c>
      <c r="T85">
        <v>39.058881720000002</v>
      </c>
      <c r="U85">
        <v>-77.547862432000002</v>
      </c>
      <c r="V85">
        <f>SUM(W85:X85)+(Y85*0.8)+(Z85*0.4)</f>
        <v>413</v>
      </c>
      <c r="W85">
        <v>0</v>
      </c>
      <c r="X85">
        <v>345</v>
      </c>
      <c r="Y85">
        <v>85</v>
      </c>
      <c r="Z85">
        <v>0</v>
      </c>
      <c r="AA85" t="s">
        <v>43</v>
      </c>
      <c r="AB85">
        <v>430</v>
      </c>
      <c r="AD85" t="s">
        <v>1286</v>
      </c>
      <c r="AE85" t="s">
        <v>1287</v>
      </c>
    </row>
    <row r="86" spans="1:31" x14ac:dyDescent="0.25">
      <c r="A86" t="s">
        <v>31</v>
      </c>
      <c r="C86" t="s">
        <v>2862</v>
      </c>
      <c r="D86" t="s">
        <v>2885</v>
      </c>
      <c r="E86" t="s">
        <v>34</v>
      </c>
      <c r="F86" t="s">
        <v>66</v>
      </c>
      <c r="G86">
        <v>2026</v>
      </c>
      <c r="H86" t="s">
        <v>36</v>
      </c>
      <c r="I86" t="s">
        <v>2886</v>
      </c>
      <c r="J86" t="s">
        <v>31</v>
      </c>
      <c r="K86" t="s">
        <v>38</v>
      </c>
      <c r="L86" t="s">
        <v>1146</v>
      </c>
      <c r="M86" t="s">
        <v>1147</v>
      </c>
      <c r="N86" t="s">
        <v>2887</v>
      </c>
      <c r="O86" t="s">
        <v>2885</v>
      </c>
      <c r="P86" t="s">
        <v>2888</v>
      </c>
      <c r="Q86" t="s">
        <v>2889</v>
      </c>
      <c r="T86">
        <v>32.392367864999997</v>
      </c>
      <c r="U86">
        <v>-88.627501546000005</v>
      </c>
      <c r="V86">
        <f>SUM(W86:X86)+(Y86*0.8)+(Z86*0.4)</f>
        <v>412.5</v>
      </c>
      <c r="W86">
        <v>0</v>
      </c>
      <c r="X86">
        <v>62.5</v>
      </c>
      <c r="Y86">
        <v>437.5</v>
      </c>
      <c r="Z86">
        <v>0</v>
      </c>
      <c r="AA86" t="s">
        <v>43</v>
      </c>
      <c r="AB86">
        <v>0</v>
      </c>
      <c r="AD86" t="s">
        <v>2890</v>
      </c>
      <c r="AE86" t="s">
        <v>2891</v>
      </c>
    </row>
    <row r="87" spans="1:31" x14ac:dyDescent="0.25">
      <c r="A87" t="s">
        <v>31</v>
      </c>
      <c r="B87" t="s">
        <v>11350</v>
      </c>
      <c r="C87" t="s">
        <v>6116</v>
      </c>
      <c r="D87" t="s">
        <v>5056</v>
      </c>
      <c r="E87" t="s">
        <v>362</v>
      </c>
      <c r="F87" t="s">
        <v>649</v>
      </c>
      <c r="G87">
        <v>2025</v>
      </c>
      <c r="H87" t="s">
        <v>36</v>
      </c>
      <c r="I87" t="s">
        <v>6202</v>
      </c>
      <c r="J87" t="s">
        <v>31</v>
      </c>
      <c r="K87" t="s">
        <v>38</v>
      </c>
      <c r="L87" t="s">
        <v>1900</v>
      </c>
      <c r="M87" t="s">
        <v>1901</v>
      </c>
      <c r="N87" t="s">
        <v>5058</v>
      </c>
      <c r="O87" t="s">
        <v>5056</v>
      </c>
      <c r="Q87" t="s">
        <v>5060</v>
      </c>
      <c r="S87" t="s">
        <v>5061</v>
      </c>
      <c r="T87">
        <v>39.175843166</v>
      </c>
      <c r="U87">
        <v>-94.460144795000005</v>
      </c>
      <c r="V87">
        <f>SUM(W87:X87)+(Y87*0.8)+(Z87*0.4)</f>
        <v>410.4</v>
      </c>
      <c r="W87">
        <v>0</v>
      </c>
      <c r="X87">
        <v>324</v>
      </c>
      <c r="Y87">
        <v>108</v>
      </c>
      <c r="Z87">
        <v>0</v>
      </c>
      <c r="AA87" t="s">
        <v>43</v>
      </c>
      <c r="AB87">
        <v>432</v>
      </c>
      <c r="AD87" t="s">
        <v>6203</v>
      </c>
      <c r="AE87" t="s">
        <v>6204</v>
      </c>
    </row>
    <row r="88" spans="1:31" x14ac:dyDescent="0.25">
      <c r="A88" t="s">
        <v>31</v>
      </c>
      <c r="C88" t="s">
        <v>9713</v>
      </c>
      <c r="D88" t="s">
        <v>9736</v>
      </c>
      <c r="E88" t="s">
        <v>34</v>
      </c>
      <c r="F88" t="s">
        <v>66</v>
      </c>
      <c r="G88">
        <v>2010</v>
      </c>
      <c r="H88" t="s">
        <v>36</v>
      </c>
      <c r="I88" t="s">
        <v>9737</v>
      </c>
      <c r="J88" t="s">
        <v>31</v>
      </c>
      <c r="K88" t="s">
        <v>38</v>
      </c>
      <c r="L88" t="s">
        <v>68</v>
      </c>
      <c r="M88" t="s">
        <v>69</v>
      </c>
      <c r="N88" t="s">
        <v>1951</v>
      </c>
      <c r="O88" t="s">
        <v>9738</v>
      </c>
      <c r="P88" t="s">
        <v>9739</v>
      </c>
      <c r="T88">
        <v>30.018808293999999</v>
      </c>
      <c r="U88">
        <v>-95.863294686000003</v>
      </c>
      <c r="V88">
        <f>SUM(W88:X88)+(Y88*0.8)+(Z88*0.4)</f>
        <v>410</v>
      </c>
      <c r="W88">
        <v>410</v>
      </c>
      <c r="X88">
        <v>0</v>
      </c>
      <c r="Y88">
        <v>0</v>
      </c>
      <c r="Z88">
        <v>0</v>
      </c>
      <c r="AA88" t="s">
        <v>43</v>
      </c>
      <c r="AB88">
        <v>410</v>
      </c>
      <c r="AC88">
        <v>1.35</v>
      </c>
      <c r="AD88" t="s">
        <v>9740</v>
      </c>
      <c r="AE88" t="s">
        <v>9741</v>
      </c>
    </row>
    <row r="89" spans="1:31" x14ac:dyDescent="0.25">
      <c r="A89" t="s">
        <v>31</v>
      </c>
      <c r="C89" t="s">
        <v>1324</v>
      </c>
      <c r="D89" t="s">
        <v>1325</v>
      </c>
      <c r="E89" t="s">
        <v>34</v>
      </c>
      <c r="F89" t="s">
        <v>66</v>
      </c>
      <c r="G89">
        <v>2028</v>
      </c>
      <c r="H89" t="s">
        <v>411</v>
      </c>
      <c r="I89" t="s">
        <v>1326</v>
      </c>
      <c r="J89" t="s">
        <v>31</v>
      </c>
      <c r="K89" t="s">
        <v>38</v>
      </c>
      <c r="L89" t="s">
        <v>640</v>
      </c>
      <c r="M89" t="s">
        <v>641</v>
      </c>
      <c r="N89" t="s">
        <v>1327</v>
      </c>
      <c r="O89" t="s">
        <v>1328</v>
      </c>
      <c r="P89" t="s">
        <v>1329</v>
      </c>
      <c r="T89">
        <v>38.880528531000003</v>
      </c>
      <c r="U89">
        <v>-82.135421390000005</v>
      </c>
      <c r="V89">
        <f>SUM(W89:X89)+(Y89*0.8)+(Z89*0.4)</f>
        <v>400</v>
      </c>
      <c r="W89">
        <v>0</v>
      </c>
      <c r="X89">
        <v>0</v>
      </c>
      <c r="Y89">
        <v>0</v>
      </c>
      <c r="Z89">
        <v>1000</v>
      </c>
      <c r="AA89" t="s">
        <v>43</v>
      </c>
      <c r="AB89">
        <v>0</v>
      </c>
      <c r="AD89" t="s">
        <v>1330</v>
      </c>
      <c r="AE89" t="s">
        <v>1331</v>
      </c>
    </row>
    <row r="90" spans="1:31" x14ac:dyDescent="0.25">
      <c r="A90" t="s">
        <v>31</v>
      </c>
      <c r="C90" t="s">
        <v>10607</v>
      </c>
      <c r="D90" t="s">
        <v>10640</v>
      </c>
      <c r="E90" t="s">
        <v>34</v>
      </c>
      <c r="F90" t="s">
        <v>66</v>
      </c>
      <c r="H90" t="s">
        <v>36</v>
      </c>
      <c r="J90" t="s">
        <v>31</v>
      </c>
      <c r="K90" t="s">
        <v>38</v>
      </c>
      <c r="L90" t="s">
        <v>1433</v>
      </c>
      <c r="M90" t="s">
        <v>1434</v>
      </c>
      <c r="N90" t="s">
        <v>1711</v>
      </c>
      <c r="O90" t="s">
        <v>5048</v>
      </c>
      <c r="P90" t="s">
        <v>10641</v>
      </c>
      <c r="T90">
        <v>41.681085273999997</v>
      </c>
      <c r="U90">
        <v>-93.540570470999995</v>
      </c>
      <c r="V90">
        <f>SUM(W90:X90)+(Y90*0.8)+(Z90*0.4)</f>
        <v>400</v>
      </c>
      <c r="W90">
        <v>0</v>
      </c>
      <c r="X90">
        <v>0</v>
      </c>
      <c r="Y90">
        <v>0</v>
      </c>
      <c r="Z90">
        <v>1000</v>
      </c>
      <c r="AA90" t="s">
        <v>43</v>
      </c>
      <c r="AB90">
        <v>0</v>
      </c>
      <c r="AD90" t="s">
        <v>10642</v>
      </c>
      <c r="AE90" t="s">
        <v>10643</v>
      </c>
    </row>
    <row r="91" spans="1:31" x14ac:dyDescent="0.25">
      <c r="A91" t="s">
        <v>31</v>
      </c>
      <c r="C91" t="s">
        <v>5181</v>
      </c>
      <c r="D91" t="s">
        <v>5368</v>
      </c>
      <c r="E91" t="s">
        <v>34</v>
      </c>
      <c r="F91" t="s">
        <v>43</v>
      </c>
      <c r="H91" t="s">
        <v>411</v>
      </c>
      <c r="I91" t="s">
        <v>5369</v>
      </c>
      <c r="J91" t="s">
        <v>31</v>
      </c>
      <c r="K91" t="s">
        <v>38</v>
      </c>
      <c r="L91" t="s">
        <v>86</v>
      </c>
      <c r="M91" t="s">
        <v>87</v>
      </c>
      <c r="N91" t="s">
        <v>3402</v>
      </c>
      <c r="O91" t="s">
        <v>5370</v>
      </c>
      <c r="P91" t="s">
        <v>5371</v>
      </c>
      <c r="Q91" t="s">
        <v>5372</v>
      </c>
      <c r="T91">
        <v>41.475399000000003</v>
      </c>
      <c r="U91">
        <v>-88.262364000000005</v>
      </c>
      <c r="V91">
        <f>SUM(W91:X91)+(Y91*0.8)+(Z91*0.4)</f>
        <v>400</v>
      </c>
      <c r="W91">
        <v>0</v>
      </c>
      <c r="X91">
        <v>0</v>
      </c>
      <c r="Y91">
        <v>500</v>
      </c>
      <c r="Z91">
        <v>0</v>
      </c>
      <c r="AA91" t="s">
        <v>43</v>
      </c>
      <c r="AB91">
        <v>500</v>
      </c>
      <c r="AD91" t="s">
        <v>5373</v>
      </c>
      <c r="AE91" t="s">
        <v>5374</v>
      </c>
    </row>
    <row r="92" spans="1:31" x14ac:dyDescent="0.25">
      <c r="A92" t="s">
        <v>31</v>
      </c>
      <c r="C92" t="s">
        <v>1641</v>
      </c>
      <c r="D92" t="s">
        <v>1642</v>
      </c>
      <c r="E92" t="s">
        <v>34</v>
      </c>
      <c r="F92" t="s">
        <v>66</v>
      </c>
      <c r="H92" t="s">
        <v>36</v>
      </c>
      <c r="I92" t="s">
        <v>1643</v>
      </c>
      <c r="J92" t="s">
        <v>31</v>
      </c>
      <c r="K92" t="s">
        <v>38</v>
      </c>
      <c r="L92" t="s">
        <v>843</v>
      </c>
      <c r="M92" t="s">
        <v>1644</v>
      </c>
      <c r="N92" t="s">
        <v>1645</v>
      </c>
      <c r="O92" t="s">
        <v>1646</v>
      </c>
      <c r="P92" t="s">
        <v>1647</v>
      </c>
      <c r="T92">
        <v>46.353788082000001</v>
      </c>
      <c r="U92">
        <v>-119.301257944</v>
      </c>
      <c r="V92">
        <f>SUM(W92:X92)+(Y92*0.8)+(Z92*0.4)</f>
        <v>400</v>
      </c>
      <c r="W92">
        <v>0</v>
      </c>
      <c r="X92">
        <v>0</v>
      </c>
      <c r="Y92">
        <v>0</v>
      </c>
      <c r="Z92">
        <v>1000</v>
      </c>
      <c r="AA92" t="s">
        <v>43</v>
      </c>
      <c r="AB92">
        <v>0</v>
      </c>
      <c r="AD92" t="s">
        <v>1648</v>
      </c>
      <c r="AE92" t="s">
        <v>1649</v>
      </c>
    </row>
    <row r="93" spans="1:31" x14ac:dyDescent="0.25">
      <c r="A93" t="s">
        <v>31</v>
      </c>
      <c r="C93" t="s">
        <v>1523</v>
      </c>
      <c r="D93" t="s">
        <v>1524</v>
      </c>
      <c r="E93" t="s">
        <v>34</v>
      </c>
      <c r="F93" t="s">
        <v>76</v>
      </c>
      <c r="H93" t="s">
        <v>411</v>
      </c>
      <c r="I93" t="s">
        <v>1525</v>
      </c>
      <c r="J93" t="s">
        <v>31</v>
      </c>
      <c r="K93" t="s">
        <v>38</v>
      </c>
      <c r="L93" t="s">
        <v>326</v>
      </c>
      <c r="M93" t="s">
        <v>327</v>
      </c>
      <c r="N93" t="s">
        <v>328</v>
      </c>
      <c r="O93" t="s">
        <v>1526</v>
      </c>
      <c r="P93" t="s">
        <v>1527</v>
      </c>
      <c r="T93">
        <v>33.497</v>
      </c>
      <c r="U93">
        <v>-112.78100000000001</v>
      </c>
      <c r="V93">
        <f>SUM(W93:X93)+(Y93*0.8)+(Z93*0.4)</f>
        <v>400</v>
      </c>
      <c r="W93">
        <v>0</v>
      </c>
      <c r="X93">
        <v>0</v>
      </c>
      <c r="Y93">
        <v>0</v>
      </c>
      <c r="Z93">
        <v>1000</v>
      </c>
      <c r="AA93" t="s">
        <v>43</v>
      </c>
      <c r="AB93">
        <v>0</v>
      </c>
      <c r="AD93" t="s">
        <v>1528</v>
      </c>
      <c r="AE93" t="s">
        <v>1529</v>
      </c>
    </row>
    <row r="94" spans="1:31" x14ac:dyDescent="0.25">
      <c r="A94" t="s">
        <v>31</v>
      </c>
      <c r="C94" t="s">
        <v>2989</v>
      </c>
      <c r="D94" t="s">
        <v>2990</v>
      </c>
      <c r="E94" t="s">
        <v>34</v>
      </c>
      <c r="F94" t="s">
        <v>66</v>
      </c>
      <c r="H94" t="s">
        <v>36</v>
      </c>
      <c r="I94" t="s">
        <v>1115</v>
      </c>
      <c r="J94" t="s">
        <v>31</v>
      </c>
      <c r="K94" t="s">
        <v>38</v>
      </c>
      <c r="L94" t="s">
        <v>1433</v>
      </c>
      <c r="M94" t="s">
        <v>1434</v>
      </c>
      <c r="N94" t="s">
        <v>297</v>
      </c>
      <c r="O94" t="s">
        <v>2991</v>
      </c>
      <c r="P94" t="s">
        <v>2992</v>
      </c>
      <c r="T94">
        <v>41.538185708</v>
      </c>
      <c r="U94">
        <v>-93.936753190999994</v>
      </c>
      <c r="V94">
        <f>SUM(W94:X94)+(Y94*0.8)+(Z94*0.4)</f>
        <v>399.6</v>
      </c>
      <c r="W94">
        <v>0</v>
      </c>
      <c r="X94">
        <v>0</v>
      </c>
      <c r="Y94">
        <v>0</v>
      </c>
      <c r="Z94">
        <v>999</v>
      </c>
      <c r="AA94" t="s">
        <v>43</v>
      </c>
      <c r="AB94">
        <v>0</v>
      </c>
      <c r="AD94" t="s">
        <v>2993</v>
      </c>
      <c r="AE94" t="s">
        <v>2994</v>
      </c>
    </row>
    <row r="95" spans="1:31" x14ac:dyDescent="0.25">
      <c r="A95" t="s">
        <v>31</v>
      </c>
      <c r="C95" t="s">
        <v>9886</v>
      </c>
      <c r="D95" t="s">
        <v>9935</v>
      </c>
      <c r="E95" t="s">
        <v>34</v>
      </c>
      <c r="F95" t="s">
        <v>66</v>
      </c>
      <c r="G95">
        <v>2023</v>
      </c>
      <c r="H95" t="s">
        <v>36</v>
      </c>
      <c r="I95" t="s">
        <v>9936</v>
      </c>
      <c r="J95" t="s">
        <v>31</v>
      </c>
      <c r="K95" t="s">
        <v>38</v>
      </c>
      <c r="L95" t="s">
        <v>242</v>
      </c>
      <c r="M95" t="s">
        <v>243</v>
      </c>
      <c r="N95" t="s">
        <v>509</v>
      </c>
      <c r="O95" t="s">
        <v>510</v>
      </c>
      <c r="P95" t="s">
        <v>511</v>
      </c>
      <c r="T95">
        <v>38.74481162</v>
      </c>
      <c r="U95">
        <v>-77.534766132000001</v>
      </c>
      <c r="V95">
        <f>SUM(W95:X95)+(Y95*0.8)+(Z95*0.4)</f>
        <v>390.7</v>
      </c>
      <c r="W95">
        <v>197.5</v>
      </c>
      <c r="X95">
        <v>66</v>
      </c>
      <c r="Y95">
        <v>159</v>
      </c>
      <c r="Z95">
        <v>0</v>
      </c>
      <c r="AA95" t="s">
        <v>43</v>
      </c>
      <c r="AB95">
        <v>422.5</v>
      </c>
      <c r="AD95" t="s">
        <v>9937</v>
      </c>
      <c r="AE95" t="s">
        <v>9938</v>
      </c>
    </row>
    <row r="96" spans="1:31" x14ac:dyDescent="0.25">
      <c r="A96" t="s">
        <v>31</v>
      </c>
      <c r="B96" t="s">
        <v>11350</v>
      </c>
      <c r="C96" t="s">
        <v>647</v>
      </c>
      <c r="D96" t="s">
        <v>1185</v>
      </c>
      <c r="E96" t="s">
        <v>362</v>
      </c>
      <c r="F96" t="s">
        <v>649</v>
      </c>
      <c r="H96" t="s">
        <v>36</v>
      </c>
      <c r="I96" t="s">
        <v>1186</v>
      </c>
      <c r="J96" t="s">
        <v>31</v>
      </c>
      <c r="K96" t="s">
        <v>38</v>
      </c>
      <c r="L96" t="s">
        <v>242</v>
      </c>
      <c r="M96" t="s">
        <v>243</v>
      </c>
      <c r="N96" t="s">
        <v>969</v>
      </c>
      <c r="T96">
        <v>37.980491663000002</v>
      </c>
      <c r="U96">
        <v>-77.951131738000001</v>
      </c>
      <c r="V96">
        <f>SUM(W96:X96)+(Y96*0.8)+(Z96*0.4)</f>
        <v>390</v>
      </c>
      <c r="W96">
        <v>0</v>
      </c>
      <c r="X96">
        <v>0</v>
      </c>
      <c r="Y96">
        <v>0</v>
      </c>
      <c r="Z96">
        <v>975</v>
      </c>
      <c r="AA96" t="s">
        <v>43</v>
      </c>
      <c r="AB96">
        <v>0</v>
      </c>
      <c r="AD96" t="s">
        <v>1187</v>
      </c>
      <c r="AE96" t="s">
        <v>1188</v>
      </c>
    </row>
    <row r="97" spans="1:31" x14ac:dyDescent="0.25">
      <c r="A97" t="s">
        <v>31</v>
      </c>
      <c r="B97" t="s">
        <v>11350</v>
      </c>
      <c r="C97" t="s">
        <v>647</v>
      </c>
      <c r="D97" t="s">
        <v>1279</v>
      </c>
      <c r="E97" t="s">
        <v>362</v>
      </c>
      <c r="F97" t="s">
        <v>649</v>
      </c>
      <c r="H97" t="s">
        <v>36</v>
      </c>
      <c r="I97" t="s">
        <v>1280</v>
      </c>
      <c r="J97" t="s">
        <v>31</v>
      </c>
      <c r="K97" t="s">
        <v>38</v>
      </c>
      <c r="L97" t="s">
        <v>242</v>
      </c>
      <c r="M97" t="s">
        <v>243</v>
      </c>
      <c r="N97" t="s">
        <v>940</v>
      </c>
      <c r="O97" t="s">
        <v>951</v>
      </c>
      <c r="P97" t="s">
        <v>942</v>
      </c>
      <c r="T97">
        <v>38.192957632000002</v>
      </c>
      <c r="U97">
        <v>-77.438799970999995</v>
      </c>
      <c r="V97">
        <f>SUM(W97:X97)+(Y97*0.8)+(Z97*0.4)</f>
        <v>389.6</v>
      </c>
      <c r="W97">
        <v>0</v>
      </c>
      <c r="X97">
        <v>0</v>
      </c>
      <c r="Y97">
        <v>487</v>
      </c>
      <c r="Z97">
        <v>0</v>
      </c>
      <c r="AA97" t="s">
        <v>43</v>
      </c>
      <c r="AB97">
        <v>487</v>
      </c>
      <c r="AD97" t="s">
        <v>1281</v>
      </c>
      <c r="AE97" t="s">
        <v>1282</v>
      </c>
    </row>
    <row r="98" spans="1:31" x14ac:dyDescent="0.25">
      <c r="A98" t="s">
        <v>31</v>
      </c>
      <c r="B98" t="s">
        <v>11350</v>
      </c>
      <c r="C98" t="s">
        <v>7857</v>
      </c>
      <c r="D98" t="s">
        <v>7858</v>
      </c>
      <c r="E98" t="s">
        <v>362</v>
      </c>
      <c r="F98" t="s">
        <v>649</v>
      </c>
      <c r="H98" t="s">
        <v>36</v>
      </c>
      <c r="I98" t="s">
        <v>7859</v>
      </c>
      <c r="J98" t="s">
        <v>31</v>
      </c>
      <c r="K98" t="s">
        <v>38</v>
      </c>
      <c r="L98" t="s">
        <v>242</v>
      </c>
      <c r="M98" t="s">
        <v>243</v>
      </c>
      <c r="N98" t="s">
        <v>509</v>
      </c>
      <c r="O98" t="s">
        <v>1290</v>
      </c>
      <c r="P98" t="s">
        <v>1291</v>
      </c>
      <c r="T98">
        <v>38.794498341000001</v>
      </c>
      <c r="U98">
        <v>-77.584915487000004</v>
      </c>
      <c r="V98">
        <f>SUM(W98:X98)+(Y98*0.8)+(Z98*0.4)</f>
        <v>388</v>
      </c>
      <c r="W98">
        <v>0</v>
      </c>
      <c r="X98">
        <v>0</v>
      </c>
      <c r="Y98">
        <v>0</v>
      </c>
      <c r="Z98">
        <v>970</v>
      </c>
      <c r="AA98" t="s">
        <v>43</v>
      </c>
      <c r="AB98">
        <v>0</v>
      </c>
      <c r="AD98" t="s">
        <v>7860</v>
      </c>
      <c r="AE98" t="s">
        <v>7861</v>
      </c>
    </row>
    <row r="99" spans="1:31" x14ac:dyDescent="0.25">
      <c r="A99" t="s">
        <v>31</v>
      </c>
      <c r="C99" t="s">
        <v>9524</v>
      </c>
      <c r="D99" t="s">
        <v>9536</v>
      </c>
      <c r="E99" t="s">
        <v>34</v>
      </c>
      <c r="F99" t="s">
        <v>66</v>
      </c>
      <c r="G99">
        <v>2022</v>
      </c>
      <c r="H99" t="s">
        <v>36</v>
      </c>
      <c r="I99" t="s">
        <v>9537</v>
      </c>
      <c r="J99" t="s">
        <v>31</v>
      </c>
      <c r="K99" t="s">
        <v>38</v>
      </c>
      <c r="L99" t="s">
        <v>68</v>
      </c>
      <c r="M99" t="s">
        <v>69</v>
      </c>
      <c r="N99" t="s">
        <v>7825</v>
      </c>
      <c r="O99" t="s">
        <v>7823</v>
      </c>
      <c r="P99" t="s">
        <v>9538</v>
      </c>
      <c r="T99">
        <v>31.056311517000001</v>
      </c>
      <c r="U99">
        <v>-97.298825411999999</v>
      </c>
      <c r="V99">
        <f>SUM(W99:X99)+(Y99*0.8)+(Z99*0.4)</f>
        <v>380</v>
      </c>
      <c r="W99">
        <v>300</v>
      </c>
      <c r="X99">
        <v>0</v>
      </c>
      <c r="Y99">
        <v>0</v>
      </c>
      <c r="Z99">
        <v>200</v>
      </c>
      <c r="AA99" t="s">
        <v>43</v>
      </c>
      <c r="AB99">
        <v>300</v>
      </c>
      <c r="AD99" t="s">
        <v>9539</v>
      </c>
      <c r="AE99" t="s">
        <v>9540</v>
      </c>
    </row>
    <row r="100" spans="1:31" x14ac:dyDescent="0.25">
      <c r="A100" t="s">
        <v>31</v>
      </c>
      <c r="B100" t="s">
        <v>11350</v>
      </c>
      <c r="C100" t="s">
        <v>647</v>
      </c>
      <c r="D100" t="s">
        <v>949</v>
      </c>
      <c r="E100" t="s">
        <v>362</v>
      </c>
      <c r="F100" t="s">
        <v>649</v>
      </c>
      <c r="G100">
        <v>2026</v>
      </c>
      <c r="H100" t="s">
        <v>36</v>
      </c>
      <c r="I100" t="s">
        <v>950</v>
      </c>
      <c r="J100" t="s">
        <v>31</v>
      </c>
      <c r="K100" t="s">
        <v>38</v>
      </c>
      <c r="L100" t="s">
        <v>242</v>
      </c>
      <c r="M100" t="s">
        <v>243</v>
      </c>
      <c r="N100" t="s">
        <v>940</v>
      </c>
      <c r="O100" t="s">
        <v>951</v>
      </c>
      <c r="P100" t="s">
        <v>942</v>
      </c>
      <c r="T100">
        <v>38.201686604999999</v>
      </c>
      <c r="U100">
        <v>-77.476591858999996</v>
      </c>
      <c r="V100">
        <f>SUM(W100:X100)+(Y100*0.8)+(Z100*0.4)</f>
        <v>372.40000000000003</v>
      </c>
      <c r="W100">
        <v>0</v>
      </c>
      <c r="X100">
        <v>62</v>
      </c>
      <c r="Y100">
        <v>388</v>
      </c>
      <c r="Z100">
        <v>0</v>
      </c>
      <c r="AA100" t="s">
        <v>43</v>
      </c>
      <c r="AB100">
        <v>450</v>
      </c>
      <c r="AD100" t="s">
        <v>952</v>
      </c>
      <c r="AE100" t="s">
        <v>953</v>
      </c>
    </row>
    <row r="101" spans="1:31" x14ac:dyDescent="0.25">
      <c r="A101" t="s">
        <v>31</v>
      </c>
      <c r="C101" t="s">
        <v>6508</v>
      </c>
      <c r="D101" t="s">
        <v>6509</v>
      </c>
      <c r="E101" t="s">
        <v>34</v>
      </c>
      <c r="F101" t="s">
        <v>43</v>
      </c>
      <c r="G101">
        <v>2033</v>
      </c>
      <c r="H101" t="s">
        <v>36</v>
      </c>
      <c r="I101" t="s">
        <v>6510</v>
      </c>
      <c r="J101" t="s">
        <v>31</v>
      </c>
      <c r="K101" t="s">
        <v>38</v>
      </c>
      <c r="L101" t="s">
        <v>185</v>
      </c>
      <c r="M101" t="s">
        <v>186</v>
      </c>
      <c r="N101" t="s">
        <v>4804</v>
      </c>
      <c r="O101" t="s">
        <v>5192</v>
      </c>
      <c r="P101" t="s">
        <v>6511</v>
      </c>
      <c r="T101">
        <v>33.386311348</v>
      </c>
      <c r="U101">
        <v>-84.348266821999999</v>
      </c>
      <c r="V101">
        <f>SUM(W101:X101)+(Y101*0.8)+(Z101*0.4)</f>
        <v>368</v>
      </c>
      <c r="W101">
        <v>0</v>
      </c>
      <c r="X101">
        <v>0</v>
      </c>
      <c r="Y101">
        <v>0</v>
      </c>
      <c r="Z101">
        <v>920</v>
      </c>
      <c r="AA101" t="s">
        <v>43</v>
      </c>
      <c r="AB101">
        <v>0</v>
      </c>
      <c r="AD101" t="s">
        <v>6512</v>
      </c>
      <c r="AE101" t="s">
        <v>6513</v>
      </c>
    </row>
    <row r="102" spans="1:31" x14ac:dyDescent="0.25">
      <c r="A102" t="s">
        <v>31</v>
      </c>
      <c r="C102" t="s">
        <v>2862</v>
      </c>
      <c r="D102" t="s">
        <v>2898</v>
      </c>
      <c r="E102" t="s">
        <v>34</v>
      </c>
      <c r="F102" t="s">
        <v>66</v>
      </c>
      <c r="G102">
        <v>2020</v>
      </c>
      <c r="H102" t="s">
        <v>36</v>
      </c>
      <c r="I102" t="s">
        <v>2899</v>
      </c>
      <c r="J102" t="s">
        <v>31</v>
      </c>
      <c r="K102" t="s">
        <v>38</v>
      </c>
      <c r="L102" t="s">
        <v>68</v>
      </c>
      <c r="M102" t="s">
        <v>69</v>
      </c>
      <c r="N102" t="s">
        <v>2900</v>
      </c>
      <c r="O102" t="s">
        <v>2901</v>
      </c>
      <c r="P102" t="s">
        <v>2902</v>
      </c>
      <c r="T102">
        <v>32.538928730999999</v>
      </c>
      <c r="U102">
        <v>-96.804331336000004</v>
      </c>
      <c r="V102">
        <f>SUM(W102:X102)+(Y102*0.8)+(Z102*0.4)</f>
        <v>364</v>
      </c>
      <c r="W102">
        <v>238</v>
      </c>
      <c r="X102">
        <v>126</v>
      </c>
      <c r="Y102">
        <v>0</v>
      </c>
      <c r="Z102">
        <v>0</v>
      </c>
      <c r="AA102" t="s">
        <v>43</v>
      </c>
      <c r="AB102">
        <v>357</v>
      </c>
      <c r="AD102" t="s">
        <v>2903</v>
      </c>
      <c r="AE102" t="s">
        <v>2904</v>
      </c>
    </row>
    <row r="103" spans="1:31" x14ac:dyDescent="0.25">
      <c r="A103" t="s">
        <v>31</v>
      </c>
      <c r="C103" t="s">
        <v>4741</v>
      </c>
      <c r="D103" t="s">
        <v>4742</v>
      </c>
      <c r="E103" t="s">
        <v>34</v>
      </c>
      <c r="F103" t="s">
        <v>66</v>
      </c>
      <c r="H103" t="s">
        <v>36</v>
      </c>
      <c r="I103" t="s">
        <v>4743</v>
      </c>
      <c r="J103" t="s">
        <v>31</v>
      </c>
      <c r="K103" t="s">
        <v>38</v>
      </c>
      <c r="L103" t="s">
        <v>185</v>
      </c>
      <c r="M103" t="s">
        <v>186</v>
      </c>
      <c r="N103" t="s">
        <v>4742</v>
      </c>
      <c r="P103" t="s">
        <v>4744</v>
      </c>
      <c r="T103">
        <v>32.581112689000001</v>
      </c>
      <c r="U103">
        <v>-83.486142014999999</v>
      </c>
      <c r="V103">
        <f>SUM(W103:X103)+(Y103*0.8)+(Z103*0.4)</f>
        <v>360</v>
      </c>
      <c r="W103">
        <v>0</v>
      </c>
      <c r="X103">
        <v>0</v>
      </c>
      <c r="Y103">
        <v>0</v>
      </c>
      <c r="Z103">
        <v>900</v>
      </c>
      <c r="AA103" t="s">
        <v>43</v>
      </c>
      <c r="AB103">
        <v>0</v>
      </c>
      <c r="AD103" t="s">
        <v>4745</v>
      </c>
      <c r="AE103" t="s">
        <v>4746</v>
      </c>
    </row>
    <row r="104" spans="1:31" x14ac:dyDescent="0.25">
      <c r="A104" t="s">
        <v>31</v>
      </c>
      <c r="C104" t="s">
        <v>2706</v>
      </c>
      <c r="D104" t="s">
        <v>2732</v>
      </c>
      <c r="E104" t="s">
        <v>34</v>
      </c>
      <c r="F104" t="s">
        <v>66</v>
      </c>
      <c r="H104" t="s">
        <v>36</v>
      </c>
      <c r="I104" t="s">
        <v>2733</v>
      </c>
      <c r="J104" t="s">
        <v>31</v>
      </c>
      <c r="K104" t="s">
        <v>38</v>
      </c>
      <c r="L104" t="s">
        <v>317</v>
      </c>
      <c r="M104" t="s">
        <v>318</v>
      </c>
      <c r="N104" t="s">
        <v>584</v>
      </c>
      <c r="O104" t="s">
        <v>1177</v>
      </c>
      <c r="P104" t="s">
        <v>1171</v>
      </c>
      <c r="T104">
        <v>40.136554744999998</v>
      </c>
      <c r="U104">
        <v>-82.715053648999998</v>
      </c>
      <c r="V104">
        <f>SUM(W104:X104)+(Y104*0.8)+(Z104*0.4)</f>
        <v>360</v>
      </c>
      <c r="W104">
        <v>0</v>
      </c>
      <c r="X104">
        <v>0</v>
      </c>
      <c r="Y104">
        <v>100</v>
      </c>
      <c r="Z104">
        <v>700</v>
      </c>
      <c r="AA104" t="s">
        <v>43</v>
      </c>
      <c r="AB104">
        <v>0</v>
      </c>
      <c r="AD104" t="s">
        <v>2734</v>
      </c>
      <c r="AE104" t="s">
        <v>2735</v>
      </c>
    </row>
    <row r="105" spans="1:31" x14ac:dyDescent="0.25">
      <c r="A105" t="s">
        <v>31</v>
      </c>
      <c r="C105" t="s">
        <v>1942</v>
      </c>
      <c r="D105" t="s">
        <v>1943</v>
      </c>
      <c r="E105" t="s">
        <v>34</v>
      </c>
      <c r="F105" t="s">
        <v>66</v>
      </c>
      <c r="H105" t="s">
        <v>36</v>
      </c>
      <c r="I105" t="s">
        <v>1944</v>
      </c>
      <c r="J105" t="s">
        <v>31</v>
      </c>
      <c r="K105" t="s">
        <v>38</v>
      </c>
      <c r="L105" t="s">
        <v>202</v>
      </c>
      <c r="M105" t="s">
        <v>203</v>
      </c>
      <c r="N105" t="s">
        <v>1711</v>
      </c>
      <c r="O105" t="s">
        <v>1943</v>
      </c>
      <c r="P105" t="s">
        <v>1945</v>
      </c>
      <c r="T105">
        <v>27.786390464</v>
      </c>
      <c r="U105">
        <v>-81.821222262000006</v>
      </c>
      <c r="V105">
        <f>SUM(W105:X105)+(Y105*0.8)+(Z105*0.4)</f>
        <v>358.40000000000003</v>
      </c>
      <c r="W105">
        <v>0</v>
      </c>
      <c r="X105">
        <v>0</v>
      </c>
      <c r="Y105">
        <v>448</v>
      </c>
      <c r="Z105">
        <v>0</v>
      </c>
      <c r="AA105" t="s">
        <v>43</v>
      </c>
      <c r="AB105">
        <v>0</v>
      </c>
      <c r="AD105" t="s">
        <v>1946</v>
      </c>
      <c r="AE105" t="s">
        <v>1947</v>
      </c>
    </row>
    <row r="106" spans="1:31" x14ac:dyDescent="0.25">
      <c r="A106" t="s">
        <v>31</v>
      </c>
      <c r="B106" t="s">
        <v>11350</v>
      </c>
      <c r="C106" t="s">
        <v>7684</v>
      </c>
      <c r="D106" t="s">
        <v>4065</v>
      </c>
      <c r="E106" t="s">
        <v>362</v>
      </c>
      <c r="F106" t="s">
        <v>7686</v>
      </c>
      <c r="G106">
        <v>2021</v>
      </c>
      <c r="H106" t="s">
        <v>36</v>
      </c>
      <c r="I106" t="s">
        <v>7734</v>
      </c>
      <c r="J106" t="s">
        <v>31</v>
      </c>
      <c r="K106" t="s">
        <v>38</v>
      </c>
      <c r="L106" t="s">
        <v>1883</v>
      </c>
      <c r="M106" t="s">
        <v>1884</v>
      </c>
      <c r="N106" t="s">
        <v>1144</v>
      </c>
      <c r="O106" t="s">
        <v>4065</v>
      </c>
      <c r="P106" t="s">
        <v>7735</v>
      </c>
      <c r="T106">
        <v>34.842385440000001</v>
      </c>
      <c r="U106">
        <v>-86.629670293999993</v>
      </c>
      <c r="V106">
        <f>SUM(W106:X106)+(Y106*0.8)+(Z106*0.4)</f>
        <v>355.2</v>
      </c>
      <c r="W106">
        <v>144</v>
      </c>
      <c r="X106">
        <v>211.2</v>
      </c>
      <c r="Y106">
        <v>0</v>
      </c>
      <c r="Z106">
        <v>0</v>
      </c>
      <c r="AA106" t="s">
        <v>43</v>
      </c>
      <c r="AB106">
        <v>355.2</v>
      </c>
      <c r="AD106" t="s">
        <v>7736</v>
      </c>
      <c r="AE106" t="s">
        <v>7737</v>
      </c>
    </row>
    <row r="107" spans="1:31" x14ac:dyDescent="0.25">
      <c r="A107" t="s">
        <v>31</v>
      </c>
      <c r="C107" t="s">
        <v>1463</v>
      </c>
      <c r="D107" t="s">
        <v>1478</v>
      </c>
      <c r="E107" t="s">
        <v>34</v>
      </c>
      <c r="F107" t="s">
        <v>76</v>
      </c>
      <c r="G107">
        <v>2025</v>
      </c>
      <c r="H107" t="s">
        <v>36</v>
      </c>
      <c r="I107" t="s">
        <v>1479</v>
      </c>
      <c r="J107" t="s">
        <v>31</v>
      </c>
      <c r="K107" t="s">
        <v>38</v>
      </c>
      <c r="L107" t="s">
        <v>353</v>
      </c>
      <c r="M107" t="s">
        <v>354</v>
      </c>
      <c r="N107" t="s">
        <v>1480</v>
      </c>
      <c r="O107" t="s">
        <v>1481</v>
      </c>
      <c r="P107" t="s">
        <v>1482</v>
      </c>
      <c r="T107">
        <v>46.008621316999999</v>
      </c>
      <c r="U107">
        <v>-98.569654592000006</v>
      </c>
      <c r="V107">
        <f>SUM(W107:X107)+(Y107*0.8)+(Z107*0.4)</f>
        <v>355</v>
      </c>
      <c r="W107">
        <v>50</v>
      </c>
      <c r="X107">
        <v>125</v>
      </c>
      <c r="Y107">
        <v>225</v>
      </c>
      <c r="Z107">
        <v>0</v>
      </c>
      <c r="AA107" t="s">
        <v>43</v>
      </c>
      <c r="AB107">
        <v>400</v>
      </c>
      <c r="AC107">
        <v>1.18</v>
      </c>
      <c r="AD107" t="s">
        <v>1483</v>
      </c>
      <c r="AE107" t="s">
        <v>1484</v>
      </c>
    </row>
    <row r="108" spans="1:31" x14ac:dyDescent="0.25">
      <c r="A108" t="s">
        <v>31</v>
      </c>
      <c r="B108" t="s">
        <v>11350</v>
      </c>
      <c r="C108" t="s">
        <v>7684</v>
      </c>
      <c r="D108" t="s">
        <v>1449</v>
      </c>
      <c r="E108" t="s">
        <v>362</v>
      </c>
      <c r="F108" t="s">
        <v>7686</v>
      </c>
      <c r="G108">
        <v>2011</v>
      </c>
      <c r="H108" t="s">
        <v>36</v>
      </c>
      <c r="I108" t="s">
        <v>7779</v>
      </c>
      <c r="J108" t="s">
        <v>31</v>
      </c>
      <c r="K108" t="s">
        <v>38</v>
      </c>
      <c r="L108" t="s">
        <v>133</v>
      </c>
      <c r="M108" t="s">
        <v>134</v>
      </c>
      <c r="N108" t="s">
        <v>1451</v>
      </c>
      <c r="O108" t="s">
        <v>1449</v>
      </c>
      <c r="P108" t="s">
        <v>7780</v>
      </c>
      <c r="T108">
        <v>44.293641000000001</v>
      </c>
      <c r="U108">
        <v>-120.883225</v>
      </c>
      <c r="V108">
        <f>SUM(W108:X108)+(Y108*0.8)+(Z108*0.4)</f>
        <v>344</v>
      </c>
      <c r="W108">
        <v>344</v>
      </c>
      <c r="X108">
        <v>0</v>
      </c>
      <c r="Y108">
        <v>0</v>
      </c>
      <c r="Z108">
        <v>0</v>
      </c>
      <c r="AA108" t="s">
        <v>43</v>
      </c>
      <c r="AB108">
        <v>344</v>
      </c>
      <c r="AC108">
        <v>1</v>
      </c>
      <c r="AD108" t="s">
        <v>7781</v>
      </c>
      <c r="AE108" t="s">
        <v>7782</v>
      </c>
    </row>
    <row r="109" spans="1:31" x14ac:dyDescent="0.25">
      <c r="A109" t="s">
        <v>31</v>
      </c>
      <c r="B109" t="s">
        <v>11350</v>
      </c>
      <c r="C109" t="s">
        <v>7857</v>
      </c>
      <c r="D109" t="s">
        <v>7937</v>
      </c>
      <c r="E109" t="s">
        <v>362</v>
      </c>
      <c r="F109" t="s">
        <v>363</v>
      </c>
      <c r="G109">
        <v>2025</v>
      </c>
      <c r="H109" t="s">
        <v>36</v>
      </c>
      <c r="I109" t="s">
        <v>7938</v>
      </c>
      <c r="J109" t="s">
        <v>31</v>
      </c>
      <c r="K109" t="s">
        <v>38</v>
      </c>
      <c r="L109" t="s">
        <v>112</v>
      </c>
      <c r="M109" t="s">
        <v>113</v>
      </c>
      <c r="N109" t="s">
        <v>7939</v>
      </c>
      <c r="O109" t="s">
        <v>7940</v>
      </c>
      <c r="Q109" t="s">
        <v>7940</v>
      </c>
      <c r="T109">
        <v>42.675181496999997</v>
      </c>
      <c r="U109">
        <v>-87.900955480999997</v>
      </c>
      <c r="V109">
        <f>SUM(W109:X109)+(Y109*0.8)+(Z109*0.4)</f>
        <v>337.60199999999998</v>
      </c>
      <c r="W109">
        <v>168.80099999999999</v>
      </c>
      <c r="X109">
        <v>168.80099999999999</v>
      </c>
      <c r="Y109">
        <v>0</v>
      </c>
      <c r="Z109">
        <v>0</v>
      </c>
      <c r="AA109" t="s">
        <v>43</v>
      </c>
      <c r="AB109">
        <v>337.60199999999998</v>
      </c>
      <c r="AD109" t="s">
        <v>7941</v>
      </c>
      <c r="AE109" t="s">
        <v>7942</v>
      </c>
    </row>
    <row r="110" spans="1:31" x14ac:dyDescent="0.25">
      <c r="A110" t="s">
        <v>31</v>
      </c>
      <c r="B110" t="s">
        <v>11350</v>
      </c>
      <c r="C110" t="s">
        <v>6116</v>
      </c>
      <c r="D110" t="s">
        <v>6170</v>
      </c>
      <c r="E110" t="s">
        <v>362</v>
      </c>
      <c r="F110" t="s">
        <v>649</v>
      </c>
      <c r="G110">
        <v>2024</v>
      </c>
      <c r="H110" t="s">
        <v>36</v>
      </c>
      <c r="I110" t="s">
        <v>6171</v>
      </c>
      <c r="J110" t="s">
        <v>31</v>
      </c>
      <c r="K110" t="s">
        <v>38</v>
      </c>
      <c r="L110" t="s">
        <v>317</v>
      </c>
      <c r="M110" t="s">
        <v>318</v>
      </c>
      <c r="N110" t="s">
        <v>665</v>
      </c>
      <c r="O110" t="s">
        <v>6172</v>
      </c>
      <c r="P110" t="s">
        <v>6173</v>
      </c>
      <c r="Q110" t="s">
        <v>668</v>
      </c>
      <c r="S110" t="s">
        <v>6174</v>
      </c>
      <c r="T110">
        <v>39.849556704999998</v>
      </c>
      <c r="U110">
        <v>-82.995649333000003</v>
      </c>
      <c r="V110">
        <f>SUM(W110:X110)+(Y110*0.8)+(Z110*0.4)</f>
        <v>336</v>
      </c>
      <c r="W110">
        <v>168</v>
      </c>
      <c r="X110">
        <v>168</v>
      </c>
      <c r="Y110">
        <v>0</v>
      </c>
      <c r="Z110">
        <v>0</v>
      </c>
      <c r="AA110" t="s">
        <v>43</v>
      </c>
      <c r="AB110">
        <v>336</v>
      </c>
      <c r="AD110" t="s">
        <v>6175</v>
      </c>
      <c r="AE110" t="s">
        <v>6176</v>
      </c>
    </row>
    <row r="111" spans="1:31" x14ac:dyDescent="0.25">
      <c r="A111" t="s">
        <v>31</v>
      </c>
      <c r="C111" t="s">
        <v>2535</v>
      </c>
      <c r="D111" t="s">
        <v>2562</v>
      </c>
      <c r="E111" t="s">
        <v>34</v>
      </c>
      <c r="F111" t="s">
        <v>66</v>
      </c>
      <c r="G111">
        <v>2017</v>
      </c>
      <c r="H111" t="s">
        <v>36</v>
      </c>
      <c r="I111" t="s">
        <v>2563</v>
      </c>
      <c r="J111" t="s">
        <v>31</v>
      </c>
      <c r="K111" t="s">
        <v>38</v>
      </c>
      <c r="L111" t="s">
        <v>242</v>
      </c>
      <c r="M111" t="s">
        <v>243</v>
      </c>
      <c r="N111" t="s">
        <v>509</v>
      </c>
      <c r="P111" t="s">
        <v>2564</v>
      </c>
      <c r="Q111" t="s">
        <v>2565</v>
      </c>
      <c r="T111">
        <v>38.716703000000003</v>
      </c>
      <c r="U111">
        <v>-77.500120999999993</v>
      </c>
      <c r="V111">
        <f>SUM(W111:X111)+(Y111*0.8)+(Z111*0.4)</f>
        <v>330.4</v>
      </c>
      <c r="W111">
        <v>125.6</v>
      </c>
      <c r="X111">
        <v>0</v>
      </c>
      <c r="Y111">
        <v>256</v>
      </c>
      <c r="Z111">
        <v>0</v>
      </c>
      <c r="AA111" t="s">
        <v>43</v>
      </c>
      <c r="AB111">
        <v>245.6</v>
      </c>
      <c r="AD111" t="s">
        <v>2566</v>
      </c>
      <c r="AE111" t="s">
        <v>2567</v>
      </c>
    </row>
    <row r="112" spans="1:31" x14ac:dyDescent="0.25">
      <c r="A112" t="s">
        <v>31</v>
      </c>
      <c r="C112" t="s">
        <v>506</v>
      </c>
      <c r="D112" t="s">
        <v>618</v>
      </c>
      <c r="E112" t="s">
        <v>34</v>
      </c>
      <c r="F112" t="s">
        <v>66</v>
      </c>
      <c r="G112">
        <v>2018</v>
      </c>
      <c r="H112" t="s">
        <v>36</v>
      </c>
      <c r="I112" t="s">
        <v>619</v>
      </c>
      <c r="J112" t="s">
        <v>31</v>
      </c>
      <c r="K112" t="s">
        <v>38</v>
      </c>
      <c r="L112" t="s">
        <v>620</v>
      </c>
      <c r="M112" t="s">
        <v>621</v>
      </c>
      <c r="N112" t="s">
        <v>622</v>
      </c>
      <c r="O112" t="s">
        <v>623</v>
      </c>
      <c r="P112" t="s">
        <v>624</v>
      </c>
      <c r="Q112" t="s">
        <v>625</v>
      </c>
      <c r="T112">
        <v>40.585934999999999</v>
      </c>
      <c r="U112">
        <v>-111.969672</v>
      </c>
      <c r="V112">
        <f>SUM(W112:X112)+(Y112*0.8)+(Z112*0.4)</f>
        <v>330</v>
      </c>
      <c r="W112">
        <v>162</v>
      </c>
      <c r="X112">
        <v>40</v>
      </c>
      <c r="Y112">
        <v>60</v>
      </c>
      <c r="Z112">
        <v>200</v>
      </c>
      <c r="AA112" t="s">
        <v>43</v>
      </c>
      <c r="AB112">
        <v>262</v>
      </c>
      <c r="AC112">
        <v>1.1499999999999999</v>
      </c>
      <c r="AD112" t="s">
        <v>626</v>
      </c>
      <c r="AE112" t="s">
        <v>627</v>
      </c>
    </row>
    <row r="113" spans="1:31" x14ac:dyDescent="0.25">
      <c r="A113" t="s">
        <v>31</v>
      </c>
      <c r="B113" t="s">
        <v>11350</v>
      </c>
      <c r="C113" t="s">
        <v>647</v>
      </c>
      <c r="D113" t="s">
        <v>1127</v>
      </c>
      <c r="E113" t="s">
        <v>362</v>
      </c>
      <c r="F113" t="s">
        <v>649</v>
      </c>
      <c r="H113" t="s">
        <v>36</v>
      </c>
      <c r="I113" t="s">
        <v>1128</v>
      </c>
      <c r="J113" t="s">
        <v>31</v>
      </c>
      <c r="K113" t="s">
        <v>38</v>
      </c>
      <c r="L113" t="s">
        <v>242</v>
      </c>
      <c r="M113" t="s">
        <v>243</v>
      </c>
      <c r="N113" t="s">
        <v>1129</v>
      </c>
      <c r="O113" t="s">
        <v>1130</v>
      </c>
      <c r="P113" t="s">
        <v>1131</v>
      </c>
      <c r="T113">
        <v>38.048275318999998</v>
      </c>
      <c r="U113">
        <v>-77.809481579000007</v>
      </c>
      <c r="V113">
        <f>SUM(W113:X113)+(Y113*0.8)+(Z113*0.4)</f>
        <v>330</v>
      </c>
      <c r="W113">
        <v>0</v>
      </c>
      <c r="X113">
        <v>0</v>
      </c>
      <c r="Y113">
        <v>412.5</v>
      </c>
      <c r="Z113">
        <v>0</v>
      </c>
      <c r="AA113" t="s">
        <v>43</v>
      </c>
      <c r="AB113">
        <v>412.5</v>
      </c>
      <c r="AD113" t="s">
        <v>1132</v>
      </c>
      <c r="AE113" t="s">
        <v>1133</v>
      </c>
    </row>
    <row r="114" spans="1:31" x14ac:dyDescent="0.25">
      <c r="A114" t="s">
        <v>31</v>
      </c>
      <c r="C114" t="s">
        <v>9752</v>
      </c>
      <c r="D114" t="s">
        <v>9753</v>
      </c>
      <c r="E114" t="s">
        <v>34</v>
      </c>
      <c r="F114" t="s">
        <v>66</v>
      </c>
      <c r="H114" t="s">
        <v>36</v>
      </c>
      <c r="I114" t="s">
        <v>9754</v>
      </c>
      <c r="J114" t="s">
        <v>31</v>
      </c>
      <c r="K114" t="s">
        <v>38</v>
      </c>
      <c r="L114" t="s">
        <v>251</v>
      </c>
      <c r="M114" t="s">
        <v>252</v>
      </c>
      <c r="N114" t="s">
        <v>3233</v>
      </c>
      <c r="O114" t="s">
        <v>9755</v>
      </c>
      <c r="P114" t="s">
        <v>9756</v>
      </c>
      <c r="T114">
        <v>42.158293897</v>
      </c>
      <c r="U114">
        <v>-72.741061103000007</v>
      </c>
      <c r="V114">
        <f>SUM(W114:X114)+(Y114*0.8)+(Z114*0.4)</f>
        <v>327.91560000000004</v>
      </c>
      <c r="W114">
        <v>0</v>
      </c>
      <c r="X114">
        <v>0</v>
      </c>
      <c r="Y114">
        <v>0</v>
      </c>
      <c r="Z114">
        <v>819.78899999999999</v>
      </c>
      <c r="AA114" t="s">
        <v>43</v>
      </c>
      <c r="AB114">
        <v>0</v>
      </c>
      <c r="AD114" t="s">
        <v>9757</v>
      </c>
      <c r="AE114" t="s">
        <v>9758</v>
      </c>
    </row>
    <row r="115" spans="1:31" x14ac:dyDescent="0.25">
      <c r="A115" t="s">
        <v>31</v>
      </c>
      <c r="C115" t="s">
        <v>9784</v>
      </c>
      <c r="D115" t="s">
        <v>9796</v>
      </c>
      <c r="E115" t="s">
        <v>34</v>
      </c>
      <c r="F115" t="s">
        <v>66</v>
      </c>
      <c r="G115">
        <v>2025</v>
      </c>
      <c r="H115" t="s">
        <v>36</v>
      </c>
      <c r="I115" t="s">
        <v>9797</v>
      </c>
      <c r="J115" t="s">
        <v>31</v>
      </c>
      <c r="K115" t="s">
        <v>38</v>
      </c>
      <c r="L115" t="s">
        <v>68</v>
      </c>
      <c r="M115" t="s">
        <v>69</v>
      </c>
      <c r="N115" t="s">
        <v>956</v>
      </c>
      <c r="O115" t="s">
        <v>9798</v>
      </c>
      <c r="P115" t="s">
        <v>9799</v>
      </c>
      <c r="T115">
        <v>30.542068496999999</v>
      </c>
      <c r="U115">
        <v>-97.518562091999996</v>
      </c>
      <c r="V115">
        <f>SUM(W115:X115)+(Y115*0.8)+(Z115*0.4)</f>
        <v>324</v>
      </c>
      <c r="W115">
        <v>0</v>
      </c>
      <c r="X115">
        <v>84</v>
      </c>
      <c r="Y115">
        <v>300</v>
      </c>
      <c r="Z115">
        <v>0</v>
      </c>
      <c r="AA115" t="s">
        <v>43</v>
      </c>
      <c r="AB115">
        <v>0</v>
      </c>
      <c r="AD115" t="s">
        <v>9800</v>
      </c>
      <c r="AE115" t="s">
        <v>9801</v>
      </c>
    </row>
    <row r="116" spans="1:31" x14ac:dyDescent="0.25">
      <c r="A116" t="s">
        <v>31</v>
      </c>
      <c r="B116" t="s">
        <v>11350</v>
      </c>
      <c r="C116" t="s">
        <v>6116</v>
      </c>
      <c r="D116" t="s">
        <v>6177</v>
      </c>
      <c r="E116" t="s">
        <v>362</v>
      </c>
      <c r="F116" t="s">
        <v>649</v>
      </c>
      <c r="G116">
        <v>2025</v>
      </c>
      <c r="H116" t="s">
        <v>36</v>
      </c>
      <c r="I116" t="s">
        <v>6178</v>
      </c>
      <c r="J116" t="s">
        <v>31</v>
      </c>
      <c r="K116" t="s">
        <v>38</v>
      </c>
      <c r="L116" t="s">
        <v>143</v>
      </c>
      <c r="M116" t="s">
        <v>144</v>
      </c>
      <c r="N116" t="s">
        <v>6023</v>
      </c>
      <c r="O116" t="s">
        <v>6024</v>
      </c>
      <c r="P116" t="s">
        <v>6179</v>
      </c>
      <c r="Q116" t="s">
        <v>6180</v>
      </c>
      <c r="T116">
        <v>41.036371922999997</v>
      </c>
      <c r="U116">
        <v>-85.042075307000005</v>
      </c>
      <c r="V116">
        <f>SUM(W116:X116)+(Y116*0.8)+(Z116*0.4)</f>
        <v>324</v>
      </c>
      <c r="W116">
        <v>0</v>
      </c>
      <c r="X116">
        <v>0</v>
      </c>
      <c r="Y116">
        <v>270</v>
      </c>
      <c r="Z116">
        <v>270</v>
      </c>
      <c r="AA116" t="s">
        <v>43</v>
      </c>
      <c r="AB116">
        <v>270</v>
      </c>
      <c r="AD116" t="s">
        <v>6181</v>
      </c>
      <c r="AE116" t="s">
        <v>6182</v>
      </c>
    </row>
    <row r="117" spans="1:31" x14ac:dyDescent="0.25">
      <c r="A117" t="s">
        <v>31</v>
      </c>
      <c r="B117" t="s">
        <v>11350</v>
      </c>
      <c r="C117" t="s">
        <v>647</v>
      </c>
      <c r="D117" t="s">
        <v>972</v>
      </c>
      <c r="E117" t="s">
        <v>362</v>
      </c>
      <c r="F117" t="s">
        <v>649</v>
      </c>
      <c r="H117" t="s">
        <v>36</v>
      </c>
      <c r="I117" t="s">
        <v>973</v>
      </c>
      <c r="J117" t="s">
        <v>31</v>
      </c>
      <c r="K117" t="s">
        <v>38</v>
      </c>
      <c r="L117" t="s">
        <v>242</v>
      </c>
      <c r="M117" t="s">
        <v>243</v>
      </c>
      <c r="N117" t="s">
        <v>509</v>
      </c>
      <c r="O117" t="s">
        <v>685</v>
      </c>
      <c r="P117" t="s">
        <v>686</v>
      </c>
      <c r="T117">
        <v>38.768897877999997</v>
      </c>
      <c r="U117">
        <v>-77.575925119999994</v>
      </c>
      <c r="V117">
        <f>SUM(W117:X117)+(Y117*0.8)+(Z117*0.4)</f>
        <v>324</v>
      </c>
      <c r="W117">
        <v>0</v>
      </c>
      <c r="X117">
        <v>0</v>
      </c>
      <c r="Y117">
        <v>405</v>
      </c>
      <c r="Z117">
        <v>0</v>
      </c>
      <c r="AA117" t="s">
        <v>43</v>
      </c>
      <c r="AB117">
        <v>405</v>
      </c>
      <c r="AD117" t="s">
        <v>974</v>
      </c>
      <c r="AE117" t="s">
        <v>975</v>
      </c>
    </row>
    <row r="118" spans="1:31" x14ac:dyDescent="0.25">
      <c r="A118" t="s">
        <v>31</v>
      </c>
      <c r="B118" t="s">
        <v>11350</v>
      </c>
      <c r="C118" t="s">
        <v>6116</v>
      </c>
      <c r="D118" t="s">
        <v>1304</v>
      </c>
      <c r="E118" t="s">
        <v>362</v>
      </c>
      <c r="F118" t="s">
        <v>649</v>
      </c>
      <c r="G118">
        <v>2020</v>
      </c>
      <c r="H118" t="s">
        <v>36</v>
      </c>
      <c r="I118" t="s">
        <v>6248</v>
      </c>
      <c r="J118" t="s">
        <v>31</v>
      </c>
      <c r="K118" t="s">
        <v>38</v>
      </c>
      <c r="L118" t="s">
        <v>317</v>
      </c>
      <c r="M118" t="s">
        <v>318</v>
      </c>
      <c r="N118" t="s">
        <v>584</v>
      </c>
      <c r="O118" t="s">
        <v>582</v>
      </c>
      <c r="P118" t="s">
        <v>585</v>
      </c>
      <c r="T118">
        <v>40.059494999999998</v>
      </c>
      <c r="U118">
        <v>-82.764377999999994</v>
      </c>
      <c r="V118">
        <f>SUM(W118:X118)+(Y118*0.8)+(Z118*0.4)</f>
        <v>322.60000000000002</v>
      </c>
      <c r="W118">
        <v>322.60000000000002</v>
      </c>
      <c r="X118">
        <v>0</v>
      </c>
      <c r="Y118">
        <v>0</v>
      </c>
      <c r="Z118">
        <v>0</v>
      </c>
      <c r="AA118" t="s">
        <v>43</v>
      </c>
      <c r="AB118">
        <v>322.60000000000002</v>
      </c>
      <c r="AD118" t="s">
        <v>6249</v>
      </c>
      <c r="AE118" t="s">
        <v>6250</v>
      </c>
    </row>
    <row r="119" spans="1:31" x14ac:dyDescent="0.25">
      <c r="A119" t="s">
        <v>31</v>
      </c>
      <c r="C119" t="s">
        <v>10876</v>
      </c>
      <c r="D119" t="s">
        <v>10910</v>
      </c>
      <c r="E119" t="s">
        <v>34</v>
      </c>
      <c r="F119" t="s">
        <v>66</v>
      </c>
      <c r="G119">
        <v>2027</v>
      </c>
      <c r="H119" t="s">
        <v>411</v>
      </c>
      <c r="I119" t="s">
        <v>325</v>
      </c>
      <c r="J119" t="s">
        <v>31</v>
      </c>
      <c r="K119" t="s">
        <v>38</v>
      </c>
      <c r="L119" t="s">
        <v>317</v>
      </c>
      <c r="M119" t="s">
        <v>318</v>
      </c>
      <c r="N119" t="s">
        <v>10911</v>
      </c>
      <c r="T119">
        <v>39.4634</v>
      </c>
      <c r="U119">
        <v>-82.285340000000005</v>
      </c>
      <c r="V119">
        <f>SUM(W119:X119)+(Y119*0.8)+(Z119*0.4)</f>
        <v>320</v>
      </c>
      <c r="W119">
        <v>0</v>
      </c>
      <c r="X119">
        <v>0</v>
      </c>
      <c r="Y119">
        <v>0</v>
      </c>
      <c r="Z119">
        <v>800</v>
      </c>
      <c r="AA119" t="s">
        <v>43</v>
      </c>
      <c r="AB119">
        <v>0</v>
      </c>
      <c r="AD119" t="s">
        <v>10912</v>
      </c>
      <c r="AE119" t="s">
        <v>10913</v>
      </c>
    </row>
    <row r="120" spans="1:31" x14ac:dyDescent="0.25">
      <c r="A120" t="s">
        <v>31</v>
      </c>
      <c r="C120" t="s">
        <v>8913</v>
      </c>
      <c r="D120" t="s">
        <v>8927</v>
      </c>
      <c r="E120" t="s">
        <v>34</v>
      </c>
      <c r="F120" t="s">
        <v>43</v>
      </c>
      <c r="H120" t="s">
        <v>36</v>
      </c>
      <c r="I120" t="s">
        <v>8928</v>
      </c>
      <c r="J120" t="s">
        <v>31</v>
      </c>
      <c r="K120" t="s">
        <v>38</v>
      </c>
      <c r="L120" t="s">
        <v>242</v>
      </c>
      <c r="M120" t="s">
        <v>243</v>
      </c>
      <c r="N120" t="s">
        <v>806</v>
      </c>
      <c r="O120" t="s">
        <v>8929</v>
      </c>
      <c r="P120" t="s">
        <v>2979</v>
      </c>
      <c r="Q120" t="s">
        <v>2980</v>
      </c>
      <c r="T120">
        <v>38.548502872</v>
      </c>
      <c r="U120">
        <v>-77.803958183000006</v>
      </c>
      <c r="V120">
        <f>SUM(W120:X120)+(Y120*0.8)+(Z120*0.4)</f>
        <v>320</v>
      </c>
      <c r="W120">
        <v>0</v>
      </c>
      <c r="X120">
        <v>0</v>
      </c>
      <c r="Y120">
        <v>400</v>
      </c>
      <c r="Z120">
        <v>0</v>
      </c>
      <c r="AA120" t="s">
        <v>43</v>
      </c>
      <c r="AB120">
        <v>0</v>
      </c>
      <c r="AD120" t="s">
        <v>8930</v>
      </c>
      <c r="AE120" t="s">
        <v>8931</v>
      </c>
    </row>
    <row r="121" spans="1:31" x14ac:dyDescent="0.25">
      <c r="A121" t="s">
        <v>31</v>
      </c>
      <c r="B121" t="s">
        <v>11350</v>
      </c>
      <c r="C121" t="s">
        <v>7684</v>
      </c>
      <c r="D121" t="s">
        <v>4084</v>
      </c>
      <c r="E121" t="s">
        <v>362</v>
      </c>
      <c r="F121" t="s">
        <v>7686</v>
      </c>
      <c r="G121">
        <v>2026</v>
      </c>
      <c r="H121" t="s">
        <v>36</v>
      </c>
      <c r="I121" t="s">
        <v>7772</v>
      </c>
      <c r="J121" t="s">
        <v>31</v>
      </c>
      <c r="K121" t="s">
        <v>38</v>
      </c>
      <c r="L121" t="s">
        <v>1883</v>
      </c>
      <c r="M121" t="s">
        <v>1884</v>
      </c>
      <c r="N121" t="s">
        <v>3641</v>
      </c>
      <c r="O121" t="s">
        <v>4084</v>
      </c>
      <c r="P121" t="s">
        <v>7773</v>
      </c>
      <c r="T121">
        <v>32.281372515999998</v>
      </c>
      <c r="U121">
        <v>-86.348440174999993</v>
      </c>
      <c r="V121">
        <f>SUM(W121:X121)+(Y121*0.8)+(Z121*0.4)</f>
        <v>313.60000000000002</v>
      </c>
      <c r="W121">
        <v>0</v>
      </c>
      <c r="X121">
        <v>0</v>
      </c>
      <c r="Y121">
        <v>392</v>
      </c>
      <c r="Z121">
        <v>0</v>
      </c>
      <c r="AA121" t="s">
        <v>43</v>
      </c>
      <c r="AB121">
        <v>392</v>
      </c>
      <c r="AD121" t="s">
        <v>7774</v>
      </c>
      <c r="AE121" t="s">
        <v>7775</v>
      </c>
    </row>
    <row r="122" spans="1:31" x14ac:dyDescent="0.25">
      <c r="A122" t="s">
        <v>31</v>
      </c>
      <c r="C122" t="s">
        <v>3710</v>
      </c>
      <c r="D122" t="s">
        <v>3943</v>
      </c>
      <c r="E122" t="s">
        <v>34</v>
      </c>
      <c r="F122" t="s">
        <v>66</v>
      </c>
      <c r="G122">
        <v>2026</v>
      </c>
      <c r="H122" t="s">
        <v>36</v>
      </c>
      <c r="I122" t="s">
        <v>3944</v>
      </c>
      <c r="J122" t="s">
        <v>31</v>
      </c>
      <c r="K122" t="s">
        <v>38</v>
      </c>
      <c r="L122" t="s">
        <v>68</v>
      </c>
      <c r="M122" t="s">
        <v>69</v>
      </c>
      <c r="N122" t="s">
        <v>2900</v>
      </c>
      <c r="O122" t="s">
        <v>2901</v>
      </c>
      <c r="P122" t="s">
        <v>2902</v>
      </c>
      <c r="T122">
        <v>32.535818671000001</v>
      </c>
      <c r="U122">
        <v>-96.732515027999995</v>
      </c>
      <c r="V122">
        <f>SUM(W122:X122)+(Y122*0.8)+(Z122*0.4)</f>
        <v>312</v>
      </c>
      <c r="W122">
        <v>0</v>
      </c>
      <c r="X122">
        <v>120</v>
      </c>
      <c r="Y122">
        <v>120</v>
      </c>
      <c r="Z122">
        <v>240</v>
      </c>
      <c r="AA122" t="s">
        <v>43</v>
      </c>
      <c r="AB122">
        <v>240</v>
      </c>
      <c r="AD122" t="s">
        <v>3945</v>
      </c>
      <c r="AE122" t="s">
        <v>3946</v>
      </c>
    </row>
    <row r="123" spans="1:31" x14ac:dyDescent="0.25">
      <c r="A123" t="s">
        <v>31</v>
      </c>
      <c r="B123" t="s">
        <v>11350</v>
      </c>
      <c r="C123" t="s">
        <v>647</v>
      </c>
      <c r="D123" t="s">
        <v>1152</v>
      </c>
      <c r="E123" t="s">
        <v>362</v>
      </c>
      <c r="F123" t="s">
        <v>649</v>
      </c>
      <c r="G123">
        <v>2027</v>
      </c>
      <c r="H123" t="s">
        <v>36</v>
      </c>
      <c r="I123" t="s">
        <v>1153</v>
      </c>
      <c r="J123" t="s">
        <v>31</v>
      </c>
      <c r="K123" t="s">
        <v>38</v>
      </c>
      <c r="L123" t="s">
        <v>242</v>
      </c>
      <c r="M123" t="s">
        <v>243</v>
      </c>
      <c r="N123" t="s">
        <v>940</v>
      </c>
      <c r="O123" t="s">
        <v>1154</v>
      </c>
      <c r="P123" t="s">
        <v>1155</v>
      </c>
      <c r="T123">
        <v>38.123885117</v>
      </c>
      <c r="U123">
        <v>-77.511038536000001</v>
      </c>
      <c r="V123">
        <f>SUM(W123:X123)+(Y123*0.8)+(Z123*0.4)</f>
        <v>308</v>
      </c>
      <c r="W123">
        <v>0</v>
      </c>
      <c r="X123">
        <v>0</v>
      </c>
      <c r="Y123">
        <v>0</v>
      </c>
      <c r="Z123">
        <v>770</v>
      </c>
      <c r="AA123" t="s">
        <v>43</v>
      </c>
      <c r="AB123">
        <v>0</v>
      </c>
      <c r="AD123" t="s">
        <v>1156</v>
      </c>
      <c r="AE123" t="s">
        <v>1157</v>
      </c>
    </row>
    <row r="124" spans="1:31" x14ac:dyDescent="0.25">
      <c r="A124" t="s">
        <v>31</v>
      </c>
      <c r="B124" t="s">
        <v>11350</v>
      </c>
      <c r="C124" t="s">
        <v>6116</v>
      </c>
      <c r="D124" t="s">
        <v>6316</v>
      </c>
      <c r="E124" t="s">
        <v>362</v>
      </c>
      <c r="F124" t="s">
        <v>649</v>
      </c>
      <c r="H124" t="s">
        <v>36</v>
      </c>
      <c r="I124" t="s">
        <v>6317</v>
      </c>
      <c r="J124" t="s">
        <v>31</v>
      </c>
      <c r="K124" t="s">
        <v>38</v>
      </c>
      <c r="L124" t="s">
        <v>242</v>
      </c>
      <c r="M124" t="s">
        <v>243</v>
      </c>
      <c r="N124" t="s">
        <v>509</v>
      </c>
      <c r="O124" t="s">
        <v>685</v>
      </c>
      <c r="P124" t="s">
        <v>686</v>
      </c>
      <c r="T124">
        <v>38.785258028999998</v>
      </c>
      <c r="U124">
        <v>-77.574683175000004</v>
      </c>
      <c r="V124">
        <f>SUM(W124:X124)+(Y124*0.8)+(Z124*0.4)</f>
        <v>306.40000000000003</v>
      </c>
      <c r="W124">
        <v>0</v>
      </c>
      <c r="X124">
        <v>0</v>
      </c>
      <c r="Y124">
        <v>383</v>
      </c>
      <c r="Z124">
        <v>0</v>
      </c>
      <c r="AA124" t="s">
        <v>43</v>
      </c>
      <c r="AB124">
        <v>383</v>
      </c>
      <c r="AD124" t="s">
        <v>6318</v>
      </c>
      <c r="AE124" t="s">
        <v>6319</v>
      </c>
    </row>
    <row r="125" spans="1:31" x14ac:dyDescent="0.25">
      <c r="A125" t="s">
        <v>31</v>
      </c>
      <c r="B125" t="s">
        <v>11350</v>
      </c>
      <c r="C125" t="s">
        <v>7684</v>
      </c>
      <c r="D125" t="s">
        <v>7819</v>
      </c>
      <c r="E125" t="s">
        <v>362</v>
      </c>
      <c r="F125" t="s">
        <v>7686</v>
      </c>
      <c r="G125">
        <v>2024</v>
      </c>
      <c r="H125" t="s">
        <v>36</v>
      </c>
      <c r="I125" t="s">
        <v>7820</v>
      </c>
      <c r="J125" t="s">
        <v>31</v>
      </c>
      <c r="K125" t="s">
        <v>38</v>
      </c>
      <c r="L125" t="s">
        <v>185</v>
      </c>
      <c r="M125" t="s">
        <v>186</v>
      </c>
      <c r="N125" t="s">
        <v>4123</v>
      </c>
      <c r="T125">
        <v>33.599369705999997</v>
      </c>
      <c r="U125">
        <v>-83.673217890000004</v>
      </c>
      <c r="V125">
        <f>SUM(W125:X125)+(Y125*0.8)+(Z125*0.4)</f>
        <v>305.2</v>
      </c>
      <c r="W125">
        <v>246</v>
      </c>
      <c r="X125">
        <v>0</v>
      </c>
      <c r="Y125">
        <v>0</v>
      </c>
      <c r="Z125">
        <v>148</v>
      </c>
      <c r="AA125" t="s">
        <v>43</v>
      </c>
      <c r="AB125">
        <v>246</v>
      </c>
      <c r="AD125" t="s">
        <v>7821</v>
      </c>
      <c r="AE125" t="s">
        <v>7822</v>
      </c>
    </row>
    <row r="126" spans="1:31" x14ac:dyDescent="0.25">
      <c r="A126" t="s">
        <v>31</v>
      </c>
      <c r="C126" t="s">
        <v>8571</v>
      </c>
      <c r="D126" t="s">
        <v>8639</v>
      </c>
      <c r="E126" t="s">
        <v>34</v>
      </c>
      <c r="F126" t="s">
        <v>66</v>
      </c>
      <c r="G126">
        <v>2025</v>
      </c>
      <c r="H126" t="s">
        <v>36</v>
      </c>
      <c r="I126" t="s">
        <v>8640</v>
      </c>
      <c r="J126" t="s">
        <v>31</v>
      </c>
      <c r="K126" t="s">
        <v>38</v>
      </c>
      <c r="L126" t="s">
        <v>242</v>
      </c>
      <c r="M126" t="s">
        <v>243</v>
      </c>
      <c r="N126" t="s">
        <v>509</v>
      </c>
      <c r="O126" t="s">
        <v>1290</v>
      </c>
      <c r="P126" t="s">
        <v>1291</v>
      </c>
      <c r="T126">
        <v>38.801706936000002</v>
      </c>
      <c r="U126">
        <v>-77.610819559000007</v>
      </c>
      <c r="V126">
        <f>SUM(W126:X126)+(Y126*0.8)+(Z126*0.4)</f>
        <v>302.39999999999998</v>
      </c>
      <c r="W126">
        <v>74</v>
      </c>
      <c r="X126">
        <v>94</v>
      </c>
      <c r="Y126">
        <v>168</v>
      </c>
      <c r="Z126">
        <v>0</v>
      </c>
      <c r="AA126" t="s">
        <v>43</v>
      </c>
      <c r="AB126">
        <v>125</v>
      </c>
      <c r="AD126" t="s">
        <v>8641</v>
      </c>
      <c r="AE126" t="s">
        <v>8642</v>
      </c>
    </row>
    <row r="127" spans="1:31" x14ac:dyDescent="0.25">
      <c r="A127" t="s">
        <v>31</v>
      </c>
      <c r="B127" t="s">
        <v>11350</v>
      </c>
      <c r="C127" t="s">
        <v>6116</v>
      </c>
      <c r="D127" t="s">
        <v>6125</v>
      </c>
      <c r="E127" t="s">
        <v>362</v>
      </c>
      <c r="F127" t="s">
        <v>649</v>
      </c>
      <c r="H127" t="s">
        <v>36</v>
      </c>
      <c r="I127" t="s">
        <v>6126</v>
      </c>
      <c r="J127" t="s">
        <v>31</v>
      </c>
      <c r="K127" t="s">
        <v>38</v>
      </c>
      <c r="L127" t="s">
        <v>242</v>
      </c>
      <c r="M127" t="s">
        <v>243</v>
      </c>
      <c r="N127" t="s">
        <v>2422</v>
      </c>
      <c r="O127" t="s">
        <v>6127</v>
      </c>
      <c r="P127" t="s">
        <v>2424</v>
      </c>
      <c r="T127">
        <v>37.347924882999997</v>
      </c>
      <c r="U127">
        <v>-77.310666100000006</v>
      </c>
      <c r="V127">
        <f>SUM(W127:X127)+(Y127*0.8)+(Z127*0.4)</f>
        <v>297.60000000000002</v>
      </c>
      <c r="W127">
        <v>0</v>
      </c>
      <c r="X127">
        <v>0</v>
      </c>
      <c r="Y127">
        <v>372</v>
      </c>
      <c r="Z127">
        <v>0</v>
      </c>
      <c r="AA127" t="s">
        <v>43</v>
      </c>
      <c r="AB127">
        <v>372</v>
      </c>
      <c r="AD127" t="s">
        <v>6128</v>
      </c>
      <c r="AE127" t="s">
        <v>6129</v>
      </c>
    </row>
    <row r="128" spans="1:31" x14ac:dyDescent="0.25">
      <c r="A128" t="s">
        <v>31</v>
      </c>
      <c r="C128" t="s">
        <v>4801</v>
      </c>
      <c r="D128" t="s">
        <v>4807</v>
      </c>
      <c r="E128" t="s">
        <v>34</v>
      </c>
      <c r="F128" t="s">
        <v>66</v>
      </c>
      <c r="G128">
        <v>2026</v>
      </c>
      <c r="H128" t="s">
        <v>36</v>
      </c>
      <c r="I128" t="s">
        <v>4808</v>
      </c>
      <c r="J128" t="s">
        <v>31</v>
      </c>
      <c r="K128" t="s">
        <v>38</v>
      </c>
      <c r="L128" t="s">
        <v>68</v>
      </c>
      <c r="M128" t="s">
        <v>69</v>
      </c>
      <c r="N128" t="s">
        <v>1350</v>
      </c>
      <c r="O128" t="s">
        <v>4809</v>
      </c>
      <c r="P128" t="s">
        <v>4810</v>
      </c>
      <c r="T128">
        <v>30.142158506000001</v>
      </c>
      <c r="U128">
        <v>-97.565885666</v>
      </c>
      <c r="V128">
        <f>SUM(W128:X128)+(Y128*0.8)+(Z128*0.4)</f>
        <v>288</v>
      </c>
      <c r="W128">
        <v>0</v>
      </c>
      <c r="X128">
        <v>96</v>
      </c>
      <c r="Y128">
        <v>240</v>
      </c>
      <c r="Z128">
        <v>0</v>
      </c>
      <c r="AA128" t="s">
        <v>43</v>
      </c>
      <c r="AB128">
        <v>96</v>
      </c>
      <c r="AD128" t="s">
        <v>4811</v>
      </c>
      <c r="AE128" t="s">
        <v>4812</v>
      </c>
    </row>
    <row r="129" spans="1:31" x14ac:dyDescent="0.25">
      <c r="A129" t="s">
        <v>31</v>
      </c>
      <c r="C129" t="s">
        <v>11338</v>
      </c>
      <c r="D129" t="s">
        <v>11339</v>
      </c>
      <c r="E129" t="s">
        <v>34</v>
      </c>
      <c r="F129" t="s">
        <v>66</v>
      </c>
      <c r="G129">
        <v>2024</v>
      </c>
      <c r="H129" t="s">
        <v>36</v>
      </c>
      <c r="I129" t="s">
        <v>11340</v>
      </c>
      <c r="J129" t="s">
        <v>31</v>
      </c>
      <c r="K129" t="s">
        <v>38</v>
      </c>
      <c r="L129" t="s">
        <v>242</v>
      </c>
      <c r="M129" t="s">
        <v>243</v>
      </c>
      <c r="N129" t="s">
        <v>405</v>
      </c>
      <c r="O129" t="s">
        <v>674</v>
      </c>
      <c r="P129" t="s">
        <v>675</v>
      </c>
      <c r="T129">
        <v>38.949490117000003</v>
      </c>
      <c r="U129">
        <v>-77.549628642000002</v>
      </c>
      <c r="V129">
        <f>SUM(W129:X129)+(Y129*0.8)+(Z129*0.4)</f>
        <v>288</v>
      </c>
      <c r="W129">
        <v>60</v>
      </c>
      <c r="X129">
        <v>36</v>
      </c>
      <c r="Y129">
        <v>240</v>
      </c>
      <c r="Z129">
        <v>0</v>
      </c>
      <c r="AA129" t="s">
        <v>43</v>
      </c>
      <c r="AB129">
        <v>120</v>
      </c>
      <c r="AD129" t="s">
        <v>11341</v>
      </c>
      <c r="AE129" t="s">
        <v>11342</v>
      </c>
    </row>
    <row r="130" spans="1:31" x14ac:dyDescent="0.25">
      <c r="A130" t="s">
        <v>31</v>
      </c>
      <c r="B130" t="s">
        <v>11350</v>
      </c>
      <c r="C130" t="s">
        <v>6116</v>
      </c>
      <c r="D130" t="s">
        <v>156</v>
      </c>
      <c r="E130" t="s">
        <v>362</v>
      </c>
      <c r="F130" t="s">
        <v>649</v>
      </c>
      <c r="G130">
        <v>2024</v>
      </c>
      <c r="H130" t="s">
        <v>36</v>
      </c>
      <c r="I130" t="s">
        <v>6251</v>
      </c>
      <c r="J130" t="s">
        <v>31</v>
      </c>
      <c r="K130" t="s">
        <v>38</v>
      </c>
      <c r="L130" t="s">
        <v>153</v>
      </c>
      <c r="M130" t="s">
        <v>154</v>
      </c>
      <c r="N130" t="s">
        <v>155</v>
      </c>
      <c r="O130" t="s">
        <v>156</v>
      </c>
      <c r="P130" t="s">
        <v>6252</v>
      </c>
      <c r="Q130" t="s">
        <v>3594</v>
      </c>
      <c r="T130">
        <v>41.340754601</v>
      </c>
      <c r="U130">
        <v>-96.087237823999999</v>
      </c>
      <c r="V130">
        <f>SUM(W130:X130)+(Y130*0.8)+(Z130*0.4)</f>
        <v>288</v>
      </c>
      <c r="W130">
        <v>80</v>
      </c>
      <c r="X130">
        <v>80</v>
      </c>
      <c r="Y130">
        <v>160</v>
      </c>
      <c r="Z130">
        <v>0</v>
      </c>
      <c r="AA130" t="s">
        <v>43</v>
      </c>
      <c r="AB130">
        <v>320</v>
      </c>
      <c r="AD130" t="s">
        <v>6253</v>
      </c>
      <c r="AE130" t="s">
        <v>6254</v>
      </c>
    </row>
    <row r="131" spans="1:31" x14ac:dyDescent="0.25">
      <c r="A131" t="s">
        <v>31</v>
      </c>
      <c r="C131" t="s">
        <v>2862</v>
      </c>
      <c r="D131" t="s">
        <v>2876</v>
      </c>
      <c r="E131" t="s">
        <v>34</v>
      </c>
      <c r="F131" t="s">
        <v>66</v>
      </c>
      <c r="G131">
        <v>2021</v>
      </c>
      <c r="H131" t="s">
        <v>36</v>
      </c>
      <c r="I131" t="s">
        <v>2877</v>
      </c>
      <c r="J131" t="s">
        <v>31</v>
      </c>
      <c r="K131" t="s">
        <v>38</v>
      </c>
      <c r="L131" t="s">
        <v>326</v>
      </c>
      <c r="M131" t="s">
        <v>327</v>
      </c>
      <c r="N131" t="s">
        <v>328</v>
      </c>
      <c r="O131" t="s">
        <v>329</v>
      </c>
      <c r="P131" t="s">
        <v>2878</v>
      </c>
      <c r="T131">
        <v>33.440089659999998</v>
      </c>
      <c r="U131">
        <v>-112.3792806</v>
      </c>
      <c r="V131">
        <f>SUM(W131:X131)+(Y131*0.8)+(Z131*0.4)</f>
        <v>285.11799999999999</v>
      </c>
      <c r="W131">
        <v>164.66</v>
      </c>
      <c r="X131">
        <v>46.33</v>
      </c>
      <c r="Y131">
        <v>46.33</v>
      </c>
      <c r="Z131">
        <v>92.66</v>
      </c>
      <c r="AA131" t="s">
        <v>43</v>
      </c>
      <c r="AB131">
        <v>257.32</v>
      </c>
      <c r="AD131" t="s">
        <v>2879</v>
      </c>
      <c r="AE131" t="s">
        <v>2880</v>
      </c>
    </row>
    <row r="132" spans="1:31" x14ac:dyDescent="0.25">
      <c r="A132" t="s">
        <v>31</v>
      </c>
      <c r="C132" t="s">
        <v>3202</v>
      </c>
      <c r="D132" t="s">
        <v>3203</v>
      </c>
      <c r="E132" t="s">
        <v>34</v>
      </c>
      <c r="F132" t="s">
        <v>66</v>
      </c>
      <c r="G132">
        <v>2024</v>
      </c>
      <c r="H132" t="s">
        <v>36</v>
      </c>
      <c r="I132" t="s">
        <v>3204</v>
      </c>
      <c r="J132" t="s">
        <v>31</v>
      </c>
      <c r="K132" t="s">
        <v>38</v>
      </c>
      <c r="L132" t="s">
        <v>242</v>
      </c>
      <c r="M132" t="s">
        <v>243</v>
      </c>
      <c r="N132" t="s">
        <v>509</v>
      </c>
      <c r="O132" t="s">
        <v>1290</v>
      </c>
      <c r="P132" t="s">
        <v>1291</v>
      </c>
      <c r="T132">
        <v>38.802567216</v>
      </c>
      <c r="U132">
        <v>-77.585159911000005</v>
      </c>
      <c r="V132">
        <f>SUM(W132:X132)+(Y132*0.8)+(Z132*0.4)</f>
        <v>284.39999999999998</v>
      </c>
      <c r="W132">
        <v>72</v>
      </c>
      <c r="X132">
        <v>126</v>
      </c>
      <c r="Y132">
        <v>108</v>
      </c>
      <c r="Z132">
        <v>0</v>
      </c>
      <c r="AA132" t="s">
        <v>43</v>
      </c>
      <c r="AB132">
        <v>189</v>
      </c>
      <c r="AD132" t="s">
        <v>3205</v>
      </c>
      <c r="AE132" t="s">
        <v>3206</v>
      </c>
    </row>
    <row r="133" spans="1:31" x14ac:dyDescent="0.25">
      <c r="A133" t="s">
        <v>31</v>
      </c>
      <c r="C133" t="s">
        <v>8969</v>
      </c>
      <c r="D133" t="s">
        <v>1920</v>
      </c>
      <c r="E133" t="s">
        <v>34</v>
      </c>
      <c r="F133" t="s">
        <v>66</v>
      </c>
      <c r="G133">
        <v>2026</v>
      </c>
      <c r="H133" t="s">
        <v>36</v>
      </c>
      <c r="I133" t="s">
        <v>8993</v>
      </c>
      <c r="J133" t="s">
        <v>31</v>
      </c>
      <c r="K133" t="s">
        <v>38</v>
      </c>
      <c r="L133" t="s">
        <v>1918</v>
      </c>
      <c r="M133" t="s">
        <v>1919</v>
      </c>
      <c r="N133" t="s">
        <v>1885</v>
      </c>
      <c r="O133" t="s">
        <v>1920</v>
      </c>
      <c r="P133" t="s">
        <v>8994</v>
      </c>
      <c r="T133">
        <v>38.202726413000001</v>
      </c>
      <c r="U133">
        <v>-85.852482851000005</v>
      </c>
      <c r="V133">
        <f>SUM(W133:X133)+(Y133*0.8)+(Z133*0.4)</f>
        <v>281.40000000000003</v>
      </c>
      <c r="W133">
        <v>0</v>
      </c>
      <c r="X133">
        <v>0</v>
      </c>
      <c r="Y133">
        <v>301.5</v>
      </c>
      <c r="Z133">
        <v>100.5</v>
      </c>
      <c r="AA133" t="s">
        <v>43</v>
      </c>
      <c r="AB133">
        <v>67</v>
      </c>
      <c r="AD133" t="s">
        <v>8995</v>
      </c>
      <c r="AE133" t="s">
        <v>8996</v>
      </c>
    </row>
    <row r="134" spans="1:31" x14ac:dyDescent="0.25">
      <c r="A134" t="s">
        <v>31</v>
      </c>
      <c r="C134" t="s">
        <v>8943</v>
      </c>
      <c r="D134" t="s">
        <v>8944</v>
      </c>
      <c r="E134" t="s">
        <v>362</v>
      </c>
      <c r="F134" t="s">
        <v>372</v>
      </c>
      <c r="G134">
        <v>2025</v>
      </c>
      <c r="H134" t="s">
        <v>36</v>
      </c>
      <c r="I134" t="s">
        <v>8945</v>
      </c>
      <c r="J134" t="s">
        <v>31</v>
      </c>
      <c r="K134" t="s">
        <v>38</v>
      </c>
      <c r="L134" t="s">
        <v>1819</v>
      </c>
      <c r="M134" t="s">
        <v>1820</v>
      </c>
      <c r="N134" t="s">
        <v>3048</v>
      </c>
      <c r="P134" t="s">
        <v>3049</v>
      </c>
      <c r="T134">
        <v>35.693370100999999</v>
      </c>
      <c r="U134">
        <v>-95.386652488999999</v>
      </c>
      <c r="V134">
        <f>SUM(W134:X134)+(Y134*0.8)+(Z134*0.4)</f>
        <v>280</v>
      </c>
      <c r="W134">
        <v>200</v>
      </c>
      <c r="X134">
        <v>0</v>
      </c>
      <c r="Y134">
        <v>0</v>
      </c>
      <c r="Z134">
        <v>200</v>
      </c>
      <c r="AA134" t="s">
        <v>43</v>
      </c>
      <c r="AB134">
        <v>200</v>
      </c>
      <c r="AD134" t="s">
        <v>8946</v>
      </c>
      <c r="AE134" t="s">
        <v>8947</v>
      </c>
    </row>
    <row r="135" spans="1:31" x14ac:dyDescent="0.25">
      <c r="A135" t="s">
        <v>31</v>
      </c>
      <c r="C135" t="s">
        <v>3281</v>
      </c>
      <c r="D135" t="s">
        <v>3282</v>
      </c>
      <c r="E135" t="s">
        <v>362</v>
      </c>
      <c r="F135" t="s">
        <v>43</v>
      </c>
      <c r="H135" t="s">
        <v>36</v>
      </c>
      <c r="I135" t="s">
        <v>3283</v>
      </c>
      <c r="J135" t="s">
        <v>31</v>
      </c>
      <c r="K135" t="s">
        <v>38</v>
      </c>
      <c r="L135" t="s">
        <v>68</v>
      </c>
      <c r="M135" t="s">
        <v>69</v>
      </c>
      <c r="N135" t="s">
        <v>1588</v>
      </c>
      <c r="P135" t="s">
        <v>3284</v>
      </c>
      <c r="T135">
        <v>35.018357995999999</v>
      </c>
      <c r="U135">
        <v>-101.31194287700001</v>
      </c>
      <c r="V135">
        <f>SUM(W135:X135)+(Y135*0.8)+(Z135*0.4)</f>
        <v>280</v>
      </c>
      <c r="W135">
        <v>0</v>
      </c>
      <c r="X135">
        <v>0</v>
      </c>
      <c r="Y135">
        <v>0</v>
      </c>
      <c r="Z135">
        <v>700</v>
      </c>
      <c r="AA135" t="s">
        <v>43</v>
      </c>
      <c r="AB135">
        <v>0</v>
      </c>
      <c r="AD135" t="s">
        <v>3285</v>
      </c>
      <c r="AE135" t="s">
        <v>3286</v>
      </c>
    </row>
    <row r="136" spans="1:31" x14ac:dyDescent="0.25">
      <c r="A136" t="s">
        <v>31</v>
      </c>
      <c r="C136" t="s">
        <v>3312</v>
      </c>
      <c r="D136" t="s">
        <v>3414</v>
      </c>
      <c r="E136" t="s">
        <v>34</v>
      </c>
      <c r="F136" t="s">
        <v>66</v>
      </c>
      <c r="G136">
        <v>2026</v>
      </c>
      <c r="H136" t="s">
        <v>411</v>
      </c>
      <c r="I136" t="s">
        <v>3415</v>
      </c>
      <c r="J136" t="s">
        <v>31</v>
      </c>
      <c r="K136" t="s">
        <v>38</v>
      </c>
      <c r="L136" t="s">
        <v>68</v>
      </c>
      <c r="M136" t="s">
        <v>69</v>
      </c>
      <c r="N136" t="s">
        <v>3416</v>
      </c>
      <c r="P136" t="s">
        <v>3417</v>
      </c>
      <c r="S136" t="s">
        <v>3418</v>
      </c>
      <c r="T136">
        <v>31.856861192</v>
      </c>
      <c r="U136">
        <v>-97.356819971999997</v>
      </c>
      <c r="V136">
        <f>SUM(W136:X136)+(Y136*0.8)+(Z136*0.4)</f>
        <v>279.2</v>
      </c>
      <c r="W136">
        <v>0</v>
      </c>
      <c r="X136">
        <v>144</v>
      </c>
      <c r="Y136">
        <v>144</v>
      </c>
      <c r="Z136">
        <v>50</v>
      </c>
      <c r="AA136" t="s">
        <v>43</v>
      </c>
      <c r="AB136">
        <v>72</v>
      </c>
      <c r="AD136" t="s">
        <v>3419</v>
      </c>
      <c r="AE136" t="s">
        <v>3420</v>
      </c>
    </row>
    <row r="137" spans="1:31" x14ac:dyDescent="0.25">
      <c r="A137" t="s">
        <v>31</v>
      </c>
      <c r="C137" t="s">
        <v>3179</v>
      </c>
      <c r="D137" t="s">
        <v>3198</v>
      </c>
      <c r="E137" t="s">
        <v>34</v>
      </c>
      <c r="F137" t="s">
        <v>76</v>
      </c>
      <c r="G137">
        <v>2027</v>
      </c>
      <c r="H137" t="s">
        <v>36</v>
      </c>
      <c r="I137" t="s">
        <v>3199</v>
      </c>
      <c r="J137" t="s">
        <v>31</v>
      </c>
      <c r="K137" t="s">
        <v>38</v>
      </c>
      <c r="L137" t="s">
        <v>77</v>
      </c>
      <c r="M137" t="s">
        <v>78</v>
      </c>
      <c r="N137" t="s">
        <v>1843</v>
      </c>
      <c r="O137" t="s">
        <v>3194</v>
      </c>
      <c r="P137" t="s">
        <v>3195</v>
      </c>
      <c r="Q137" t="s">
        <v>3194</v>
      </c>
      <c r="T137">
        <v>40.048619766000002</v>
      </c>
      <c r="U137">
        <v>-76.259854610000005</v>
      </c>
      <c r="V137">
        <f>SUM(W137:X137)+(Y137*0.8)+(Z137*0.4)</f>
        <v>278</v>
      </c>
      <c r="W137">
        <v>0</v>
      </c>
      <c r="X137">
        <v>278</v>
      </c>
      <c r="Y137">
        <v>0</v>
      </c>
      <c r="Z137">
        <v>0</v>
      </c>
      <c r="AA137" t="s">
        <v>43</v>
      </c>
      <c r="AB137">
        <v>278</v>
      </c>
      <c r="AD137" t="s">
        <v>3200</v>
      </c>
      <c r="AE137" t="s">
        <v>3201</v>
      </c>
    </row>
    <row r="138" spans="1:31" x14ac:dyDescent="0.25">
      <c r="A138" t="s">
        <v>31</v>
      </c>
      <c r="B138" t="s">
        <v>11350</v>
      </c>
      <c r="C138" t="s">
        <v>6116</v>
      </c>
      <c r="D138" t="s">
        <v>6183</v>
      </c>
      <c r="E138" t="s">
        <v>362</v>
      </c>
      <c r="F138" t="s">
        <v>649</v>
      </c>
      <c r="G138">
        <v>2024</v>
      </c>
      <c r="H138" t="s">
        <v>36</v>
      </c>
      <c r="I138" t="s">
        <v>6184</v>
      </c>
      <c r="J138" t="s">
        <v>31</v>
      </c>
      <c r="K138" t="s">
        <v>38</v>
      </c>
      <c r="L138" t="s">
        <v>317</v>
      </c>
      <c r="M138" t="s">
        <v>318</v>
      </c>
      <c r="N138" t="s">
        <v>3486</v>
      </c>
      <c r="O138" t="s">
        <v>3194</v>
      </c>
      <c r="P138" t="s">
        <v>6185</v>
      </c>
      <c r="Q138" t="s">
        <v>6186</v>
      </c>
      <c r="T138">
        <v>39.725743293999997</v>
      </c>
      <c r="U138">
        <v>-82.685453980999995</v>
      </c>
      <c r="V138">
        <f>SUM(W138:X138)+(Y138*0.8)+(Z138*0.4)</f>
        <v>276</v>
      </c>
      <c r="W138">
        <v>276</v>
      </c>
      <c r="X138">
        <v>0</v>
      </c>
      <c r="Y138">
        <v>0</v>
      </c>
      <c r="Z138">
        <v>0</v>
      </c>
      <c r="AA138" t="s">
        <v>43</v>
      </c>
      <c r="AB138">
        <v>276</v>
      </c>
      <c r="AD138" t="s">
        <v>6187</v>
      </c>
      <c r="AE138" t="s">
        <v>6188</v>
      </c>
    </row>
    <row r="139" spans="1:31" x14ac:dyDescent="0.25">
      <c r="A139" t="s">
        <v>31</v>
      </c>
      <c r="C139" t="s">
        <v>64</v>
      </c>
      <c r="D139" t="s">
        <v>75</v>
      </c>
      <c r="E139" t="s">
        <v>34</v>
      </c>
      <c r="F139" t="s">
        <v>76</v>
      </c>
      <c r="H139" t="s">
        <v>36</v>
      </c>
      <c r="I139" t="s">
        <v>75</v>
      </c>
      <c r="J139" t="s">
        <v>31</v>
      </c>
      <c r="K139" t="s">
        <v>38</v>
      </c>
      <c r="L139" t="s">
        <v>77</v>
      </c>
      <c r="M139" t="s">
        <v>78</v>
      </c>
      <c r="N139" t="s">
        <v>79</v>
      </c>
      <c r="O139" t="s">
        <v>80</v>
      </c>
      <c r="Q139" t="s">
        <v>81</v>
      </c>
      <c r="T139">
        <v>40.039648939000003</v>
      </c>
      <c r="U139">
        <v>-75.589295023999995</v>
      </c>
      <c r="V139">
        <f>SUM(W139:X139)+(Y139*0.8)+(Z139*0.4)</f>
        <v>276</v>
      </c>
      <c r="W139">
        <v>0</v>
      </c>
      <c r="X139">
        <v>0</v>
      </c>
      <c r="Y139">
        <v>290</v>
      </c>
      <c r="Z139">
        <v>110</v>
      </c>
      <c r="AA139" t="s">
        <v>43</v>
      </c>
      <c r="AB139">
        <v>0</v>
      </c>
      <c r="AD139" t="s">
        <v>82</v>
      </c>
      <c r="AE139" t="s">
        <v>83</v>
      </c>
    </row>
    <row r="140" spans="1:31" x14ac:dyDescent="0.25">
      <c r="A140" t="s">
        <v>31</v>
      </c>
      <c r="C140" t="s">
        <v>6359</v>
      </c>
      <c r="D140" t="s">
        <v>6360</v>
      </c>
      <c r="E140" t="s">
        <v>34</v>
      </c>
      <c r="F140" t="s">
        <v>66</v>
      </c>
      <c r="H140" t="s">
        <v>36</v>
      </c>
      <c r="I140" t="s">
        <v>6361</v>
      </c>
      <c r="J140" t="s">
        <v>31</v>
      </c>
      <c r="K140" t="s">
        <v>38</v>
      </c>
      <c r="L140" t="s">
        <v>242</v>
      </c>
      <c r="M140" t="s">
        <v>243</v>
      </c>
      <c r="N140" t="s">
        <v>6362</v>
      </c>
      <c r="O140" t="s">
        <v>6363</v>
      </c>
      <c r="P140" t="s">
        <v>6364</v>
      </c>
      <c r="T140">
        <v>37.151665338999997</v>
      </c>
      <c r="U140">
        <v>-76.694347475000001</v>
      </c>
      <c r="V140">
        <f>SUM(W140:X140)+(Y140*0.8)+(Z140*0.4)</f>
        <v>273.60000000000002</v>
      </c>
      <c r="W140">
        <v>0</v>
      </c>
      <c r="X140">
        <v>0</v>
      </c>
      <c r="Y140">
        <v>342</v>
      </c>
      <c r="Z140">
        <v>0</v>
      </c>
      <c r="AA140" t="s">
        <v>43</v>
      </c>
      <c r="AB140">
        <v>0</v>
      </c>
      <c r="AD140" t="s">
        <v>6365</v>
      </c>
      <c r="AE140" t="s">
        <v>6366</v>
      </c>
    </row>
    <row r="141" spans="1:31" x14ac:dyDescent="0.25">
      <c r="A141" t="s">
        <v>31</v>
      </c>
      <c r="C141" t="s">
        <v>7588</v>
      </c>
      <c r="D141" t="s">
        <v>7589</v>
      </c>
      <c r="E141" t="s">
        <v>34</v>
      </c>
      <c r="F141" t="s">
        <v>66</v>
      </c>
      <c r="H141" t="s">
        <v>36</v>
      </c>
      <c r="I141" t="s">
        <v>7590</v>
      </c>
      <c r="J141" t="s">
        <v>31</v>
      </c>
      <c r="K141" t="s">
        <v>38</v>
      </c>
      <c r="L141" t="s">
        <v>77</v>
      </c>
      <c r="M141" t="s">
        <v>78</v>
      </c>
      <c r="N141" t="s">
        <v>3641</v>
      </c>
      <c r="O141" t="s">
        <v>7591</v>
      </c>
      <c r="P141" t="s">
        <v>7592</v>
      </c>
      <c r="Q141" t="s">
        <v>7593</v>
      </c>
      <c r="T141">
        <v>40.232192752000003</v>
      </c>
      <c r="U141">
        <v>-75.581080655999997</v>
      </c>
      <c r="V141">
        <f>SUM(W141:X141)+(Y141*0.8)+(Z141*0.4)</f>
        <v>266.40000000000003</v>
      </c>
      <c r="W141">
        <v>0</v>
      </c>
      <c r="X141">
        <v>0</v>
      </c>
      <c r="Y141">
        <v>0</v>
      </c>
      <c r="Z141">
        <v>666</v>
      </c>
      <c r="AA141" t="s">
        <v>43</v>
      </c>
      <c r="AB141">
        <v>0</v>
      </c>
      <c r="AD141" t="s">
        <v>7594</v>
      </c>
      <c r="AE141" t="s">
        <v>7595</v>
      </c>
    </row>
    <row r="142" spans="1:31" x14ac:dyDescent="0.25">
      <c r="A142" t="s">
        <v>31</v>
      </c>
      <c r="B142" t="s">
        <v>11350</v>
      </c>
      <c r="C142" t="s">
        <v>647</v>
      </c>
      <c r="D142" t="s">
        <v>663</v>
      </c>
      <c r="E142" t="s">
        <v>362</v>
      </c>
      <c r="F142" t="s">
        <v>649</v>
      </c>
      <c r="G142">
        <v>2025</v>
      </c>
      <c r="H142" t="s">
        <v>36</v>
      </c>
      <c r="I142" t="s">
        <v>664</v>
      </c>
      <c r="J142" t="s">
        <v>31</v>
      </c>
      <c r="K142" t="s">
        <v>38</v>
      </c>
      <c r="L142" t="s">
        <v>317</v>
      </c>
      <c r="M142" t="s">
        <v>318</v>
      </c>
      <c r="N142" t="s">
        <v>665</v>
      </c>
      <c r="O142" t="s">
        <v>666</v>
      </c>
      <c r="P142" t="s">
        <v>667</v>
      </c>
      <c r="Q142" t="s">
        <v>668</v>
      </c>
      <c r="S142" t="s">
        <v>669</v>
      </c>
      <c r="T142">
        <v>40.015865257000002</v>
      </c>
      <c r="U142">
        <v>-83.122689866000002</v>
      </c>
      <c r="V142">
        <f>SUM(W142:X142)+(Y142*0.8)+(Z142*0.4)</f>
        <v>264</v>
      </c>
      <c r="W142">
        <v>110</v>
      </c>
      <c r="X142">
        <v>0</v>
      </c>
      <c r="Y142">
        <v>110</v>
      </c>
      <c r="Z142">
        <v>165</v>
      </c>
      <c r="AA142" t="s">
        <v>43</v>
      </c>
      <c r="AB142">
        <v>220</v>
      </c>
      <c r="AD142" t="s">
        <v>670</v>
      </c>
      <c r="AE142" t="s">
        <v>671</v>
      </c>
    </row>
    <row r="143" spans="1:31" x14ac:dyDescent="0.25">
      <c r="A143" t="s">
        <v>31</v>
      </c>
      <c r="C143" t="s">
        <v>4754</v>
      </c>
      <c r="D143" t="s">
        <v>4755</v>
      </c>
      <c r="E143" t="s">
        <v>34</v>
      </c>
      <c r="F143" t="s">
        <v>66</v>
      </c>
      <c r="H143" t="s">
        <v>36</v>
      </c>
      <c r="J143" t="s">
        <v>31</v>
      </c>
      <c r="K143" t="s">
        <v>38</v>
      </c>
      <c r="L143" t="s">
        <v>185</v>
      </c>
      <c r="M143" t="s">
        <v>186</v>
      </c>
      <c r="N143" t="s">
        <v>155</v>
      </c>
      <c r="P143" t="s">
        <v>4756</v>
      </c>
      <c r="T143">
        <v>33.707516687000002</v>
      </c>
      <c r="U143">
        <v>-84.874605568999996</v>
      </c>
      <c r="V143">
        <f>SUM(W143:X143)+(Y143*0.8)+(Z143*0.4)</f>
        <v>264</v>
      </c>
      <c r="W143">
        <v>0</v>
      </c>
      <c r="X143">
        <v>0</v>
      </c>
      <c r="Y143">
        <v>0</v>
      </c>
      <c r="Z143">
        <v>660</v>
      </c>
      <c r="AA143" t="s">
        <v>43</v>
      </c>
      <c r="AB143">
        <v>0</v>
      </c>
      <c r="AD143" t="s">
        <v>4757</v>
      </c>
      <c r="AE143" t="s">
        <v>4758</v>
      </c>
    </row>
    <row r="144" spans="1:31" x14ac:dyDescent="0.25">
      <c r="A144" t="s">
        <v>31</v>
      </c>
      <c r="C144" t="s">
        <v>9202</v>
      </c>
      <c r="D144" t="s">
        <v>9351</v>
      </c>
      <c r="E144" t="s">
        <v>34</v>
      </c>
      <c r="F144" t="s">
        <v>35</v>
      </c>
      <c r="G144">
        <v>2026</v>
      </c>
      <c r="H144" t="s">
        <v>36</v>
      </c>
      <c r="I144" t="s">
        <v>9352</v>
      </c>
      <c r="J144" t="s">
        <v>31</v>
      </c>
      <c r="K144" t="s">
        <v>38</v>
      </c>
      <c r="L144" t="s">
        <v>620</v>
      </c>
      <c r="M144" t="s">
        <v>621</v>
      </c>
      <c r="N144" t="s">
        <v>5917</v>
      </c>
      <c r="O144" t="s">
        <v>6154</v>
      </c>
      <c r="P144" t="s">
        <v>6155</v>
      </c>
      <c r="T144">
        <v>40.266657588999998</v>
      </c>
      <c r="U144">
        <v>-112.03353166700001</v>
      </c>
      <c r="V144">
        <f>SUM(W144:X144)+(Y144*0.8)+(Z144*0.4)</f>
        <v>260</v>
      </c>
      <c r="W144">
        <v>0</v>
      </c>
      <c r="X144">
        <v>0</v>
      </c>
      <c r="Y144">
        <v>0</v>
      </c>
      <c r="Z144">
        <v>650</v>
      </c>
      <c r="AA144" t="s">
        <v>43</v>
      </c>
      <c r="AB144">
        <v>0</v>
      </c>
      <c r="AD144" t="s">
        <v>9353</v>
      </c>
      <c r="AE144" t="s">
        <v>9354</v>
      </c>
    </row>
    <row r="145" spans="1:31" x14ac:dyDescent="0.25">
      <c r="A145" t="s">
        <v>31</v>
      </c>
      <c r="C145" t="s">
        <v>4998</v>
      </c>
      <c r="D145" t="s">
        <v>5007</v>
      </c>
      <c r="E145" t="s">
        <v>34</v>
      </c>
      <c r="F145" t="s">
        <v>66</v>
      </c>
      <c r="H145" t="s">
        <v>36</v>
      </c>
      <c r="I145" t="s">
        <v>5008</v>
      </c>
      <c r="J145" t="s">
        <v>31</v>
      </c>
      <c r="K145" t="s">
        <v>38</v>
      </c>
      <c r="L145" t="s">
        <v>242</v>
      </c>
      <c r="M145" t="s">
        <v>243</v>
      </c>
      <c r="N145" t="s">
        <v>748</v>
      </c>
      <c r="O145" t="s">
        <v>3220</v>
      </c>
      <c r="P145" t="s">
        <v>2551</v>
      </c>
      <c r="T145">
        <v>38.463209911</v>
      </c>
      <c r="U145">
        <v>-77.982736379000002</v>
      </c>
      <c r="V145">
        <f>SUM(W145:X145)+(Y145*0.8)+(Z145*0.4)</f>
        <v>259.20000000000005</v>
      </c>
      <c r="W145">
        <v>0</v>
      </c>
      <c r="X145">
        <v>0</v>
      </c>
      <c r="Y145">
        <v>216</v>
      </c>
      <c r="Z145">
        <v>216</v>
      </c>
      <c r="AA145" t="s">
        <v>43</v>
      </c>
      <c r="AB145">
        <v>0</v>
      </c>
      <c r="AD145" t="s">
        <v>5009</v>
      </c>
      <c r="AE145" t="s">
        <v>5010</v>
      </c>
    </row>
    <row r="146" spans="1:31" x14ac:dyDescent="0.25">
      <c r="A146" t="s">
        <v>31</v>
      </c>
      <c r="B146" t="s">
        <v>11350</v>
      </c>
      <c r="C146" t="s">
        <v>7684</v>
      </c>
      <c r="D146" t="s">
        <v>7792</v>
      </c>
      <c r="E146" t="s">
        <v>362</v>
      </c>
      <c r="F146" t="s">
        <v>7686</v>
      </c>
      <c r="G146">
        <v>2027</v>
      </c>
      <c r="H146" t="s">
        <v>36</v>
      </c>
      <c r="I146" t="s">
        <v>1115</v>
      </c>
      <c r="J146" t="s">
        <v>31</v>
      </c>
      <c r="K146" t="s">
        <v>38</v>
      </c>
      <c r="L146" t="s">
        <v>143</v>
      </c>
      <c r="M146" t="s">
        <v>144</v>
      </c>
      <c r="N146" t="s">
        <v>3368</v>
      </c>
      <c r="O146" t="s">
        <v>7561</v>
      </c>
      <c r="P146" t="s">
        <v>7793</v>
      </c>
      <c r="Q146" t="s">
        <v>3893</v>
      </c>
      <c r="T146">
        <v>40.059315953999999</v>
      </c>
      <c r="U146">
        <v>-86.537956234000006</v>
      </c>
      <c r="V146">
        <f>SUM(W146:X146)+(Y146*0.8)+(Z146*0.4)</f>
        <v>253.44</v>
      </c>
      <c r="W146">
        <v>0</v>
      </c>
      <c r="X146">
        <v>0</v>
      </c>
      <c r="Y146">
        <v>211.2</v>
      </c>
      <c r="Z146">
        <v>211.2</v>
      </c>
      <c r="AA146" t="s">
        <v>43</v>
      </c>
      <c r="AB146">
        <v>211.2</v>
      </c>
      <c r="AD146" t="s">
        <v>7794</v>
      </c>
      <c r="AE146" t="s">
        <v>7795</v>
      </c>
    </row>
    <row r="147" spans="1:31" x14ac:dyDescent="0.25">
      <c r="A147" t="s">
        <v>31</v>
      </c>
      <c r="C147" t="s">
        <v>9524</v>
      </c>
      <c r="D147" t="s">
        <v>9525</v>
      </c>
      <c r="E147" t="s">
        <v>34</v>
      </c>
      <c r="F147" t="s">
        <v>76</v>
      </c>
      <c r="G147">
        <v>2026</v>
      </c>
      <c r="H147" t="s">
        <v>36</v>
      </c>
      <c r="I147" t="s">
        <v>9526</v>
      </c>
      <c r="J147" t="s">
        <v>31</v>
      </c>
      <c r="K147" t="s">
        <v>38</v>
      </c>
      <c r="L147" t="s">
        <v>68</v>
      </c>
      <c r="M147" t="s">
        <v>69</v>
      </c>
      <c r="N147" t="s">
        <v>7893</v>
      </c>
      <c r="P147" t="s">
        <v>9527</v>
      </c>
      <c r="T147">
        <v>29.219539833999999</v>
      </c>
      <c r="U147">
        <v>-98.838998173999997</v>
      </c>
      <c r="V147">
        <f>SUM(W147:X147)+(Y147*0.8)+(Z147*0.4)</f>
        <v>252</v>
      </c>
      <c r="W147">
        <v>0</v>
      </c>
      <c r="X147">
        <v>60</v>
      </c>
      <c r="Y147">
        <v>240</v>
      </c>
      <c r="Z147">
        <v>0</v>
      </c>
      <c r="AA147" t="s">
        <v>43</v>
      </c>
      <c r="AB147">
        <v>300</v>
      </c>
      <c r="AD147" t="s">
        <v>9528</v>
      </c>
      <c r="AE147" t="s">
        <v>9529</v>
      </c>
    </row>
    <row r="148" spans="1:31" x14ac:dyDescent="0.25">
      <c r="A148" t="s">
        <v>31</v>
      </c>
      <c r="C148" t="s">
        <v>4012</v>
      </c>
      <c r="D148" t="s">
        <v>4013</v>
      </c>
      <c r="E148" t="s">
        <v>34</v>
      </c>
      <c r="F148" t="s">
        <v>76</v>
      </c>
      <c r="G148">
        <v>2025</v>
      </c>
      <c r="H148" t="s">
        <v>36</v>
      </c>
      <c r="I148" t="s">
        <v>4014</v>
      </c>
      <c r="J148" t="s">
        <v>31</v>
      </c>
      <c r="K148" t="s">
        <v>38</v>
      </c>
      <c r="L148" t="s">
        <v>39</v>
      </c>
      <c r="M148" t="s">
        <v>40</v>
      </c>
      <c r="N148" t="s">
        <v>487</v>
      </c>
      <c r="O148" t="s">
        <v>4015</v>
      </c>
      <c r="P148" t="s">
        <v>4016</v>
      </c>
      <c r="Q148" t="s">
        <v>4015</v>
      </c>
      <c r="T148">
        <v>39.427569560999999</v>
      </c>
      <c r="U148">
        <v>-75.016730796000004</v>
      </c>
      <c r="V148">
        <f>SUM(W148:X148)+(Y148*0.8)+(Z148*0.4)</f>
        <v>250</v>
      </c>
      <c r="W148">
        <v>50</v>
      </c>
      <c r="X148">
        <v>0</v>
      </c>
      <c r="Y148">
        <v>250</v>
      </c>
      <c r="Z148">
        <v>0</v>
      </c>
      <c r="AA148" t="s">
        <v>43</v>
      </c>
      <c r="AB148">
        <v>0</v>
      </c>
      <c r="AD148" t="s">
        <v>4017</v>
      </c>
      <c r="AE148" t="s">
        <v>4018</v>
      </c>
    </row>
    <row r="149" spans="1:31" x14ac:dyDescent="0.25">
      <c r="A149" t="s">
        <v>31</v>
      </c>
      <c r="C149" t="s">
        <v>10285</v>
      </c>
      <c r="D149" t="s">
        <v>10286</v>
      </c>
      <c r="E149" t="s">
        <v>34</v>
      </c>
      <c r="F149" t="s">
        <v>66</v>
      </c>
      <c r="G149">
        <v>2009</v>
      </c>
      <c r="H149" t="s">
        <v>36</v>
      </c>
      <c r="I149" t="s">
        <v>10287</v>
      </c>
      <c r="J149" t="s">
        <v>31</v>
      </c>
      <c r="K149" t="s">
        <v>38</v>
      </c>
      <c r="L149" t="s">
        <v>242</v>
      </c>
      <c r="M149" t="s">
        <v>243</v>
      </c>
      <c r="N149" t="s">
        <v>2270</v>
      </c>
      <c r="O149" t="s">
        <v>1353</v>
      </c>
      <c r="P149" t="s">
        <v>8039</v>
      </c>
      <c r="T149">
        <v>36.601063441000001</v>
      </c>
      <c r="U149">
        <v>-78.550200610999994</v>
      </c>
      <c r="V149">
        <f>SUM(W149:X149)+(Y149*0.8)+(Z149*0.4)</f>
        <v>249.60000000000002</v>
      </c>
      <c r="W149">
        <v>48</v>
      </c>
      <c r="X149">
        <v>0</v>
      </c>
      <c r="Y149">
        <v>252</v>
      </c>
      <c r="Z149">
        <v>0</v>
      </c>
      <c r="AA149" t="s">
        <v>43</v>
      </c>
      <c r="AB149">
        <v>80</v>
      </c>
      <c r="AD149" t="s">
        <v>10288</v>
      </c>
      <c r="AE149" t="s">
        <v>10289</v>
      </c>
    </row>
    <row r="150" spans="1:31" x14ac:dyDescent="0.25">
      <c r="A150" t="s">
        <v>31</v>
      </c>
      <c r="C150" t="s">
        <v>9202</v>
      </c>
      <c r="D150" t="s">
        <v>2001</v>
      </c>
      <c r="E150" t="s">
        <v>34</v>
      </c>
      <c r="F150" t="s">
        <v>66</v>
      </c>
      <c r="H150" t="s">
        <v>36</v>
      </c>
      <c r="I150" t="s">
        <v>9379</v>
      </c>
      <c r="J150" t="s">
        <v>31</v>
      </c>
      <c r="K150" t="s">
        <v>38</v>
      </c>
      <c r="L150" t="s">
        <v>2437</v>
      </c>
      <c r="M150" t="s">
        <v>2438</v>
      </c>
      <c r="N150" t="s">
        <v>2001</v>
      </c>
      <c r="O150" t="s">
        <v>9380</v>
      </c>
      <c r="P150" t="s">
        <v>9381</v>
      </c>
      <c r="T150">
        <v>35.038066991000001</v>
      </c>
      <c r="U150">
        <v>-81.108028468000001</v>
      </c>
      <c r="V150">
        <f>SUM(W150:X150)+(Y150*0.8)+(Z150*0.4)</f>
        <v>249.60000000000002</v>
      </c>
      <c r="W150">
        <v>0</v>
      </c>
      <c r="X150">
        <v>0</v>
      </c>
      <c r="Y150">
        <v>48</v>
      </c>
      <c r="Z150">
        <v>528</v>
      </c>
      <c r="AA150" t="s">
        <v>43</v>
      </c>
      <c r="AB150">
        <v>0</v>
      </c>
      <c r="AD150" t="s">
        <v>9382</v>
      </c>
      <c r="AE150" t="s">
        <v>9383</v>
      </c>
    </row>
    <row r="151" spans="1:31" x14ac:dyDescent="0.25">
      <c r="A151" t="s">
        <v>31</v>
      </c>
      <c r="C151" t="s">
        <v>9202</v>
      </c>
      <c r="D151" t="s">
        <v>9280</v>
      </c>
      <c r="E151" t="s">
        <v>34</v>
      </c>
      <c r="F151" t="s">
        <v>66</v>
      </c>
      <c r="G151">
        <v>2020</v>
      </c>
      <c r="H151" t="s">
        <v>36</v>
      </c>
      <c r="I151" t="s">
        <v>9281</v>
      </c>
      <c r="J151" t="s">
        <v>31</v>
      </c>
      <c r="K151" t="s">
        <v>38</v>
      </c>
      <c r="L151" t="s">
        <v>133</v>
      </c>
      <c r="M151" t="s">
        <v>134</v>
      </c>
      <c r="N151" t="s">
        <v>419</v>
      </c>
      <c r="O151" t="s">
        <v>420</v>
      </c>
      <c r="P151" t="s">
        <v>421</v>
      </c>
      <c r="S151" t="s">
        <v>4613</v>
      </c>
      <c r="T151">
        <v>45.558422514999997</v>
      </c>
      <c r="U151">
        <v>-122.927890612</v>
      </c>
      <c r="V151">
        <f>SUM(W151:X151)+(Y151*0.8)+(Z151*0.4)</f>
        <v>248</v>
      </c>
      <c r="W151">
        <v>248</v>
      </c>
      <c r="X151">
        <v>0</v>
      </c>
      <c r="Y151">
        <v>0</v>
      </c>
      <c r="Z151">
        <v>0</v>
      </c>
      <c r="AA151" t="s">
        <v>43</v>
      </c>
      <c r="AB151">
        <v>248</v>
      </c>
      <c r="AD151" t="s">
        <v>9282</v>
      </c>
      <c r="AE151" t="s">
        <v>9283</v>
      </c>
    </row>
    <row r="152" spans="1:31" x14ac:dyDescent="0.25">
      <c r="A152" t="s">
        <v>31</v>
      </c>
      <c r="C152" t="s">
        <v>7071</v>
      </c>
      <c r="D152" t="s">
        <v>7072</v>
      </c>
      <c r="E152" t="s">
        <v>34</v>
      </c>
      <c r="F152" t="s">
        <v>66</v>
      </c>
      <c r="H152" t="s">
        <v>36</v>
      </c>
      <c r="I152" t="s">
        <v>1501</v>
      </c>
      <c r="J152" t="s">
        <v>31</v>
      </c>
      <c r="K152" t="s">
        <v>38</v>
      </c>
      <c r="L152" t="s">
        <v>77</v>
      </c>
      <c r="M152" t="s">
        <v>78</v>
      </c>
      <c r="N152" t="s">
        <v>1502</v>
      </c>
      <c r="O152" t="s">
        <v>1503</v>
      </c>
      <c r="P152" t="s">
        <v>7073</v>
      </c>
      <c r="Q152" t="s">
        <v>1503</v>
      </c>
      <c r="T152">
        <v>41.499793306999997</v>
      </c>
      <c r="U152">
        <v>-75.586494521999995</v>
      </c>
      <c r="V152">
        <f>SUM(W152:X152)+(Y152*0.8)+(Z152*0.4)</f>
        <v>246.45600000000002</v>
      </c>
      <c r="W152">
        <v>0</v>
      </c>
      <c r="X152">
        <v>0</v>
      </c>
      <c r="Y152">
        <v>0</v>
      </c>
      <c r="Z152">
        <v>616.14</v>
      </c>
      <c r="AA152" t="s">
        <v>43</v>
      </c>
      <c r="AB152">
        <v>0</v>
      </c>
      <c r="AD152" t="s">
        <v>7074</v>
      </c>
      <c r="AE152" t="s">
        <v>7075</v>
      </c>
    </row>
    <row r="153" spans="1:31" x14ac:dyDescent="0.25">
      <c r="A153" t="s">
        <v>31</v>
      </c>
      <c r="C153" t="s">
        <v>9468</v>
      </c>
      <c r="D153" t="s">
        <v>9475</v>
      </c>
      <c r="E153" t="s">
        <v>34</v>
      </c>
      <c r="F153" t="s">
        <v>66</v>
      </c>
      <c r="G153">
        <v>2027</v>
      </c>
      <c r="H153" t="s">
        <v>36</v>
      </c>
      <c r="I153" t="s">
        <v>9476</v>
      </c>
      <c r="J153" t="s">
        <v>31</v>
      </c>
      <c r="K153" t="s">
        <v>38</v>
      </c>
      <c r="L153" t="s">
        <v>3818</v>
      </c>
      <c r="M153" t="s">
        <v>3819</v>
      </c>
      <c r="N153" t="s">
        <v>9032</v>
      </c>
      <c r="O153" t="s">
        <v>5056</v>
      </c>
      <c r="P153" t="s">
        <v>9477</v>
      </c>
      <c r="Q153" t="s">
        <v>5056</v>
      </c>
      <c r="T153">
        <v>39.132461804999998</v>
      </c>
      <c r="U153">
        <v>-94.880338003000006</v>
      </c>
      <c r="V153">
        <f>SUM(W153:X153)+(Y153*0.8)+(Z153*0.4)</f>
        <v>240</v>
      </c>
      <c r="W153">
        <v>0</v>
      </c>
      <c r="X153">
        <v>0</v>
      </c>
      <c r="Y153">
        <v>0</v>
      </c>
      <c r="Z153">
        <v>600</v>
      </c>
      <c r="AA153" t="s">
        <v>43</v>
      </c>
      <c r="AB153">
        <v>0</v>
      </c>
      <c r="AD153" t="s">
        <v>9478</v>
      </c>
      <c r="AE153" t="s">
        <v>9479</v>
      </c>
    </row>
    <row r="154" spans="1:31" x14ac:dyDescent="0.25">
      <c r="A154" t="s">
        <v>31</v>
      </c>
      <c r="C154" t="s">
        <v>8969</v>
      </c>
      <c r="D154" t="s">
        <v>8970</v>
      </c>
      <c r="E154" t="s">
        <v>34</v>
      </c>
      <c r="F154" t="s">
        <v>66</v>
      </c>
      <c r="G154">
        <v>2027</v>
      </c>
      <c r="H154" t="s">
        <v>36</v>
      </c>
      <c r="I154" t="s">
        <v>8971</v>
      </c>
      <c r="J154" t="s">
        <v>31</v>
      </c>
      <c r="K154" t="s">
        <v>38</v>
      </c>
      <c r="L154" t="s">
        <v>242</v>
      </c>
      <c r="M154" t="s">
        <v>243</v>
      </c>
      <c r="N154" t="s">
        <v>2422</v>
      </c>
      <c r="O154" t="s">
        <v>6127</v>
      </c>
      <c r="P154" t="s">
        <v>2424</v>
      </c>
      <c r="T154">
        <v>37.357095543</v>
      </c>
      <c r="U154">
        <v>-77.334700853000001</v>
      </c>
      <c r="V154">
        <f>SUM(W154:X154)+(Y154*0.8)+(Z154*0.4)</f>
        <v>240</v>
      </c>
      <c r="W154">
        <v>0</v>
      </c>
      <c r="X154">
        <v>0</v>
      </c>
      <c r="Y154">
        <v>300</v>
      </c>
      <c r="Z154">
        <v>0</v>
      </c>
      <c r="AA154" t="s">
        <v>43</v>
      </c>
      <c r="AB154">
        <v>0</v>
      </c>
      <c r="AD154" t="s">
        <v>8972</v>
      </c>
      <c r="AE154" t="s">
        <v>8973</v>
      </c>
    </row>
    <row r="155" spans="1:31" x14ac:dyDescent="0.25">
      <c r="A155" t="s">
        <v>31</v>
      </c>
      <c r="C155" t="s">
        <v>1724</v>
      </c>
      <c r="D155" t="s">
        <v>1754</v>
      </c>
      <c r="E155" t="s">
        <v>34</v>
      </c>
      <c r="F155" t="s">
        <v>66</v>
      </c>
      <c r="G155">
        <v>2026</v>
      </c>
      <c r="H155" t="s">
        <v>36</v>
      </c>
      <c r="I155" t="s">
        <v>1755</v>
      </c>
      <c r="J155" t="s">
        <v>31</v>
      </c>
      <c r="K155" t="s">
        <v>38</v>
      </c>
      <c r="L155" t="s">
        <v>242</v>
      </c>
      <c r="M155" t="s">
        <v>243</v>
      </c>
      <c r="N155" t="s">
        <v>1756</v>
      </c>
      <c r="O155" t="s">
        <v>1757</v>
      </c>
      <c r="P155" t="s">
        <v>1758</v>
      </c>
      <c r="T155">
        <v>37.928092540000002</v>
      </c>
      <c r="U155">
        <v>-77.469518199999996</v>
      </c>
      <c r="V155">
        <f>SUM(W155:X155)+(Y155*0.8)+(Z155*0.4)</f>
        <v>240</v>
      </c>
      <c r="W155">
        <v>0</v>
      </c>
      <c r="X155">
        <v>0</v>
      </c>
      <c r="Y155">
        <v>300</v>
      </c>
      <c r="Z155">
        <v>0</v>
      </c>
      <c r="AA155" t="s">
        <v>43</v>
      </c>
      <c r="AB155">
        <v>0</v>
      </c>
      <c r="AD155" t="s">
        <v>1759</v>
      </c>
      <c r="AE155" t="s">
        <v>1760</v>
      </c>
    </row>
    <row r="156" spans="1:31" x14ac:dyDescent="0.25">
      <c r="A156" t="s">
        <v>31</v>
      </c>
      <c r="B156" t="s">
        <v>11350</v>
      </c>
      <c r="C156" t="s">
        <v>7684</v>
      </c>
      <c r="D156" t="s">
        <v>7700</v>
      </c>
      <c r="E156" t="s">
        <v>362</v>
      </c>
      <c r="F156" t="s">
        <v>7686</v>
      </c>
      <c r="G156">
        <v>2022</v>
      </c>
      <c r="H156" t="s">
        <v>36</v>
      </c>
      <c r="I156" t="s">
        <v>7701</v>
      </c>
      <c r="J156" t="s">
        <v>31</v>
      </c>
      <c r="K156" t="s">
        <v>38</v>
      </c>
      <c r="L156" t="s">
        <v>86</v>
      </c>
      <c r="M156" t="s">
        <v>87</v>
      </c>
      <c r="N156" t="s">
        <v>7702</v>
      </c>
      <c r="O156" t="s">
        <v>7700</v>
      </c>
      <c r="T156">
        <v>41.888150064000001</v>
      </c>
      <c r="U156">
        <v>-88.721005683000001</v>
      </c>
      <c r="V156">
        <f>SUM(W156:X156)+(Y156*0.8)+(Z156*0.4)</f>
        <v>240</v>
      </c>
      <c r="W156">
        <v>240</v>
      </c>
      <c r="X156">
        <v>0</v>
      </c>
      <c r="Y156">
        <v>0</v>
      </c>
      <c r="Z156">
        <v>0</v>
      </c>
      <c r="AA156" t="s">
        <v>43</v>
      </c>
      <c r="AB156">
        <v>240</v>
      </c>
      <c r="AD156" t="s">
        <v>7703</v>
      </c>
      <c r="AE156" t="s">
        <v>7704</v>
      </c>
    </row>
    <row r="157" spans="1:31" x14ac:dyDescent="0.25">
      <c r="A157" t="s">
        <v>31</v>
      </c>
      <c r="B157" t="s">
        <v>11350</v>
      </c>
      <c r="C157" t="s">
        <v>7857</v>
      </c>
      <c r="D157" t="s">
        <v>8095</v>
      </c>
      <c r="E157" t="s">
        <v>362</v>
      </c>
      <c r="F157" t="s">
        <v>649</v>
      </c>
      <c r="G157">
        <v>2021</v>
      </c>
      <c r="H157" t="s">
        <v>36</v>
      </c>
      <c r="I157" t="s">
        <v>8096</v>
      </c>
      <c r="J157" t="s">
        <v>31</v>
      </c>
      <c r="K157" t="s">
        <v>38</v>
      </c>
      <c r="L157" t="s">
        <v>1433</v>
      </c>
      <c r="M157" t="s">
        <v>1434</v>
      </c>
      <c r="N157" t="s">
        <v>3352</v>
      </c>
      <c r="O157" t="s">
        <v>7868</v>
      </c>
      <c r="P157" t="s">
        <v>8097</v>
      </c>
      <c r="T157">
        <v>41.498363038999997</v>
      </c>
      <c r="U157">
        <v>-93.786998983999993</v>
      </c>
      <c r="V157">
        <f>SUM(W157:X157)+(Y157*0.8)+(Z157*0.4)</f>
        <v>240</v>
      </c>
      <c r="W157">
        <v>240</v>
      </c>
      <c r="X157">
        <v>0</v>
      </c>
      <c r="Y157">
        <v>0</v>
      </c>
      <c r="Z157">
        <v>0</v>
      </c>
      <c r="AA157" t="s">
        <v>43</v>
      </c>
      <c r="AB157">
        <v>240</v>
      </c>
      <c r="AD157" t="s">
        <v>8098</v>
      </c>
      <c r="AE157" t="s">
        <v>8099</v>
      </c>
    </row>
    <row r="158" spans="1:31" x14ac:dyDescent="0.25">
      <c r="A158" t="s">
        <v>31</v>
      </c>
      <c r="B158" t="s">
        <v>11350</v>
      </c>
      <c r="C158" t="s">
        <v>7684</v>
      </c>
      <c r="D158" t="s">
        <v>7813</v>
      </c>
      <c r="E158" t="s">
        <v>362</v>
      </c>
      <c r="F158" t="s">
        <v>7686</v>
      </c>
      <c r="G158">
        <v>2020</v>
      </c>
      <c r="H158" t="s">
        <v>36</v>
      </c>
      <c r="I158" t="s">
        <v>7814</v>
      </c>
      <c r="J158" t="s">
        <v>31</v>
      </c>
      <c r="K158" t="s">
        <v>38</v>
      </c>
      <c r="L158" t="s">
        <v>185</v>
      </c>
      <c r="M158" t="s">
        <v>186</v>
      </c>
      <c r="N158" t="s">
        <v>963</v>
      </c>
      <c r="O158" t="s">
        <v>7815</v>
      </c>
      <c r="P158" t="s">
        <v>7816</v>
      </c>
      <c r="T158">
        <v>33.601465324999999</v>
      </c>
      <c r="U158">
        <v>-83.700894305999995</v>
      </c>
      <c r="V158">
        <f>SUM(W158:X158)+(Y158*0.8)+(Z158*0.4)</f>
        <v>240</v>
      </c>
      <c r="W158">
        <v>240</v>
      </c>
      <c r="X158">
        <v>0</v>
      </c>
      <c r="Y158">
        <v>0</v>
      </c>
      <c r="Z158">
        <v>0</v>
      </c>
      <c r="AA158" t="s">
        <v>43</v>
      </c>
      <c r="AB158">
        <v>240</v>
      </c>
      <c r="AD158" t="s">
        <v>7817</v>
      </c>
      <c r="AE158" t="s">
        <v>7818</v>
      </c>
    </row>
    <row r="159" spans="1:31" x14ac:dyDescent="0.25">
      <c r="A159" t="s">
        <v>31</v>
      </c>
      <c r="C159" t="s">
        <v>9178</v>
      </c>
      <c r="D159" t="s">
        <v>9179</v>
      </c>
      <c r="E159" t="s">
        <v>34</v>
      </c>
      <c r="F159" t="s">
        <v>66</v>
      </c>
      <c r="H159" t="s">
        <v>36</v>
      </c>
      <c r="I159" t="s">
        <v>9180</v>
      </c>
      <c r="J159" t="s">
        <v>31</v>
      </c>
      <c r="K159" t="s">
        <v>38</v>
      </c>
      <c r="L159" t="s">
        <v>242</v>
      </c>
      <c r="M159" t="s">
        <v>243</v>
      </c>
      <c r="N159" t="s">
        <v>9181</v>
      </c>
      <c r="O159" t="s">
        <v>9182</v>
      </c>
      <c r="P159" t="s">
        <v>9183</v>
      </c>
      <c r="T159">
        <v>37.509047697</v>
      </c>
      <c r="U159">
        <v>-77.731655326999999</v>
      </c>
      <c r="V159">
        <f>SUM(W159:X159)+(Y159*0.8)+(Z159*0.4)</f>
        <v>240</v>
      </c>
      <c r="W159">
        <v>0</v>
      </c>
      <c r="X159">
        <v>0</v>
      </c>
      <c r="Y159">
        <v>300</v>
      </c>
      <c r="Z159">
        <v>0</v>
      </c>
      <c r="AA159" t="s">
        <v>43</v>
      </c>
      <c r="AB159">
        <v>0</v>
      </c>
      <c r="AD159" t="s">
        <v>9184</v>
      </c>
      <c r="AE159" t="s">
        <v>9185</v>
      </c>
    </row>
    <row r="160" spans="1:31" x14ac:dyDescent="0.25">
      <c r="A160" t="s">
        <v>31</v>
      </c>
      <c r="C160" t="s">
        <v>8913</v>
      </c>
      <c r="D160" t="s">
        <v>8932</v>
      </c>
      <c r="E160" t="s">
        <v>34</v>
      </c>
      <c r="F160" t="s">
        <v>43</v>
      </c>
      <c r="H160" t="s">
        <v>411</v>
      </c>
      <c r="I160" t="s">
        <v>8933</v>
      </c>
      <c r="J160" t="s">
        <v>31</v>
      </c>
      <c r="K160" t="s">
        <v>38</v>
      </c>
      <c r="L160" t="s">
        <v>242</v>
      </c>
      <c r="M160" t="s">
        <v>243</v>
      </c>
      <c r="N160" t="s">
        <v>8934</v>
      </c>
      <c r="T160">
        <v>37.335555927000001</v>
      </c>
      <c r="U160">
        <v>-76.988461418</v>
      </c>
      <c r="V160">
        <f>SUM(W160:X160)+(Y160*0.8)+(Z160*0.4)</f>
        <v>240</v>
      </c>
      <c r="W160">
        <v>0</v>
      </c>
      <c r="X160">
        <v>0</v>
      </c>
      <c r="Y160">
        <v>0</v>
      </c>
      <c r="Z160">
        <v>600</v>
      </c>
      <c r="AA160" t="s">
        <v>43</v>
      </c>
      <c r="AB160">
        <v>0</v>
      </c>
      <c r="AD160" t="s">
        <v>8935</v>
      </c>
      <c r="AE160" t="s">
        <v>8936</v>
      </c>
    </row>
    <row r="161" spans="1:31" x14ac:dyDescent="0.25">
      <c r="A161" t="s">
        <v>31</v>
      </c>
      <c r="B161" t="s">
        <v>11350</v>
      </c>
      <c r="C161" t="s">
        <v>647</v>
      </c>
      <c r="D161" t="s">
        <v>938</v>
      </c>
      <c r="E161" t="s">
        <v>362</v>
      </c>
      <c r="F161" t="s">
        <v>649</v>
      </c>
      <c r="H161" t="s">
        <v>36</v>
      </c>
      <c r="I161" t="s">
        <v>939</v>
      </c>
      <c r="J161" t="s">
        <v>31</v>
      </c>
      <c r="K161" t="s">
        <v>38</v>
      </c>
      <c r="L161" t="s">
        <v>242</v>
      </c>
      <c r="M161" t="s">
        <v>243</v>
      </c>
      <c r="N161" t="s">
        <v>940</v>
      </c>
      <c r="O161" t="s">
        <v>941</v>
      </c>
      <c r="P161" t="s">
        <v>942</v>
      </c>
      <c r="T161">
        <v>38.191637997999997</v>
      </c>
      <c r="U161">
        <v>-77.469986712999997</v>
      </c>
      <c r="V161">
        <f>SUM(W161:X161)+(Y161*0.8)+(Z161*0.4)</f>
        <v>240</v>
      </c>
      <c r="W161">
        <v>0</v>
      </c>
      <c r="X161">
        <v>0</v>
      </c>
      <c r="Y161">
        <v>300</v>
      </c>
      <c r="Z161">
        <v>0</v>
      </c>
      <c r="AA161" t="s">
        <v>43</v>
      </c>
      <c r="AB161">
        <v>300</v>
      </c>
      <c r="AD161" t="s">
        <v>943</v>
      </c>
      <c r="AE161" t="s">
        <v>944</v>
      </c>
    </row>
    <row r="162" spans="1:31" x14ac:dyDescent="0.25">
      <c r="A162" t="s">
        <v>31</v>
      </c>
      <c r="C162" t="s">
        <v>10876</v>
      </c>
      <c r="D162" t="s">
        <v>10890</v>
      </c>
      <c r="E162" t="s">
        <v>34</v>
      </c>
      <c r="F162" t="s">
        <v>66</v>
      </c>
      <c r="G162">
        <v>2025</v>
      </c>
      <c r="H162" t="s">
        <v>36</v>
      </c>
      <c r="I162" t="s">
        <v>10891</v>
      </c>
      <c r="J162" t="s">
        <v>31</v>
      </c>
      <c r="K162" t="s">
        <v>38</v>
      </c>
      <c r="L162" t="s">
        <v>242</v>
      </c>
      <c r="M162" t="s">
        <v>243</v>
      </c>
      <c r="N162" t="s">
        <v>405</v>
      </c>
      <c r="O162" t="s">
        <v>516</v>
      </c>
      <c r="P162" t="s">
        <v>517</v>
      </c>
      <c r="T162">
        <v>39.079567533000002</v>
      </c>
      <c r="U162">
        <v>-77.506315262000001</v>
      </c>
      <c r="V162">
        <f>SUM(W162:X162)+(Y162*0.8)+(Z162*0.4)</f>
        <v>238.60000000000002</v>
      </c>
      <c r="W162">
        <v>25</v>
      </c>
      <c r="X162">
        <v>16</v>
      </c>
      <c r="Y162">
        <v>247</v>
      </c>
      <c r="Z162">
        <v>0</v>
      </c>
      <c r="AA162" t="s">
        <v>43</v>
      </c>
      <c r="AB162">
        <v>288</v>
      </c>
      <c r="AD162" t="s">
        <v>10892</v>
      </c>
      <c r="AE162" t="s">
        <v>10893</v>
      </c>
    </row>
    <row r="163" spans="1:31" x14ac:dyDescent="0.25">
      <c r="A163" t="s">
        <v>31</v>
      </c>
      <c r="C163" t="s">
        <v>8571</v>
      </c>
      <c r="D163" t="s">
        <v>8648</v>
      </c>
      <c r="E163" t="s">
        <v>34</v>
      </c>
      <c r="F163" t="s">
        <v>66</v>
      </c>
      <c r="G163">
        <v>2022</v>
      </c>
      <c r="H163" t="s">
        <v>36</v>
      </c>
      <c r="I163" t="s">
        <v>8649</v>
      </c>
      <c r="J163" t="s">
        <v>31</v>
      </c>
      <c r="K163" t="s">
        <v>38</v>
      </c>
      <c r="L163" t="s">
        <v>326</v>
      </c>
      <c r="M163" t="s">
        <v>327</v>
      </c>
      <c r="N163" t="s">
        <v>328</v>
      </c>
      <c r="O163" t="s">
        <v>1160</v>
      </c>
      <c r="P163" t="s">
        <v>1165</v>
      </c>
      <c r="T163">
        <v>33.355392813999998</v>
      </c>
      <c r="U163">
        <v>-111.612489255</v>
      </c>
      <c r="V163">
        <f>SUM(W163:X163)+(Y163*0.8)+(Z163*0.4)</f>
        <v>237.6</v>
      </c>
      <c r="W163">
        <v>108</v>
      </c>
      <c r="X163">
        <v>72</v>
      </c>
      <c r="Y163">
        <v>72</v>
      </c>
      <c r="Z163">
        <v>0</v>
      </c>
      <c r="AA163" t="s">
        <v>43</v>
      </c>
      <c r="AB163">
        <v>180</v>
      </c>
      <c r="AD163" t="s">
        <v>8650</v>
      </c>
      <c r="AE163" t="s">
        <v>8651</v>
      </c>
    </row>
    <row r="164" spans="1:31" x14ac:dyDescent="0.25">
      <c r="A164" t="s">
        <v>31</v>
      </c>
      <c r="B164" t="s">
        <v>11350</v>
      </c>
      <c r="C164" t="s">
        <v>7684</v>
      </c>
      <c r="D164" t="s">
        <v>7730</v>
      </c>
      <c r="E164" t="s">
        <v>362</v>
      </c>
      <c r="F164" t="s">
        <v>7686</v>
      </c>
      <c r="G164">
        <v>2020</v>
      </c>
      <c r="H164" t="s">
        <v>36</v>
      </c>
      <c r="I164" t="s">
        <v>7731</v>
      </c>
      <c r="J164" t="s">
        <v>31</v>
      </c>
      <c r="K164" t="s">
        <v>38</v>
      </c>
      <c r="L164" t="s">
        <v>242</v>
      </c>
      <c r="M164" t="s">
        <v>243</v>
      </c>
      <c r="N164" t="s">
        <v>1796</v>
      </c>
      <c r="O164" t="s">
        <v>6902</v>
      </c>
      <c r="P164" t="s">
        <v>6903</v>
      </c>
      <c r="T164">
        <v>37.482160999999998</v>
      </c>
      <c r="U164">
        <v>-77.236406000000002</v>
      </c>
      <c r="V164">
        <f>SUM(W164:X164)+(Y164*0.8)+(Z164*0.4)</f>
        <v>237.6</v>
      </c>
      <c r="W164">
        <v>180</v>
      </c>
      <c r="X164">
        <v>0</v>
      </c>
      <c r="Y164">
        <v>72</v>
      </c>
      <c r="Z164">
        <v>0</v>
      </c>
      <c r="AA164" t="s">
        <v>43</v>
      </c>
      <c r="AB164">
        <v>252</v>
      </c>
      <c r="AD164" t="s">
        <v>7732</v>
      </c>
      <c r="AE164" t="s">
        <v>7733</v>
      </c>
    </row>
    <row r="165" spans="1:31" x14ac:dyDescent="0.25">
      <c r="A165" t="s">
        <v>31</v>
      </c>
      <c r="C165" t="s">
        <v>8249</v>
      </c>
      <c r="D165" t="s">
        <v>8250</v>
      </c>
      <c r="E165" t="s">
        <v>34</v>
      </c>
      <c r="F165" t="s">
        <v>66</v>
      </c>
      <c r="G165">
        <v>2030</v>
      </c>
      <c r="H165" t="s">
        <v>36</v>
      </c>
      <c r="I165" t="s">
        <v>8251</v>
      </c>
      <c r="J165" t="s">
        <v>31</v>
      </c>
      <c r="K165" t="s">
        <v>38</v>
      </c>
      <c r="L165" t="s">
        <v>185</v>
      </c>
      <c r="M165" t="s">
        <v>186</v>
      </c>
      <c r="N165" t="s">
        <v>6769</v>
      </c>
      <c r="O165" t="s">
        <v>8252</v>
      </c>
      <c r="P165" t="s">
        <v>6770</v>
      </c>
      <c r="T165">
        <v>33.248037783999997</v>
      </c>
      <c r="U165">
        <v>-84.229074406999999</v>
      </c>
      <c r="V165">
        <f>SUM(W165:X165)+(Y165*0.8)+(Z165*0.4)</f>
        <v>236.8</v>
      </c>
      <c r="W165">
        <v>0</v>
      </c>
      <c r="X165">
        <v>0</v>
      </c>
      <c r="Y165">
        <v>296</v>
      </c>
      <c r="Z165">
        <v>0</v>
      </c>
      <c r="AA165" t="s">
        <v>43</v>
      </c>
      <c r="AB165">
        <v>0</v>
      </c>
      <c r="AD165" t="s">
        <v>8253</v>
      </c>
      <c r="AE165" t="s">
        <v>8254</v>
      </c>
    </row>
    <row r="166" spans="1:31" x14ac:dyDescent="0.25">
      <c r="A166" t="s">
        <v>31</v>
      </c>
      <c r="C166" t="s">
        <v>2434</v>
      </c>
      <c r="D166" t="s">
        <v>2435</v>
      </c>
      <c r="E166" t="s">
        <v>34</v>
      </c>
      <c r="F166" t="s">
        <v>66</v>
      </c>
      <c r="G166">
        <v>2028</v>
      </c>
      <c r="H166" t="s">
        <v>36</v>
      </c>
      <c r="I166" t="s">
        <v>2436</v>
      </c>
      <c r="J166" t="s">
        <v>31</v>
      </c>
      <c r="K166" t="s">
        <v>38</v>
      </c>
      <c r="L166" t="s">
        <v>2437</v>
      </c>
      <c r="M166" t="s">
        <v>2438</v>
      </c>
      <c r="N166" t="s">
        <v>1407</v>
      </c>
      <c r="O166" t="s">
        <v>2439</v>
      </c>
      <c r="P166" t="s">
        <v>2440</v>
      </c>
      <c r="T166">
        <v>35.080280809000001</v>
      </c>
      <c r="U166">
        <v>-81.598010024999994</v>
      </c>
      <c r="V166">
        <f>SUM(W166:X166)+(Y166*0.8)+(Z166*0.4)</f>
        <v>236.8</v>
      </c>
      <c r="W166">
        <v>0</v>
      </c>
      <c r="X166">
        <v>0</v>
      </c>
      <c r="Y166">
        <v>296</v>
      </c>
      <c r="Z166">
        <v>0</v>
      </c>
      <c r="AA166" t="s">
        <v>43</v>
      </c>
      <c r="AB166">
        <v>0</v>
      </c>
      <c r="AD166" t="s">
        <v>2441</v>
      </c>
      <c r="AE166" t="s">
        <v>2442</v>
      </c>
    </row>
    <row r="167" spans="1:31" x14ac:dyDescent="0.25">
      <c r="A167" t="s">
        <v>31</v>
      </c>
      <c r="B167" t="s">
        <v>11350</v>
      </c>
      <c r="C167" t="s">
        <v>647</v>
      </c>
      <c r="D167" t="s">
        <v>1175</v>
      </c>
      <c r="E167" t="s">
        <v>362</v>
      </c>
      <c r="F167" t="s">
        <v>649</v>
      </c>
      <c r="G167">
        <v>2023</v>
      </c>
      <c r="H167" t="s">
        <v>36</v>
      </c>
      <c r="I167" t="s">
        <v>1176</v>
      </c>
      <c r="J167" t="s">
        <v>31</v>
      </c>
      <c r="K167" t="s">
        <v>38</v>
      </c>
      <c r="L167" t="s">
        <v>317</v>
      </c>
      <c r="M167" t="s">
        <v>318</v>
      </c>
      <c r="N167" t="s">
        <v>665</v>
      </c>
      <c r="O167" t="s">
        <v>1177</v>
      </c>
      <c r="P167" t="s">
        <v>1171</v>
      </c>
      <c r="Q167" t="s">
        <v>1178</v>
      </c>
      <c r="T167">
        <v>40.095062681000002</v>
      </c>
      <c r="U167">
        <v>-82.732357312999994</v>
      </c>
      <c r="V167">
        <f>SUM(W167:X167)+(Y167*0.8)+(Z167*0.4)</f>
        <v>235.2</v>
      </c>
      <c r="W167">
        <v>235.2</v>
      </c>
      <c r="X167">
        <v>0</v>
      </c>
      <c r="Y167">
        <v>0</v>
      </c>
      <c r="Z167">
        <v>0</v>
      </c>
      <c r="AA167" t="s">
        <v>43</v>
      </c>
      <c r="AB167">
        <v>235.2</v>
      </c>
      <c r="AD167" t="s">
        <v>1179</v>
      </c>
      <c r="AE167" t="s">
        <v>1180</v>
      </c>
    </row>
    <row r="168" spans="1:31" x14ac:dyDescent="0.25">
      <c r="A168" t="s">
        <v>31</v>
      </c>
      <c r="B168" t="s">
        <v>11350</v>
      </c>
      <c r="C168" t="s">
        <v>6116</v>
      </c>
      <c r="D168" t="s">
        <v>6209</v>
      </c>
      <c r="E168" t="s">
        <v>362</v>
      </c>
      <c r="F168" t="s">
        <v>649</v>
      </c>
      <c r="G168">
        <v>2026</v>
      </c>
      <c r="H168" t="s">
        <v>36</v>
      </c>
      <c r="I168" t="s">
        <v>6210</v>
      </c>
      <c r="J168" t="s">
        <v>31</v>
      </c>
      <c r="K168" t="s">
        <v>38</v>
      </c>
      <c r="L168" t="s">
        <v>153</v>
      </c>
      <c r="M168" t="s">
        <v>154</v>
      </c>
      <c r="N168" t="s">
        <v>1843</v>
      </c>
      <c r="O168" t="s">
        <v>1844</v>
      </c>
      <c r="T168">
        <v>40.905714854999999</v>
      </c>
      <c r="U168">
        <v>-96.649971292000004</v>
      </c>
      <c r="V168">
        <f>SUM(W168:X168)+(Y168*0.8)+(Z168*0.4)</f>
        <v>232</v>
      </c>
      <c r="W168">
        <v>0</v>
      </c>
      <c r="X168">
        <v>40</v>
      </c>
      <c r="Y168">
        <v>240</v>
      </c>
      <c r="Z168">
        <v>0</v>
      </c>
      <c r="AA168" t="s">
        <v>43</v>
      </c>
      <c r="AB168">
        <v>280</v>
      </c>
      <c r="AD168" t="s">
        <v>6211</v>
      </c>
      <c r="AE168" t="s">
        <v>6212</v>
      </c>
    </row>
    <row r="169" spans="1:31" x14ac:dyDescent="0.25">
      <c r="A169" t="s">
        <v>31</v>
      </c>
      <c r="C169" t="s">
        <v>4998</v>
      </c>
      <c r="D169" t="s">
        <v>3444</v>
      </c>
      <c r="E169" t="s">
        <v>34</v>
      </c>
      <c r="F169" t="s">
        <v>66</v>
      </c>
      <c r="G169">
        <v>2018</v>
      </c>
      <c r="H169" t="s">
        <v>36</v>
      </c>
      <c r="I169" t="s">
        <v>5022</v>
      </c>
      <c r="J169" t="s">
        <v>31</v>
      </c>
      <c r="K169" t="s">
        <v>38</v>
      </c>
      <c r="L169" t="s">
        <v>326</v>
      </c>
      <c r="M169" t="s">
        <v>327</v>
      </c>
      <c r="N169" t="s">
        <v>328</v>
      </c>
      <c r="O169" t="s">
        <v>1160</v>
      </c>
      <c r="T169">
        <v>33.344481981000001</v>
      </c>
      <c r="U169">
        <v>-111.630074326</v>
      </c>
      <c r="V169">
        <f>SUM(W169:X169)+(Y169*0.8)+(Z169*0.4)</f>
        <v>230.8</v>
      </c>
      <c r="W169">
        <v>26</v>
      </c>
      <c r="X169">
        <v>180</v>
      </c>
      <c r="Y169">
        <v>0</v>
      </c>
      <c r="Z169">
        <v>62</v>
      </c>
      <c r="AA169" t="s">
        <v>43</v>
      </c>
      <c r="AB169">
        <v>170</v>
      </c>
      <c r="AC169">
        <v>1.25</v>
      </c>
      <c r="AD169" t="s">
        <v>5023</v>
      </c>
      <c r="AE169" t="s">
        <v>5024</v>
      </c>
    </row>
    <row r="170" spans="1:31" x14ac:dyDescent="0.25">
      <c r="A170" t="s">
        <v>31</v>
      </c>
      <c r="B170" t="s">
        <v>11350</v>
      </c>
      <c r="C170" t="s">
        <v>7857</v>
      </c>
      <c r="D170" t="s">
        <v>7872</v>
      </c>
      <c r="E170" t="s">
        <v>362</v>
      </c>
      <c r="F170" t="s">
        <v>649</v>
      </c>
      <c r="G170">
        <v>2024</v>
      </c>
      <c r="H170" t="s">
        <v>36</v>
      </c>
      <c r="I170" t="s">
        <v>7873</v>
      </c>
      <c r="J170" t="s">
        <v>31</v>
      </c>
      <c r="K170" t="s">
        <v>38</v>
      </c>
      <c r="L170" t="s">
        <v>3288</v>
      </c>
      <c r="M170" t="s">
        <v>3289</v>
      </c>
      <c r="N170" t="s">
        <v>3290</v>
      </c>
      <c r="T170">
        <v>41.061422463</v>
      </c>
      <c r="U170">
        <v>-104.790282889</v>
      </c>
      <c r="V170">
        <f>SUM(W170:X170)+(Y170*0.8)+(Z170*0.4)</f>
        <v>230.4</v>
      </c>
      <c r="W170">
        <v>144</v>
      </c>
      <c r="X170">
        <v>48</v>
      </c>
      <c r="Y170">
        <v>48</v>
      </c>
      <c r="Z170">
        <v>0</v>
      </c>
      <c r="AA170" t="s">
        <v>43</v>
      </c>
      <c r="AB170">
        <v>240</v>
      </c>
      <c r="AD170" t="s">
        <v>7874</v>
      </c>
      <c r="AE170" t="s">
        <v>7875</v>
      </c>
    </row>
    <row r="171" spans="1:31" x14ac:dyDescent="0.25">
      <c r="A171" t="s">
        <v>31</v>
      </c>
      <c r="B171" t="s">
        <v>11350</v>
      </c>
      <c r="C171" t="s">
        <v>647</v>
      </c>
      <c r="D171" t="s">
        <v>683</v>
      </c>
      <c r="E171" t="s">
        <v>362</v>
      </c>
      <c r="F171" t="s">
        <v>649</v>
      </c>
      <c r="G171">
        <v>2025</v>
      </c>
      <c r="H171" t="s">
        <v>36</v>
      </c>
      <c r="I171" t="s">
        <v>684</v>
      </c>
      <c r="J171" t="s">
        <v>31</v>
      </c>
      <c r="K171" t="s">
        <v>38</v>
      </c>
      <c r="L171" t="s">
        <v>242</v>
      </c>
      <c r="M171" t="s">
        <v>243</v>
      </c>
      <c r="N171" t="s">
        <v>509</v>
      </c>
      <c r="O171" t="s">
        <v>685</v>
      </c>
      <c r="P171" t="s">
        <v>686</v>
      </c>
      <c r="T171">
        <v>38.789013159</v>
      </c>
      <c r="U171">
        <v>-77.585448976999999</v>
      </c>
      <c r="V171">
        <f>SUM(W171:X171)+(Y171*0.8)+(Z171*0.4)</f>
        <v>230</v>
      </c>
      <c r="W171">
        <v>0</v>
      </c>
      <c r="X171">
        <v>86</v>
      </c>
      <c r="Y171">
        <v>180</v>
      </c>
      <c r="Z171">
        <v>0</v>
      </c>
      <c r="AA171" t="s">
        <v>43</v>
      </c>
      <c r="AB171">
        <v>266</v>
      </c>
      <c r="AD171" t="s">
        <v>687</v>
      </c>
      <c r="AE171" t="s">
        <v>688</v>
      </c>
    </row>
    <row r="172" spans="1:31" x14ac:dyDescent="0.25">
      <c r="A172" t="s">
        <v>31</v>
      </c>
      <c r="B172" t="s">
        <v>11350</v>
      </c>
      <c r="C172" t="s">
        <v>7857</v>
      </c>
      <c r="D172" t="s">
        <v>7891</v>
      </c>
      <c r="E172" t="s">
        <v>362</v>
      </c>
      <c r="F172" t="s">
        <v>363</v>
      </c>
      <c r="G172">
        <v>2024</v>
      </c>
      <c r="H172" t="s">
        <v>36</v>
      </c>
      <c r="I172" t="s">
        <v>7892</v>
      </c>
      <c r="J172" t="s">
        <v>31</v>
      </c>
      <c r="K172" t="s">
        <v>38</v>
      </c>
      <c r="L172" t="s">
        <v>68</v>
      </c>
      <c r="M172" t="s">
        <v>69</v>
      </c>
      <c r="N172" t="s">
        <v>7893</v>
      </c>
      <c r="O172" t="s">
        <v>7894</v>
      </c>
      <c r="P172" t="s">
        <v>7895</v>
      </c>
      <c r="T172">
        <v>29.431156222999999</v>
      </c>
      <c r="U172">
        <v>-98.875999570999994</v>
      </c>
      <c r="V172">
        <f>SUM(W172:X172)+(Y172*0.8)+(Z172*0.4)</f>
        <v>228</v>
      </c>
      <c r="W172">
        <v>120</v>
      </c>
      <c r="X172">
        <v>0</v>
      </c>
      <c r="Y172">
        <v>135</v>
      </c>
      <c r="Z172">
        <v>0</v>
      </c>
      <c r="AA172" t="s">
        <v>43</v>
      </c>
      <c r="AB172">
        <v>255</v>
      </c>
      <c r="AD172" t="s">
        <v>7896</v>
      </c>
      <c r="AE172" t="s">
        <v>7897</v>
      </c>
    </row>
    <row r="173" spans="1:31" x14ac:dyDescent="0.25">
      <c r="A173" t="s">
        <v>31</v>
      </c>
      <c r="B173" t="s">
        <v>11350</v>
      </c>
      <c r="C173" t="s">
        <v>7684</v>
      </c>
      <c r="D173" t="s">
        <v>7690</v>
      </c>
      <c r="E173" t="s">
        <v>362</v>
      </c>
      <c r="F173" t="s">
        <v>7686</v>
      </c>
      <c r="G173">
        <v>2014</v>
      </c>
      <c r="H173" t="s">
        <v>36</v>
      </c>
      <c r="I173" t="s">
        <v>7691</v>
      </c>
      <c r="J173" t="s">
        <v>31</v>
      </c>
      <c r="K173" t="s">
        <v>38</v>
      </c>
      <c r="L173" t="s">
        <v>1433</v>
      </c>
      <c r="M173" t="s">
        <v>1434</v>
      </c>
      <c r="N173" t="s">
        <v>1711</v>
      </c>
      <c r="O173" t="s">
        <v>7128</v>
      </c>
      <c r="P173" t="s">
        <v>7692</v>
      </c>
      <c r="T173">
        <v>41.667606999999997</v>
      </c>
      <c r="U173">
        <v>-93.507661999999996</v>
      </c>
      <c r="V173">
        <f>SUM(W173:X173)+(Y173*0.8)+(Z173*0.4)</f>
        <v>228</v>
      </c>
      <c r="W173">
        <v>228</v>
      </c>
      <c r="X173">
        <v>0</v>
      </c>
      <c r="Y173">
        <v>0</v>
      </c>
      <c r="Z173">
        <v>0</v>
      </c>
      <c r="AA173" t="s">
        <v>43</v>
      </c>
      <c r="AB173">
        <v>228</v>
      </c>
      <c r="AD173" t="s">
        <v>7693</v>
      </c>
      <c r="AE173" t="s">
        <v>7694</v>
      </c>
    </row>
    <row r="174" spans="1:31" x14ac:dyDescent="0.25">
      <c r="A174" t="s">
        <v>31</v>
      </c>
      <c r="C174" t="s">
        <v>3007</v>
      </c>
      <c r="D174" t="s">
        <v>3028</v>
      </c>
      <c r="E174" t="s">
        <v>34</v>
      </c>
      <c r="F174" t="s">
        <v>76</v>
      </c>
      <c r="G174">
        <v>2025</v>
      </c>
      <c r="H174" t="s">
        <v>36</v>
      </c>
      <c r="I174" t="s">
        <v>3029</v>
      </c>
      <c r="J174" t="s">
        <v>31</v>
      </c>
      <c r="K174" t="s">
        <v>38</v>
      </c>
      <c r="L174" t="s">
        <v>68</v>
      </c>
      <c r="M174" t="s">
        <v>69</v>
      </c>
      <c r="N174" t="s">
        <v>2377</v>
      </c>
      <c r="O174" t="s">
        <v>3030</v>
      </c>
      <c r="P174" t="s">
        <v>3031</v>
      </c>
      <c r="T174">
        <v>33.219980708999998</v>
      </c>
      <c r="U174">
        <v>-97.212527719999997</v>
      </c>
      <c r="V174">
        <f>SUM(W174:X174)+(Y174*0.8)+(Z174*0.4)</f>
        <v>225.3</v>
      </c>
      <c r="W174">
        <v>48</v>
      </c>
      <c r="X174">
        <v>38.5</v>
      </c>
      <c r="Y174">
        <v>173.5</v>
      </c>
      <c r="Z174">
        <v>0</v>
      </c>
      <c r="AA174" t="s">
        <v>43</v>
      </c>
      <c r="AB174">
        <v>48</v>
      </c>
      <c r="AD174" t="s">
        <v>3032</v>
      </c>
      <c r="AE174" t="s">
        <v>3033</v>
      </c>
    </row>
    <row r="175" spans="1:31" x14ac:dyDescent="0.25">
      <c r="A175" t="s">
        <v>31</v>
      </c>
      <c r="B175" t="s">
        <v>11350</v>
      </c>
      <c r="C175" t="s">
        <v>647</v>
      </c>
      <c r="D175" t="s">
        <v>1134</v>
      </c>
      <c r="E175" t="s">
        <v>362</v>
      </c>
      <c r="F175" t="s">
        <v>649</v>
      </c>
      <c r="G175">
        <v>2026</v>
      </c>
      <c r="H175" t="s">
        <v>36</v>
      </c>
      <c r="I175" t="s">
        <v>1135</v>
      </c>
      <c r="J175" t="s">
        <v>31</v>
      </c>
      <c r="K175" t="s">
        <v>38</v>
      </c>
      <c r="L175" t="s">
        <v>242</v>
      </c>
      <c r="M175" t="s">
        <v>243</v>
      </c>
      <c r="N175" t="s">
        <v>405</v>
      </c>
      <c r="O175" t="s">
        <v>526</v>
      </c>
      <c r="P175" t="s">
        <v>527</v>
      </c>
      <c r="T175">
        <v>38.980615411000002</v>
      </c>
      <c r="U175">
        <v>-77.494490951000003</v>
      </c>
      <c r="V175">
        <f>SUM(W175:X175)+(Y175*0.8)+(Z175*0.4)</f>
        <v>220.60000000000002</v>
      </c>
      <c r="W175">
        <v>0</v>
      </c>
      <c r="X175">
        <v>67</v>
      </c>
      <c r="Y175">
        <v>192</v>
      </c>
      <c r="Z175">
        <v>0</v>
      </c>
      <c r="AA175" t="s">
        <v>43</v>
      </c>
      <c r="AB175">
        <v>259</v>
      </c>
      <c r="AD175" t="s">
        <v>1136</v>
      </c>
      <c r="AE175" t="s">
        <v>1137</v>
      </c>
    </row>
    <row r="176" spans="1:31" x14ac:dyDescent="0.25">
      <c r="A176" t="s">
        <v>31</v>
      </c>
      <c r="B176" t="s">
        <v>11350</v>
      </c>
      <c r="C176" t="s">
        <v>647</v>
      </c>
      <c r="D176" t="s">
        <v>996</v>
      </c>
      <c r="E176" t="s">
        <v>362</v>
      </c>
      <c r="F176" t="s">
        <v>649</v>
      </c>
      <c r="G176">
        <v>2024</v>
      </c>
      <c r="H176" t="s">
        <v>36</v>
      </c>
      <c r="I176" t="s">
        <v>997</v>
      </c>
      <c r="J176" t="s">
        <v>31</v>
      </c>
      <c r="K176" t="s">
        <v>38</v>
      </c>
      <c r="L176" t="s">
        <v>317</v>
      </c>
      <c r="M176" t="s">
        <v>318</v>
      </c>
      <c r="N176" t="s">
        <v>665</v>
      </c>
      <c r="O176" t="s">
        <v>666</v>
      </c>
      <c r="P176" t="s">
        <v>667</v>
      </c>
      <c r="T176">
        <v>40.049241889999998</v>
      </c>
      <c r="U176">
        <v>-83.173147462000003</v>
      </c>
      <c r="V176">
        <f>SUM(W176:X176)+(Y176*0.8)+(Z176*0.4)</f>
        <v>220</v>
      </c>
      <c r="W176">
        <v>220</v>
      </c>
      <c r="X176">
        <v>0</v>
      </c>
      <c r="Y176">
        <v>0</v>
      </c>
      <c r="Z176">
        <v>0</v>
      </c>
      <c r="AA176" t="s">
        <v>43</v>
      </c>
      <c r="AB176">
        <v>220</v>
      </c>
      <c r="AD176" t="s">
        <v>998</v>
      </c>
      <c r="AE176" t="s">
        <v>999</v>
      </c>
    </row>
    <row r="177" spans="1:31" x14ac:dyDescent="0.25">
      <c r="A177" t="s">
        <v>31</v>
      </c>
      <c r="C177" t="s">
        <v>2535</v>
      </c>
      <c r="D177" t="s">
        <v>2568</v>
      </c>
      <c r="E177" t="s">
        <v>34</v>
      </c>
      <c r="F177" t="s">
        <v>66</v>
      </c>
      <c r="G177">
        <v>2027</v>
      </c>
      <c r="H177" t="s">
        <v>36</v>
      </c>
      <c r="I177" t="s">
        <v>2569</v>
      </c>
      <c r="J177" t="s">
        <v>31</v>
      </c>
      <c r="K177" t="s">
        <v>38</v>
      </c>
      <c r="L177" t="s">
        <v>242</v>
      </c>
      <c r="M177" t="s">
        <v>243</v>
      </c>
      <c r="N177" t="s">
        <v>509</v>
      </c>
      <c r="O177" t="s">
        <v>510</v>
      </c>
      <c r="P177" t="s">
        <v>873</v>
      </c>
      <c r="T177">
        <v>38.731397651000002</v>
      </c>
      <c r="U177">
        <v>-77.509030449999997</v>
      </c>
      <c r="V177">
        <f>SUM(W177:X177)+(Y177*0.8)+(Z177*0.4)</f>
        <v>218.4</v>
      </c>
      <c r="W177">
        <v>0</v>
      </c>
      <c r="X177">
        <v>84</v>
      </c>
      <c r="Y177">
        <v>168</v>
      </c>
      <c r="Z177">
        <v>0</v>
      </c>
      <c r="AA177" t="s">
        <v>43</v>
      </c>
      <c r="AB177">
        <v>42</v>
      </c>
      <c r="AC177">
        <v>1.25</v>
      </c>
      <c r="AD177" t="s">
        <v>2570</v>
      </c>
      <c r="AE177" t="s">
        <v>2571</v>
      </c>
    </row>
    <row r="178" spans="1:31" x14ac:dyDescent="0.25">
      <c r="A178" t="s">
        <v>31</v>
      </c>
      <c r="B178" t="s">
        <v>11350</v>
      </c>
      <c r="C178" t="s">
        <v>7684</v>
      </c>
      <c r="D178" t="s">
        <v>7788</v>
      </c>
      <c r="E178" t="s">
        <v>362</v>
      </c>
      <c r="F178" t="s">
        <v>363</v>
      </c>
      <c r="G178">
        <v>2028</v>
      </c>
      <c r="H178" t="s">
        <v>36</v>
      </c>
      <c r="I178" t="s">
        <v>7789</v>
      </c>
      <c r="J178" t="s">
        <v>31</v>
      </c>
      <c r="K178" t="s">
        <v>38</v>
      </c>
      <c r="L178" t="s">
        <v>3288</v>
      </c>
      <c r="M178" t="s">
        <v>3289</v>
      </c>
      <c r="N178" t="s">
        <v>7478</v>
      </c>
      <c r="O178" t="s">
        <v>7479</v>
      </c>
      <c r="P178" t="s">
        <v>7480</v>
      </c>
      <c r="T178">
        <v>41.080904517999997</v>
      </c>
      <c r="U178">
        <v>-104.817942782</v>
      </c>
      <c r="V178">
        <f>SUM(W178:X178)+(Y178*0.8)+(Z178*0.4)</f>
        <v>216</v>
      </c>
      <c r="W178">
        <v>0</v>
      </c>
      <c r="X178">
        <v>216</v>
      </c>
      <c r="Y178">
        <v>0</v>
      </c>
      <c r="Z178">
        <v>0</v>
      </c>
      <c r="AA178" t="s">
        <v>43</v>
      </c>
      <c r="AB178">
        <v>216</v>
      </c>
      <c r="AD178" t="s">
        <v>7790</v>
      </c>
      <c r="AE178" t="s">
        <v>7791</v>
      </c>
    </row>
    <row r="179" spans="1:31" x14ac:dyDescent="0.25">
      <c r="A179" t="s">
        <v>31</v>
      </c>
      <c r="C179" t="s">
        <v>9886</v>
      </c>
      <c r="D179" t="s">
        <v>9958</v>
      </c>
      <c r="E179" t="s">
        <v>34</v>
      </c>
      <c r="F179" t="s">
        <v>76</v>
      </c>
      <c r="G179">
        <v>2025</v>
      </c>
      <c r="H179" t="s">
        <v>36</v>
      </c>
      <c r="I179" t="s">
        <v>9959</v>
      </c>
      <c r="J179" t="s">
        <v>31</v>
      </c>
      <c r="K179" t="s">
        <v>38</v>
      </c>
      <c r="L179" t="s">
        <v>326</v>
      </c>
      <c r="M179" t="s">
        <v>327</v>
      </c>
      <c r="N179" t="s">
        <v>328</v>
      </c>
      <c r="O179" t="s">
        <v>9442</v>
      </c>
      <c r="P179" t="s">
        <v>330</v>
      </c>
      <c r="T179">
        <v>33.416824267999999</v>
      </c>
      <c r="U179">
        <v>-112.355532407</v>
      </c>
      <c r="V179">
        <f>SUM(W179:X179)+(Y179*0.8)+(Z179*0.4)</f>
        <v>214.4</v>
      </c>
      <c r="W179">
        <v>0</v>
      </c>
      <c r="X179">
        <v>144</v>
      </c>
      <c r="Y179">
        <v>80</v>
      </c>
      <c r="Z179">
        <v>16</v>
      </c>
      <c r="AA179" t="s">
        <v>43</v>
      </c>
      <c r="AB179">
        <v>0</v>
      </c>
      <c r="AD179" t="s">
        <v>9960</v>
      </c>
      <c r="AE179" t="s">
        <v>9961</v>
      </c>
    </row>
    <row r="180" spans="1:31" x14ac:dyDescent="0.25">
      <c r="A180" t="s">
        <v>31</v>
      </c>
      <c r="C180" t="s">
        <v>9886</v>
      </c>
      <c r="D180" t="s">
        <v>3916</v>
      </c>
      <c r="E180" t="s">
        <v>34</v>
      </c>
      <c r="F180" t="s">
        <v>76</v>
      </c>
      <c r="G180">
        <v>2024</v>
      </c>
      <c r="H180" t="s">
        <v>36</v>
      </c>
      <c r="I180" t="s">
        <v>9917</v>
      </c>
      <c r="J180" t="s">
        <v>31</v>
      </c>
      <c r="K180" t="s">
        <v>38</v>
      </c>
      <c r="L180" t="s">
        <v>185</v>
      </c>
      <c r="M180" t="s">
        <v>186</v>
      </c>
      <c r="N180" t="s">
        <v>155</v>
      </c>
      <c r="P180" t="s">
        <v>2090</v>
      </c>
      <c r="T180">
        <v>33.762531703000001</v>
      </c>
      <c r="U180">
        <v>-84.601812162000002</v>
      </c>
      <c r="V180">
        <f>SUM(W180:X180)+(Y180*0.8)+(Z180*0.4)</f>
        <v>212.8</v>
      </c>
      <c r="W180">
        <v>0</v>
      </c>
      <c r="X180">
        <v>160</v>
      </c>
      <c r="Y180">
        <v>0</v>
      </c>
      <c r="Z180">
        <v>132</v>
      </c>
      <c r="AA180" t="s">
        <v>43</v>
      </c>
      <c r="AB180">
        <v>52</v>
      </c>
      <c r="AD180" t="s">
        <v>9918</v>
      </c>
      <c r="AE180" t="s">
        <v>9919</v>
      </c>
    </row>
    <row r="181" spans="1:31" x14ac:dyDescent="0.25">
      <c r="A181" t="s">
        <v>31</v>
      </c>
      <c r="C181" t="s">
        <v>8969</v>
      </c>
      <c r="D181" t="s">
        <v>9018</v>
      </c>
      <c r="E181" t="s">
        <v>34</v>
      </c>
      <c r="F181" t="s">
        <v>66</v>
      </c>
      <c r="G181">
        <v>2026</v>
      </c>
      <c r="H181" t="s">
        <v>36</v>
      </c>
      <c r="I181" t="s">
        <v>9019</v>
      </c>
      <c r="J181" t="s">
        <v>31</v>
      </c>
      <c r="K181" t="s">
        <v>38</v>
      </c>
      <c r="L181" t="s">
        <v>242</v>
      </c>
      <c r="M181" t="s">
        <v>243</v>
      </c>
      <c r="N181" t="s">
        <v>405</v>
      </c>
      <c r="O181" t="s">
        <v>526</v>
      </c>
      <c r="P181" t="s">
        <v>527</v>
      </c>
      <c r="T181">
        <v>39.004848074999998</v>
      </c>
      <c r="U181">
        <v>-77.447278374999996</v>
      </c>
      <c r="V181">
        <f>SUM(W181:X181)+(Y181*0.8)+(Z181*0.4)</f>
        <v>212</v>
      </c>
      <c r="W181">
        <v>0</v>
      </c>
      <c r="X181">
        <v>0</v>
      </c>
      <c r="Y181">
        <v>265</v>
      </c>
      <c r="Z181">
        <v>0</v>
      </c>
      <c r="AA181" t="s">
        <v>43</v>
      </c>
      <c r="AB181">
        <v>265</v>
      </c>
      <c r="AD181" t="s">
        <v>9020</v>
      </c>
      <c r="AE181" t="s">
        <v>9021</v>
      </c>
    </row>
    <row r="182" spans="1:31" x14ac:dyDescent="0.25">
      <c r="A182" t="s">
        <v>31</v>
      </c>
      <c r="C182" t="s">
        <v>11289</v>
      </c>
      <c r="D182" t="s">
        <v>11290</v>
      </c>
      <c r="E182" t="s">
        <v>362</v>
      </c>
      <c r="F182" t="s">
        <v>363</v>
      </c>
      <c r="G182">
        <v>2024</v>
      </c>
      <c r="H182" t="s">
        <v>36</v>
      </c>
      <c r="I182" t="s">
        <v>11291</v>
      </c>
      <c r="J182" t="s">
        <v>31</v>
      </c>
      <c r="K182" t="s">
        <v>38</v>
      </c>
      <c r="L182" t="s">
        <v>260</v>
      </c>
      <c r="M182" t="s">
        <v>261</v>
      </c>
      <c r="N182" t="s">
        <v>336</v>
      </c>
      <c r="O182" t="s">
        <v>337</v>
      </c>
      <c r="P182" t="s">
        <v>11292</v>
      </c>
      <c r="S182" t="s">
        <v>11293</v>
      </c>
      <c r="T182">
        <v>35.059848586999998</v>
      </c>
      <c r="U182">
        <v>-90.156185386999994</v>
      </c>
      <c r="V182">
        <f>SUM(W182:X182)+(Y182*0.8)+(Z182*0.4)</f>
        <v>212</v>
      </c>
      <c r="W182">
        <v>212</v>
      </c>
      <c r="X182">
        <v>0</v>
      </c>
      <c r="Y182">
        <v>0</v>
      </c>
      <c r="Z182">
        <v>0</v>
      </c>
      <c r="AA182" t="s">
        <v>43</v>
      </c>
      <c r="AB182">
        <v>212</v>
      </c>
      <c r="AD182" t="s">
        <v>11294</v>
      </c>
      <c r="AE182" t="s">
        <v>11295</v>
      </c>
    </row>
    <row r="183" spans="1:31" x14ac:dyDescent="0.25">
      <c r="A183" t="s">
        <v>31</v>
      </c>
      <c r="C183" t="s">
        <v>506</v>
      </c>
      <c r="D183" t="s">
        <v>569</v>
      </c>
      <c r="E183" t="s">
        <v>34</v>
      </c>
      <c r="F183" t="s">
        <v>66</v>
      </c>
      <c r="G183">
        <v>2025</v>
      </c>
      <c r="H183" t="s">
        <v>36</v>
      </c>
      <c r="I183" t="s">
        <v>570</v>
      </c>
      <c r="J183" t="s">
        <v>31</v>
      </c>
      <c r="K183" t="s">
        <v>38</v>
      </c>
      <c r="L183" t="s">
        <v>317</v>
      </c>
      <c r="M183" t="s">
        <v>318</v>
      </c>
      <c r="N183" t="s">
        <v>217</v>
      </c>
      <c r="O183" t="s">
        <v>571</v>
      </c>
      <c r="P183" t="s">
        <v>572</v>
      </c>
      <c r="T183">
        <v>41.431010516999997</v>
      </c>
      <c r="U183">
        <v>-82.717160261000004</v>
      </c>
      <c r="V183">
        <f>SUM(W183:X183)+(Y183*0.8)+(Z183*0.4)</f>
        <v>211.2</v>
      </c>
      <c r="W183">
        <v>0</v>
      </c>
      <c r="X183">
        <v>96</v>
      </c>
      <c r="Y183">
        <v>0</v>
      </c>
      <c r="Z183">
        <v>288</v>
      </c>
      <c r="AA183" t="s">
        <v>43</v>
      </c>
      <c r="AB183">
        <v>0</v>
      </c>
      <c r="AD183" t="s">
        <v>573</v>
      </c>
      <c r="AE183" t="s">
        <v>574</v>
      </c>
    </row>
    <row r="184" spans="1:31" x14ac:dyDescent="0.25">
      <c r="A184" t="s">
        <v>31</v>
      </c>
      <c r="C184" t="s">
        <v>9202</v>
      </c>
      <c r="D184" t="s">
        <v>9322</v>
      </c>
      <c r="E184" t="s">
        <v>34</v>
      </c>
      <c r="F184" t="s">
        <v>66</v>
      </c>
      <c r="G184">
        <v>2023</v>
      </c>
      <c r="H184" t="s">
        <v>36</v>
      </c>
      <c r="I184" t="s">
        <v>9323</v>
      </c>
      <c r="J184" t="s">
        <v>31</v>
      </c>
      <c r="K184" t="s">
        <v>38</v>
      </c>
      <c r="L184" t="s">
        <v>326</v>
      </c>
      <c r="M184" t="s">
        <v>327</v>
      </c>
      <c r="N184" t="s">
        <v>328</v>
      </c>
      <c r="O184" t="s">
        <v>590</v>
      </c>
      <c r="P184" t="s">
        <v>6835</v>
      </c>
      <c r="S184" t="s">
        <v>9324</v>
      </c>
      <c r="T184">
        <v>33.463157731999999</v>
      </c>
      <c r="U184">
        <v>-111.997570622</v>
      </c>
      <c r="V184">
        <f>SUM(W184:X184)+(Y184*0.8)+(Z184*0.4)</f>
        <v>210</v>
      </c>
      <c r="W184">
        <v>210</v>
      </c>
      <c r="X184">
        <v>0</v>
      </c>
      <c r="Y184">
        <v>0</v>
      </c>
      <c r="Z184">
        <v>0</v>
      </c>
      <c r="AA184" t="s">
        <v>43</v>
      </c>
      <c r="AB184">
        <v>210</v>
      </c>
      <c r="AD184" t="s">
        <v>9325</v>
      </c>
      <c r="AE184" t="s">
        <v>9326</v>
      </c>
    </row>
    <row r="185" spans="1:31" x14ac:dyDescent="0.25">
      <c r="A185" t="s">
        <v>31</v>
      </c>
      <c r="C185" t="s">
        <v>10208</v>
      </c>
      <c r="D185" t="s">
        <v>10251</v>
      </c>
      <c r="E185" t="s">
        <v>34</v>
      </c>
      <c r="F185" t="s">
        <v>66</v>
      </c>
      <c r="G185">
        <v>2023</v>
      </c>
      <c r="H185" t="s">
        <v>36</v>
      </c>
      <c r="I185" t="s">
        <v>10252</v>
      </c>
      <c r="J185" t="s">
        <v>31</v>
      </c>
      <c r="K185" t="s">
        <v>38</v>
      </c>
      <c r="L185" t="s">
        <v>185</v>
      </c>
      <c r="M185" t="s">
        <v>186</v>
      </c>
      <c r="N185" t="s">
        <v>155</v>
      </c>
      <c r="O185" t="s">
        <v>2089</v>
      </c>
      <c r="P185" t="s">
        <v>2090</v>
      </c>
      <c r="T185">
        <v>33.762694398999997</v>
      </c>
      <c r="U185">
        <v>-84.605049432000001</v>
      </c>
      <c r="V185">
        <f>SUM(W185:X185)+(Y185*0.8)+(Z185*0.4)</f>
        <v>209.88</v>
      </c>
      <c r="W185">
        <v>0</v>
      </c>
      <c r="X185">
        <v>178.2</v>
      </c>
      <c r="Y185">
        <v>39.6</v>
      </c>
      <c r="Z185">
        <v>0</v>
      </c>
      <c r="AA185" t="s">
        <v>43</v>
      </c>
      <c r="AB185">
        <v>9.9</v>
      </c>
      <c r="AD185" t="s">
        <v>10253</v>
      </c>
      <c r="AE185" t="s">
        <v>10254</v>
      </c>
    </row>
    <row r="186" spans="1:31" x14ac:dyDescent="0.25">
      <c r="A186" t="s">
        <v>31</v>
      </c>
      <c r="C186" t="s">
        <v>506</v>
      </c>
      <c r="D186" t="s">
        <v>562</v>
      </c>
      <c r="E186" t="s">
        <v>34</v>
      </c>
      <c r="F186" t="s">
        <v>66</v>
      </c>
      <c r="G186">
        <v>2026</v>
      </c>
      <c r="H186" t="s">
        <v>36</v>
      </c>
      <c r="I186" t="s">
        <v>563</v>
      </c>
      <c r="J186" t="s">
        <v>31</v>
      </c>
      <c r="K186" t="s">
        <v>38</v>
      </c>
      <c r="L186" t="s">
        <v>448</v>
      </c>
      <c r="M186" t="s">
        <v>449</v>
      </c>
      <c r="N186" t="s">
        <v>564</v>
      </c>
      <c r="O186" t="s">
        <v>565</v>
      </c>
      <c r="P186" t="s">
        <v>566</v>
      </c>
      <c r="T186">
        <v>39.331890012000002</v>
      </c>
      <c r="U186">
        <v>-77.474615271999994</v>
      </c>
      <c r="V186">
        <f>SUM(W186:X186)+(Y186*0.8)+(Z186*0.4)</f>
        <v>207.60000000000002</v>
      </c>
      <c r="W186">
        <v>0</v>
      </c>
      <c r="X186">
        <v>72</v>
      </c>
      <c r="Y186">
        <v>147</v>
      </c>
      <c r="Z186">
        <v>45</v>
      </c>
      <c r="AA186" t="s">
        <v>43</v>
      </c>
      <c r="AB186">
        <v>219</v>
      </c>
      <c r="AD186" t="s">
        <v>567</v>
      </c>
      <c r="AE186" t="s">
        <v>568</v>
      </c>
    </row>
    <row r="187" spans="1:31" x14ac:dyDescent="0.25">
      <c r="A187" t="s">
        <v>31</v>
      </c>
      <c r="C187" t="s">
        <v>10876</v>
      </c>
      <c r="D187" t="s">
        <v>10881</v>
      </c>
      <c r="E187" t="s">
        <v>34</v>
      </c>
      <c r="F187" t="s">
        <v>66</v>
      </c>
      <c r="G187">
        <v>2019</v>
      </c>
      <c r="H187" t="s">
        <v>36</v>
      </c>
      <c r="I187" t="s">
        <v>10882</v>
      </c>
      <c r="J187" t="s">
        <v>31</v>
      </c>
      <c r="K187" t="s">
        <v>38</v>
      </c>
      <c r="L187" t="s">
        <v>242</v>
      </c>
      <c r="M187" t="s">
        <v>243</v>
      </c>
      <c r="N187" t="s">
        <v>405</v>
      </c>
      <c r="O187" t="s">
        <v>526</v>
      </c>
      <c r="P187" t="s">
        <v>527</v>
      </c>
      <c r="S187" t="s">
        <v>10883</v>
      </c>
      <c r="T187">
        <v>39.002799746000001</v>
      </c>
      <c r="U187">
        <v>-77.438903714999995</v>
      </c>
      <c r="V187">
        <f>SUM(W187:X187)+(Y187*0.8)+(Z187*0.4)</f>
        <v>206</v>
      </c>
      <c r="W187">
        <v>156</v>
      </c>
      <c r="X187">
        <v>50</v>
      </c>
      <c r="Y187">
        <v>0</v>
      </c>
      <c r="Z187">
        <v>0</v>
      </c>
      <c r="AA187" t="s">
        <v>43</v>
      </c>
      <c r="AB187">
        <v>206</v>
      </c>
      <c r="AC187">
        <v>1.3</v>
      </c>
      <c r="AD187" t="s">
        <v>10884</v>
      </c>
      <c r="AE187" t="s">
        <v>10885</v>
      </c>
    </row>
    <row r="188" spans="1:31" x14ac:dyDescent="0.25">
      <c r="A188" t="s">
        <v>31</v>
      </c>
      <c r="C188" t="s">
        <v>6640</v>
      </c>
      <c r="D188" t="s">
        <v>4309</v>
      </c>
      <c r="E188" t="s">
        <v>362</v>
      </c>
      <c r="F188" t="s">
        <v>372</v>
      </c>
      <c r="G188">
        <v>2025</v>
      </c>
      <c r="H188" t="s">
        <v>36</v>
      </c>
      <c r="I188" t="s">
        <v>325</v>
      </c>
      <c r="J188" t="s">
        <v>31</v>
      </c>
      <c r="K188" t="s">
        <v>38</v>
      </c>
      <c r="L188" t="s">
        <v>68</v>
      </c>
      <c r="M188" t="s">
        <v>69</v>
      </c>
      <c r="N188" t="s">
        <v>3295</v>
      </c>
      <c r="T188">
        <v>32.300286415999999</v>
      </c>
      <c r="U188">
        <v>-100.113573004</v>
      </c>
      <c r="V188">
        <f>SUM(W188:X188)+(Y188*0.8)+(Z188*0.4)</f>
        <v>205</v>
      </c>
      <c r="W188">
        <v>205</v>
      </c>
      <c r="X188">
        <v>0</v>
      </c>
      <c r="Y188">
        <v>0</v>
      </c>
      <c r="Z188">
        <v>0</v>
      </c>
      <c r="AA188" t="s">
        <v>43</v>
      </c>
      <c r="AB188">
        <v>205</v>
      </c>
      <c r="AC188">
        <v>1.06</v>
      </c>
      <c r="AD188" t="s">
        <v>6647</v>
      </c>
      <c r="AE188" t="s">
        <v>6648</v>
      </c>
    </row>
    <row r="189" spans="1:31" x14ac:dyDescent="0.25">
      <c r="A189" t="s">
        <v>31</v>
      </c>
      <c r="C189" t="s">
        <v>9880</v>
      </c>
      <c r="D189" t="s">
        <v>9881</v>
      </c>
      <c r="E189" t="s">
        <v>34</v>
      </c>
      <c r="F189" t="s">
        <v>66</v>
      </c>
      <c r="G189">
        <v>2027</v>
      </c>
      <c r="H189" t="s">
        <v>36</v>
      </c>
      <c r="I189" t="s">
        <v>9882</v>
      </c>
      <c r="J189" t="s">
        <v>31</v>
      </c>
      <c r="K189" t="s">
        <v>38</v>
      </c>
      <c r="L189" t="s">
        <v>68</v>
      </c>
      <c r="M189" t="s">
        <v>69</v>
      </c>
      <c r="N189" t="s">
        <v>297</v>
      </c>
      <c r="O189" t="s">
        <v>2116</v>
      </c>
      <c r="P189" t="s">
        <v>9883</v>
      </c>
      <c r="T189">
        <v>32.585427824999996</v>
      </c>
      <c r="U189">
        <v>-96.735035088999993</v>
      </c>
      <c r="V189">
        <f>SUM(W189:X189)+(Y189*0.8)+(Z189*0.4)</f>
        <v>204.8</v>
      </c>
      <c r="W189">
        <v>0</v>
      </c>
      <c r="X189">
        <v>0</v>
      </c>
      <c r="Y189">
        <v>11</v>
      </c>
      <c r="Z189">
        <v>490</v>
      </c>
      <c r="AA189" t="s">
        <v>43</v>
      </c>
      <c r="AB189">
        <v>0</v>
      </c>
      <c r="AD189" t="s">
        <v>9884</v>
      </c>
      <c r="AE189" t="s">
        <v>9885</v>
      </c>
    </row>
    <row r="190" spans="1:31" x14ac:dyDescent="0.25">
      <c r="A190" t="s">
        <v>31</v>
      </c>
      <c r="C190" t="s">
        <v>1811</v>
      </c>
      <c r="D190" t="s">
        <v>1812</v>
      </c>
      <c r="E190" t="s">
        <v>34</v>
      </c>
      <c r="F190" t="s">
        <v>66</v>
      </c>
      <c r="H190" t="s">
        <v>36</v>
      </c>
      <c r="I190" t="s">
        <v>1813</v>
      </c>
      <c r="J190" t="s">
        <v>31</v>
      </c>
      <c r="K190" t="s">
        <v>38</v>
      </c>
      <c r="L190" t="s">
        <v>326</v>
      </c>
      <c r="M190" t="s">
        <v>327</v>
      </c>
      <c r="N190" t="s">
        <v>1426</v>
      </c>
      <c r="P190" t="s">
        <v>1814</v>
      </c>
      <c r="T190">
        <v>32.053333692000002</v>
      </c>
      <c r="U190">
        <v>-110.781574347</v>
      </c>
      <c r="V190">
        <f>SUM(W190:X190)+(Y190*0.8)+(Z190*0.4)</f>
        <v>204</v>
      </c>
      <c r="W190">
        <v>0</v>
      </c>
      <c r="X190">
        <v>0</v>
      </c>
      <c r="Y190">
        <v>0</v>
      </c>
      <c r="Z190">
        <v>510</v>
      </c>
      <c r="AA190" t="s">
        <v>43</v>
      </c>
      <c r="AB190">
        <v>0</v>
      </c>
      <c r="AD190" t="s">
        <v>1815</v>
      </c>
      <c r="AE190" t="s">
        <v>1816</v>
      </c>
    </row>
    <row r="191" spans="1:31" x14ac:dyDescent="0.25">
      <c r="A191" t="s">
        <v>31</v>
      </c>
      <c r="B191" t="s">
        <v>11350</v>
      </c>
      <c r="C191" t="s">
        <v>6116</v>
      </c>
      <c r="D191" t="s">
        <v>5680</v>
      </c>
      <c r="E191" t="s">
        <v>362</v>
      </c>
      <c r="F191" t="s">
        <v>649</v>
      </c>
      <c r="G191">
        <v>2021</v>
      </c>
      <c r="H191" t="s">
        <v>36</v>
      </c>
      <c r="I191" t="s">
        <v>6255</v>
      </c>
      <c r="J191" t="s">
        <v>31</v>
      </c>
      <c r="K191" t="s">
        <v>38</v>
      </c>
      <c r="L191" t="s">
        <v>153</v>
      </c>
      <c r="M191" t="s">
        <v>154</v>
      </c>
      <c r="N191" t="s">
        <v>5682</v>
      </c>
      <c r="O191" t="s">
        <v>6256</v>
      </c>
      <c r="P191" t="s">
        <v>6257</v>
      </c>
      <c r="Q191" t="s">
        <v>6256</v>
      </c>
      <c r="T191">
        <v>41.136125999999997</v>
      </c>
      <c r="U191">
        <v>-96.146213000000003</v>
      </c>
      <c r="V191">
        <f>SUM(W191:X191)+(Y191*0.8)+(Z191*0.4)</f>
        <v>203</v>
      </c>
      <c r="W191">
        <v>203</v>
      </c>
      <c r="X191">
        <v>0</v>
      </c>
      <c r="Y191">
        <v>0</v>
      </c>
      <c r="Z191">
        <v>0</v>
      </c>
      <c r="AA191" t="s">
        <v>43</v>
      </c>
      <c r="AB191">
        <v>203</v>
      </c>
      <c r="AD191" t="s">
        <v>6258</v>
      </c>
      <c r="AE191" t="s">
        <v>6259</v>
      </c>
    </row>
    <row r="192" spans="1:31" x14ac:dyDescent="0.25">
      <c r="A192" t="s">
        <v>31</v>
      </c>
      <c r="C192" t="s">
        <v>8513</v>
      </c>
      <c r="D192" t="s">
        <v>8514</v>
      </c>
      <c r="E192" t="s">
        <v>362</v>
      </c>
      <c r="F192" t="s">
        <v>43</v>
      </c>
      <c r="G192">
        <v>2026</v>
      </c>
      <c r="H192" t="s">
        <v>36</v>
      </c>
      <c r="I192" t="s">
        <v>8515</v>
      </c>
      <c r="J192" t="s">
        <v>31</v>
      </c>
      <c r="K192" t="s">
        <v>38</v>
      </c>
      <c r="L192" t="s">
        <v>2437</v>
      </c>
      <c r="M192" t="s">
        <v>2438</v>
      </c>
      <c r="N192" t="s">
        <v>3618</v>
      </c>
      <c r="O192" t="s">
        <v>8516</v>
      </c>
      <c r="P192" t="s">
        <v>8517</v>
      </c>
      <c r="T192">
        <v>34.923542365000003</v>
      </c>
      <c r="U192">
        <v>-81.848345722999994</v>
      </c>
      <c r="V192">
        <f>SUM(W192:X192)+(Y192*0.8)+(Z192*0.4)</f>
        <v>201.60000000000002</v>
      </c>
      <c r="W192">
        <v>0</v>
      </c>
      <c r="X192">
        <v>0</v>
      </c>
      <c r="Y192">
        <v>252</v>
      </c>
      <c r="Z192">
        <v>0</v>
      </c>
      <c r="AA192" t="s">
        <v>43</v>
      </c>
      <c r="AB192">
        <v>252</v>
      </c>
      <c r="AD192" t="s">
        <v>8518</v>
      </c>
      <c r="AE192" t="s">
        <v>8519</v>
      </c>
    </row>
    <row r="193" spans="1:31" x14ac:dyDescent="0.25">
      <c r="A193" t="s">
        <v>31</v>
      </c>
      <c r="C193" t="s">
        <v>1665</v>
      </c>
      <c r="D193" t="s">
        <v>1685</v>
      </c>
      <c r="E193" t="s">
        <v>34</v>
      </c>
      <c r="F193" t="s">
        <v>43</v>
      </c>
      <c r="H193" t="s">
        <v>36</v>
      </c>
      <c r="I193" t="s">
        <v>1686</v>
      </c>
      <c r="J193" t="s">
        <v>31</v>
      </c>
      <c r="K193" t="s">
        <v>38</v>
      </c>
      <c r="L193" t="s">
        <v>185</v>
      </c>
      <c r="M193" t="s">
        <v>186</v>
      </c>
      <c r="N193" t="s">
        <v>1680</v>
      </c>
      <c r="P193" t="s">
        <v>1687</v>
      </c>
      <c r="Q193" t="s">
        <v>1688</v>
      </c>
      <c r="T193">
        <v>34.377714927</v>
      </c>
      <c r="U193">
        <v>-85.037045903999996</v>
      </c>
      <c r="V193">
        <f>SUM(W193:X193)+(Y193*0.8)+(Z193*0.4)</f>
        <v>201.60000000000002</v>
      </c>
      <c r="W193">
        <v>0</v>
      </c>
      <c r="X193">
        <v>0</v>
      </c>
      <c r="Y193">
        <v>0</v>
      </c>
      <c r="Z193">
        <v>504</v>
      </c>
      <c r="AA193" t="s">
        <v>43</v>
      </c>
      <c r="AB193">
        <v>0</v>
      </c>
      <c r="AD193" t="s">
        <v>1689</v>
      </c>
      <c r="AE193" t="s">
        <v>1690</v>
      </c>
    </row>
    <row r="194" spans="1:31" x14ac:dyDescent="0.25">
      <c r="A194" t="s">
        <v>31</v>
      </c>
      <c r="B194" t="s">
        <v>11350</v>
      </c>
      <c r="C194" t="s">
        <v>7857</v>
      </c>
      <c r="D194" t="s">
        <v>7957</v>
      </c>
      <c r="E194" t="s">
        <v>362</v>
      </c>
      <c r="F194" t="s">
        <v>649</v>
      </c>
      <c r="G194">
        <v>2021</v>
      </c>
      <c r="H194" t="s">
        <v>36</v>
      </c>
      <c r="I194" t="s">
        <v>7958</v>
      </c>
      <c r="J194" t="s">
        <v>31</v>
      </c>
      <c r="K194" t="s">
        <v>38</v>
      </c>
      <c r="L194" t="s">
        <v>326</v>
      </c>
      <c r="M194" t="s">
        <v>327</v>
      </c>
      <c r="N194" t="s">
        <v>328</v>
      </c>
      <c r="O194" t="s">
        <v>329</v>
      </c>
      <c r="P194" t="s">
        <v>2878</v>
      </c>
      <c r="T194">
        <v>33.409028771000003</v>
      </c>
      <c r="U194">
        <v>-112.364483038</v>
      </c>
      <c r="V194">
        <f>SUM(W194:X194)+(Y194*0.8)+(Z194*0.4)</f>
        <v>200</v>
      </c>
      <c r="W194">
        <v>200</v>
      </c>
      <c r="X194">
        <v>0</v>
      </c>
      <c r="Y194">
        <v>0</v>
      </c>
      <c r="Z194">
        <v>0</v>
      </c>
      <c r="AA194" t="s">
        <v>43</v>
      </c>
      <c r="AB194">
        <v>200</v>
      </c>
      <c r="AD194" t="s">
        <v>7959</v>
      </c>
      <c r="AE194" t="s">
        <v>7960</v>
      </c>
    </row>
    <row r="195" spans="1:31" x14ac:dyDescent="0.25">
      <c r="A195" t="s">
        <v>31</v>
      </c>
      <c r="C195" t="s">
        <v>10804</v>
      </c>
      <c r="D195" t="s">
        <v>10805</v>
      </c>
      <c r="E195" t="s">
        <v>362</v>
      </c>
      <c r="F195" t="s">
        <v>4135</v>
      </c>
      <c r="H195" t="s">
        <v>36</v>
      </c>
      <c r="J195" t="s">
        <v>31</v>
      </c>
      <c r="K195" t="s">
        <v>38</v>
      </c>
      <c r="L195" t="s">
        <v>326</v>
      </c>
      <c r="M195" t="s">
        <v>327</v>
      </c>
      <c r="N195" t="s">
        <v>1426</v>
      </c>
      <c r="O195" t="s">
        <v>1424</v>
      </c>
      <c r="P195" t="s">
        <v>10806</v>
      </c>
      <c r="T195">
        <v>32.165544789999998</v>
      </c>
      <c r="U195">
        <v>-110.889506997</v>
      </c>
      <c r="V195">
        <f>SUM(W195:X195)+(Y195*0.8)+(Z195*0.4)</f>
        <v>200</v>
      </c>
      <c r="W195">
        <v>0</v>
      </c>
      <c r="X195">
        <v>0</v>
      </c>
      <c r="Y195">
        <v>0</v>
      </c>
      <c r="Z195">
        <v>500</v>
      </c>
      <c r="AA195" t="s">
        <v>43</v>
      </c>
      <c r="AB195">
        <v>0</v>
      </c>
      <c r="AD195" t="s">
        <v>10807</v>
      </c>
      <c r="AE195" t="s">
        <v>10808</v>
      </c>
    </row>
    <row r="196" spans="1:31" x14ac:dyDescent="0.25">
      <c r="A196" t="s">
        <v>31</v>
      </c>
      <c r="C196" t="s">
        <v>9124</v>
      </c>
      <c r="D196" t="s">
        <v>9129</v>
      </c>
      <c r="E196" t="s">
        <v>34</v>
      </c>
      <c r="F196" t="s">
        <v>66</v>
      </c>
      <c r="H196" t="s">
        <v>36</v>
      </c>
      <c r="I196" t="s">
        <v>9130</v>
      </c>
      <c r="J196" t="s">
        <v>31</v>
      </c>
      <c r="K196" t="s">
        <v>38</v>
      </c>
      <c r="L196" t="s">
        <v>185</v>
      </c>
      <c r="M196" t="s">
        <v>186</v>
      </c>
      <c r="N196" t="s">
        <v>9131</v>
      </c>
      <c r="O196" t="s">
        <v>9132</v>
      </c>
      <c r="P196" t="s">
        <v>9133</v>
      </c>
      <c r="T196">
        <v>33.436761826999998</v>
      </c>
      <c r="U196">
        <v>-84.884334760000002</v>
      </c>
      <c r="V196">
        <f>SUM(W196:X196)+(Y196*0.8)+(Z196*0.4)</f>
        <v>193.68</v>
      </c>
      <c r="W196">
        <v>0</v>
      </c>
      <c r="X196">
        <v>0</v>
      </c>
      <c r="Y196">
        <v>0</v>
      </c>
      <c r="Z196">
        <v>484.2</v>
      </c>
      <c r="AA196" t="s">
        <v>43</v>
      </c>
      <c r="AB196">
        <v>0</v>
      </c>
      <c r="AD196" t="s">
        <v>9134</v>
      </c>
      <c r="AE196" t="s">
        <v>9135</v>
      </c>
    </row>
    <row r="197" spans="1:31" x14ac:dyDescent="0.25">
      <c r="A197" t="s">
        <v>31</v>
      </c>
      <c r="B197" t="s">
        <v>11350</v>
      </c>
      <c r="C197" t="s">
        <v>7684</v>
      </c>
      <c r="D197" t="s">
        <v>7766</v>
      </c>
      <c r="E197" t="s">
        <v>362</v>
      </c>
      <c r="F197" t="s">
        <v>7686</v>
      </c>
      <c r="G197">
        <v>2026</v>
      </c>
      <c r="H197" t="s">
        <v>36</v>
      </c>
      <c r="I197" t="s">
        <v>7767</v>
      </c>
      <c r="J197" t="s">
        <v>31</v>
      </c>
      <c r="K197" t="s">
        <v>38</v>
      </c>
      <c r="L197" t="s">
        <v>828</v>
      </c>
      <c r="M197" t="s">
        <v>829</v>
      </c>
      <c r="N197" t="s">
        <v>2277</v>
      </c>
      <c r="O197" t="s">
        <v>7768</v>
      </c>
      <c r="P197" t="s">
        <v>7769</v>
      </c>
      <c r="Q197" t="s">
        <v>7768</v>
      </c>
      <c r="T197">
        <v>44.736280084000001</v>
      </c>
      <c r="U197">
        <v>-93.057827875000001</v>
      </c>
      <c r="V197">
        <f>SUM(W197:X197)+(Y197*0.8)+(Z197*0.4)</f>
        <v>193.6</v>
      </c>
      <c r="W197">
        <v>0</v>
      </c>
      <c r="X197">
        <v>193.6</v>
      </c>
      <c r="Y197">
        <v>0</v>
      </c>
      <c r="Z197">
        <v>0</v>
      </c>
      <c r="AA197" t="s">
        <v>43</v>
      </c>
      <c r="AB197">
        <v>193.6</v>
      </c>
      <c r="AD197" t="s">
        <v>7770</v>
      </c>
      <c r="AE197" t="s">
        <v>7771</v>
      </c>
    </row>
    <row r="198" spans="1:31" x14ac:dyDescent="0.25">
      <c r="A198" t="s">
        <v>31</v>
      </c>
      <c r="C198" t="s">
        <v>9886</v>
      </c>
      <c r="D198" t="s">
        <v>9939</v>
      </c>
      <c r="E198" t="s">
        <v>34</v>
      </c>
      <c r="F198" t="s">
        <v>66</v>
      </c>
      <c r="G198">
        <v>2023</v>
      </c>
      <c r="H198" t="s">
        <v>36</v>
      </c>
      <c r="I198" t="s">
        <v>9940</v>
      </c>
      <c r="J198" t="s">
        <v>31</v>
      </c>
      <c r="K198" t="s">
        <v>38</v>
      </c>
      <c r="L198" t="s">
        <v>242</v>
      </c>
      <c r="M198" t="s">
        <v>243</v>
      </c>
      <c r="N198" t="s">
        <v>509</v>
      </c>
      <c r="O198" t="s">
        <v>743</v>
      </c>
      <c r="P198" t="s">
        <v>2564</v>
      </c>
      <c r="T198">
        <v>38.747613993000002</v>
      </c>
      <c r="U198">
        <v>-77.518504184999998</v>
      </c>
      <c r="V198">
        <f>SUM(W198:X198)+(Y198*0.8)+(Z198*0.4)</f>
        <v>192</v>
      </c>
      <c r="W198">
        <v>192</v>
      </c>
      <c r="X198">
        <v>0</v>
      </c>
      <c r="Y198">
        <v>0</v>
      </c>
      <c r="Z198">
        <v>0</v>
      </c>
      <c r="AA198" t="s">
        <v>43</v>
      </c>
      <c r="AB198">
        <v>192</v>
      </c>
      <c r="AD198" t="s">
        <v>9941</v>
      </c>
      <c r="AE198" t="s">
        <v>9942</v>
      </c>
    </row>
    <row r="199" spans="1:31" x14ac:dyDescent="0.25">
      <c r="A199" t="s">
        <v>31</v>
      </c>
      <c r="C199" t="s">
        <v>3849</v>
      </c>
      <c r="D199" t="s">
        <v>4429</v>
      </c>
      <c r="E199" t="s">
        <v>34</v>
      </c>
      <c r="F199" t="s">
        <v>66</v>
      </c>
      <c r="H199" t="s">
        <v>36</v>
      </c>
      <c r="I199" t="s">
        <v>4430</v>
      </c>
      <c r="J199" t="s">
        <v>31</v>
      </c>
      <c r="K199" t="s">
        <v>38</v>
      </c>
      <c r="L199" t="s">
        <v>242</v>
      </c>
      <c r="M199" t="s">
        <v>243</v>
      </c>
      <c r="N199" t="s">
        <v>509</v>
      </c>
      <c r="O199" t="s">
        <v>510</v>
      </c>
      <c r="P199" t="s">
        <v>873</v>
      </c>
      <c r="T199">
        <v>38.737779412000002</v>
      </c>
      <c r="U199">
        <v>-77.508533573999998</v>
      </c>
      <c r="V199">
        <f>SUM(W199:X199)+(Y199*0.8)+(Z199*0.4)</f>
        <v>192</v>
      </c>
      <c r="W199">
        <v>0</v>
      </c>
      <c r="X199">
        <v>192</v>
      </c>
      <c r="Y199">
        <v>0</v>
      </c>
      <c r="Z199">
        <v>0</v>
      </c>
      <c r="AA199" t="s">
        <v>43</v>
      </c>
      <c r="AB199">
        <v>128</v>
      </c>
      <c r="AD199" t="s">
        <v>4431</v>
      </c>
      <c r="AE199" t="s">
        <v>4432</v>
      </c>
    </row>
    <row r="200" spans="1:31" x14ac:dyDescent="0.25">
      <c r="A200" t="s">
        <v>31</v>
      </c>
      <c r="C200" t="s">
        <v>10876</v>
      </c>
      <c r="D200" t="s">
        <v>10914</v>
      </c>
      <c r="E200" t="s">
        <v>34</v>
      </c>
      <c r="F200" t="s">
        <v>66</v>
      </c>
      <c r="G200">
        <v>2026</v>
      </c>
      <c r="H200" t="s">
        <v>36</v>
      </c>
      <c r="I200" t="s">
        <v>10915</v>
      </c>
      <c r="J200" t="s">
        <v>31</v>
      </c>
      <c r="K200" t="s">
        <v>38</v>
      </c>
      <c r="L200" t="s">
        <v>1457</v>
      </c>
      <c r="M200" t="s">
        <v>1458</v>
      </c>
      <c r="N200" t="s">
        <v>2821</v>
      </c>
      <c r="O200" t="s">
        <v>2822</v>
      </c>
      <c r="P200" t="s">
        <v>6299</v>
      </c>
      <c r="T200">
        <v>39.549854535000001</v>
      </c>
      <c r="U200">
        <v>-119.48750000299999</v>
      </c>
      <c r="V200">
        <f>SUM(W200:X200)+(Y200*0.8)+(Z200*0.4)</f>
        <v>190.4</v>
      </c>
      <c r="W200">
        <v>0</v>
      </c>
      <c r="X200">
        <v>56</v>
      </c>
      <c r="Y200">
        <v>168</v>
      </c>
      <c r="Z200">
        <v>0</v>
      </c>
      <c r="AA200" t="s">
        <v>43</v>
      </c>
      <c r="AB200">
        <v>200</v>
      </c>
      <c r="AD200" t="s">
        <v>10916</v>
      </c>
      <c r="AE200" t="s">
        <v>10917</v>
      </c>
    </row>
    <row r="201" spans="1:31" x14ac:dyDescent="0.25">
      <c r="A201" t="s">
        <v>31</v>
      </c>
      <c r="C201" t="s">
        <v>4998</v>
      </c>
      <c r="D201" t="s">
        <v>5025</v>
      </c>
      <c r="E201" t="s">
        <v>34</v>
      </c>
      <c r="F201" t="s">
        <v>66</v>
      </c>
      <c r="G201">
        <v>2026</v>
      </c>
      <c r="H201" t="s">
        <v>36</v>
      </c>
      <c r="I201" t="s">
        <v>5026</v>
      </c>
      <c r="J201" t="s">
        <v>31</v>
      </c>
      <c r="K201" t="s">
        <v>38</v>
      </c>
      <c r="L201" t="s">
        <v>1457</v>
      </c>
      <c r="M201" t="s">
        <v>1458</v>
      </c>
      <c r="N201" t="s">
        <v>2821</v>
      </c>
      <c r="O201" t="s">
        <v>2822</v>
      </c>
      <c r="P201" t="s">
        <v>2823</v>
      </c>
      <c r="T201">
        <v>39.524571917999999</v>
      </c>
      <c r="U201">
        <v>-119.48177941599999</v>
      </c>
      <c r="V201">
        <f>SUM(W201:X201)+(Y201*0.8)+(Z201*0.4)</f>
        <v>187.2</v>
      </c>
      <c r="W201">
        <v>0</v>
      </c>
      <c r="X201">
        <v>72</v>
      </c>
      <c r="Y201">
        <v>144</v>
      </c>
      <c r="Z201">
        <v>0</v>
      </c>
      <c r="AA201" t="s">
        <v>43</v>
      </c>
      <c r="AB201">
        <v>72</v>
      </c>
      <c r="AC201">
        <v>1.25</v>
      </c>
      <c r="AD201" t="s">
        <v>5027</v>
      </c>
      <c r="AE201" t="s">
        <v>5028</v>
      </c>
    </row>
    <row r="202" spans="1:31" x14ac:dyDescent="0.25">
      <c r="A202" t="s">
        <v>31</v>
      </c>
      <c r="C202" t="s">
        <v>8824</v>
      </c>
      <c r="D202" t="s">
        <v>8825</v>
      </c>
      <c r="E202" t="s">
        <v>34</v>
      </c>
      <c r="F202" t="s">
        <v>66</v>
      </c>
      <c r="H202" t="s">
        <v>36</v>
      </c>
      <c r="I202" t="s">
        <v>8826</v>
      </c>
      <c r="J202" t="s">
        <v>31</v>
      </c>
      <c r="K202" t="s">
        <v>38</v>
      </c>
      <c r="L202" t="s">
        <v>242</v>
      </c>
      <c r="M202" t="s">
        <v>243</v>
      </c>
      <c r="N202" t="s">
        <v>748</v>
      </c>
      <c r="O202" t="s">
        <v>3220</v>
      </c>
      <c r="P202" t="s">
        <v>2551</v>
      </c>
      <c r="T202">
        <v>38.461468113999999</v>
      </c>
      <c r="U202">
        <v>-77.984049084000006</v>
      </c>
      <c r="V202">
        <f>SUM(W202:X202)+(Y202*0.8)+(Z202*0.4)</f>
        <v>186.4</v>
      </c>
      <c r="W202">
        <v>0</v>
      </c>
      <c r="X202">
        <v>0</v>
      </c>
      <c r="Y202">
        <v>233</v>
      </c>
      <c r="Z202">
        <v>0</v>
      </c>
      <c r="AA202" t="s">
        <v>43</v>
      </c>
      <c r="AB202">
        <v>0</v>
      </c>
      <c r="AD202" t="s">
        <v>8827</v>
      </c>
      <c r="AE202" t="s">
        <v>8828</v>
      </c>
    </row>
    <row r="203" spans="1:31" x14ac:dyDescent="0.25">
      <c r="A203" t="s">
        <v>31</v>
      </c>
      <c r="C203" t="s">
        <v>9886</v>
      </c>
      <c r="D203" t="s">
        <v>9943</v>
      </c>
      <c r="E203" t="s">
        <v>34</v>
      </c>
      <c r="F203" t="s">
        <v>76</v>
      </c>
      <c r="G203">
        <v>2025</v>
      </c>
      <c r="H203" t="s">
        <v>36</v>
      </c>
      <c r="I203" t="s">
        <v>9944</v>
      </c>
      <c r="J203" t="s">
        <v>31</v>
      </c>
      <c r="K203" t="s">
        <v>38</v>
      </c>
      <c r="L203" t="s">
        <v>242</v>
      </c>
      <c r="M203" t="s">
        <v>243</v>
      </c>
      <c r="N203" t="s">
        <v>405</v>
      </c>
      <c r="O203" t="s">
        <v>526</v>
      </c>
      <c r="P203" t="s">
        <v>527</v>
      </c>
      <c r="T203">
        <v>39.001999335999997</v>
      </c>
      <c r="U203">
        <v>-77.463049613999999</v>
      </c>
      <c r="V203">
        <f>SUM(W203:X203)+(Y203*0.8)+(Z203*0.4)</f>
        <v>184.8</v>
      </c>
      <c r="W203">
        <v>0</v>
      </c>
      <c r="X203">
        <v>132</v>
      </c>
      <c r="Y203">
        <v>66</v>
      </c>
      <c r="Z203">
        <v>0</v>
      </c>
      <c r="AA203" t="s">
        <v>43</v>
      </c>
      <c r="AB203">
        <v>132</v>
      </c>
      <c r="AD203" t="s">
        <v>9945</v>
      </c>
      <c r="AE203" t="s">
        <v>9946</v>
      </c>
    </row>
    <row r="204" spans="1:31" x14ac:dyDescent="0.25">
      <c r="A204" t="s">
        <v>31</v>
      </c>
      <c r="B204" t="s">
        <v>11350</v>
      </c>
      <c r="C204" t="s">
        <v>7857</v>
      </c>
      <c r="D204" t="s">
        <v>7947</v>
      </c>
      <c r="E204" t="s">
        <v>362</v>
      </c>
      <c r="F204" t="s">
        <v>649</v>
      </c>
      <c r="G204">
        <v>2023</v>
      </c>
      <c r="H204" t="s">
        <v>36</v>
      </c>
      <c r="I204" t="s">
        <v>7948</v>
      </c>
      <c r="J204" t="s">
        <v>31</v>
      </c>
      <c r="K204" t="s">
        <v>38</v>
      </c>
      <c r="L204" t="s">
        <v>1433</v>
      </c>
      <c r="M204" t="s">
        <v>1434</v>
      </c>
      <c r="N204" t="s">
        <v>1711</v>
      </c>
      <c r="O204" t="s">
        <v>7868</v>
      </c>
      <c r="P204" t="s">
        <v>7949</v>
      </c>
      <c r="T204">
        <v>41.531617337999997</v>
      </c>
      <c r="U204">
        <v>-93.861929906</v>
      </c>
      <c r="V204">
        <f>SUM(W204:X204)+(Y204*0.8)+(Z204*0.4)</f>
        <v>184.8</v>
      </c>
      <c r="W204">
        <v>112</v>
      </c>
      <c r="X204">
        <v>28</v>
      </c>
      <c r="Y204">
        <v>56</v>
      </c>
      <c r="Z204">
        <v>0</v>
      </c>
      <c r="AA204" t="s">
        <v>43</v>
      </c>
      <c r="AB204">
        <v>196</v>
      </c>
      <c r="AD204" t="s">
        <v>7950</v>
      </c>
      <c r="AE204" t="s">
        <v>7951</v>
      </c>
    </row>
    <row r="205" spans="1:31" x14ac:dyDescent="0.25">
      <c r="A205" t="s">
        <v>31</v>
      </c>
      <c r="B205" t="s">
        <v>11350</v>
      </c>
      <c r="C205" t="s">
        <v>7857</v>
      </c>
      <c r="D205" t="s">
        <v>7952</v>
      </c>
      <c r="E205" t="s">
        <v>362</v>
      </c>
      <c r="F205" t="s">
        <v>649</v>
      </c>
      <c r="G205">
        <v>2021</v>
      </c>
      <c r="H205" t="s">
        <v>36</v>
      </c>
      <c r="I205" t="s">
        <v>7953</v>
      </c>
      <c r="J205" t="s">
        <v>31</v>
      </c>
      <c r="K205" t="s">
        <v>38</v>
      </c>
      <c r="L205" t="s">
        <v>326</v>
      </c>
      <c r="M205" t="s">
        <v>327</v>
      </c>
      <c r="N205" t="s">
        <v>328</v>
      </c>
      <c r="O205" t="s">
        <v>329</v>
      </c>
      <c r="P205" t="s">
        <v>7954</v>
      </c>
      <c r="T205">
        <v>33.491457283000003</v>
      </c>
      <c r="U205">
        <v>-112.43982568600001</v>
      </c>
      <c r="V205">
        <f>SUM(W205:X205)+(Y205*0.8)+(Z205*0.4)</f>
        <v>184</v>
      </c>
      <c r="W205">
        <v>80</v>
      </c>
      <c r="X205">
        <v>40</v>
      </c>
      <c r="Y205">
        <v>80</v>
      </c>
      <c r="Z205">
        <v>0</v>
      </c>
      <c r="AA205" t="s">
        <v>43</v>
      </c>
      <c r="AB205">
        <v>200</v>
      </c>
      <c r="AD205" t="s">
        <v>7955</v>
      </c>
      <c r="AE205" t="s">
        <v>7956</v>
      </c>
    </row>
    <row r="206" spans="1:31" x14ac:dyDescent="0.25">
      <c r="A206" t="s">
        <v>31</v>
      </c>
      <c r="C206" t="s">
        <v>8520</v>
      </c>
      <c r="D206" t="s">
        <v>8521</v>
      </c>
      <c r="E206" t="s">
        <v>34</v>
      </c>
      <c r="F206" t="s">
        <v>66</v>
      </c>
      <c r="H206" t="s">
        <v>36</v>
      </c>
      <c r="I206" t="s">
        <v>8522</v>
      </c>
      <c r="J206" t="s">
        <v>31</v>
      </c>
      <c r="K206" t="s">
        <v>38</v>
      </c>
      <c r="L206" t="s">
        <v>77</v>
      </c>
      <c r="M206" t="s">
        <v>78</v>
      </c>
      <c r="N206" t="s">
        <v>8523</v>
      </c>
      <c r="O206" t="s">
        <v>8524</v>
      </c>
      <c r="P206" t="s">
        <v>8525</v>
      </c>
      <c r="Q206" t="s">
        <v>8526</v>
      </c>
      <c r="T206">
        <v>40.158000430999998</v>
      </c>
      <c r="U206">
        <v>-74.754226681999995</v>
      </c>
      <c r="V206">
        <f>SUM(W206:X206)+(Y206*0.8)+(Z206*0.4)</f>
        <v>184</v>
      </c>
      <c r="W206">
        <v>0</v>
      </c>
      <c r="X206">
        <v>0</v>
      </c>
      <c r="Y206">
        <v>230</v>
      </c>
      <c r="Z206">
        <v>0</v>
      </c>
      <c r="AA206" t="s">
        <v>43</v>
      </c>
      <c r="AB206">
        <v>90</v>
      </c>
      <c r="AD206" t="s">
        <v>8527</v>
      </c>
      <c r="AE206" t="s">
        <v>8528</v>
      </c>
    </row>
    <row r="207" spans="1:31" x14ac:dyDescent="0.25">
      <c r="A207" t="s">
        <v>31</v>
      </c>
      <c r="C207" t="s">
        <v>6655</v>
      </c>
      <c r="D207" t="s">
        <v>6656</v>
      </c>
      <c r="E207" t="s">
        <v>34</v>
      </c>
      <c r="F207" t="s">
        <v>66</v>
      </c>
      <c r="G207">
        <v>2022</v>
      </c>
      <c r="H207" t="s">
        <v>36</v>
      </c>
      <c r="I207" t="s">
        <v>6657</v>
      </c>
      <c r="J207" t="s">
        <v>31</v>
      </c>
      <c r="K207" t="s">
        <v>38</v>
      </c>
      <c r="L207" t="s">
        <v>49</v>
      </c>
      <c r="M207" t="s">
        <v>50</v>
      </c>
      <c r="N207" t="s">
        <v>355</v>
      </c>
      <c r="O207" t="s">
        <v>6658</v>
      </c>
      <c r="P207" t="s">
        <v>6659</v>
      </c>
      <c r="T207">
        <v>41.992587045000001</v>
      </c>
      <c r="U207">
        <v>-86.099823635999996</v>
      </c>
      <c r="V207">
        <f>SUM(W207:X207)+(Y207*0.8)+(Z207*0.4)</f>
        <v>180.8</v>
      </c>
      <c r="W207">
        <v>28</v>
      </c>
      <c r="X207">
        <v>0</v>
      </c>
      <c r="Y207">
        <v>70</v>
      </c>
      <c r="Z207">
        <v>242</v>
      </c>
      <c r="AA207" t="s">
        <v>43</v>
      </c>
      <c r="AB207">
        <v>28</v>
      </c>
      <c r="AD207" t="s">
        <v>6660</v>
      </c>
      <c r="AE207" t="s">
        <v>6661</v>
      </c>
    </row>
    <row r="208" spans="1:31" x14ac:dyDescent="0.25">
      <c r="A208" t="s">
        <v>31</v>
      </c>
      <c r="B208" t="s">
        <v>11350</v>
      </c>
      <c r="C208" t="s">
        <v>6116</v>
      </c>
      <c r="D208" t="s">
        <v>6117</v>
      </c>
      <c r="E208" t="s">
        <v>362</v>
      </c>
      <c r="F208" t="s">
        <v>649</v>
      </c>
      <c r="G208">
        <v>2024</v>
      </c>
      <c r="H208" t="s">
        <v>36</v>
      </c>
      <c r="I208" t="s">
        <v>6118</v>
      </c>
      <c r="J208" t="s">
        <v>31</v>
      </c>
      <c r="K208" t="s">
        <v>38</v>
      </c>
      <c r="L208" t="s">
        <v>242</v>
      </c>
      <c r="M208" t="s">
        <v>243</v>
      </c>
      <c r="N208" t="s">
        <v>509</v>
      </c>
      <c r="O208" t="s">
        <v>685</v>
      </c>
      <c r="P208" t="s">
        <v>686</v>
      </c>
      <c r="T208">
        <v>38.777566739999997</v>
      </c>
      <c r="U208">
        <v>-77.581984715999994</v>
      </c>
      <c r="V208">
        <f>SUM(W208:X208)+(Y208*0.8)+(Z208*0.4)</f>
        <v>180</v>
      </c>
      <c r="W208">
        <v>120</v>
      </c>
      <c r="X208">
        <v>60</v>
      </c>
      <c r="Y208">
        <v>0</v>
      </c>
      <c r="Z208">
        <v>0</v>
      </c>
      <c r="AA208" t="s">
        <v>43</v>
      </c>
      <c r="AB208">
        <v>180</v>
      </c>
      <c r="AD208" t="s">
        <v>6119</v>
      </c>
      <c r="AE208" t="s">
        <v>6120</v>
      </c>
    </row>
    <row r="209" spans="1:31" x14ac:dyDescent="0.25">
      <c r="A209" t="s">
        <v>31</v>
      </c>
      <c r="C209" t="s">
        <v>8824</v>
      </c>
      <c r="D209" t="s">
        <v>8829</v>
      </c>
      <c r="E209" t="s">
        <v>34</v>
      </c>
      <c r="F209" t="s">
        <v>43</v>
      </c>
      <c r="H209" t="s">
        <v>36</v>
      </c>
      <c r="I209" t="s">
        <v>8830</v>
      </c>
      <c r="J209" t="s">
        <v>31</v>
      </c>
      <c r="K209" t="s">
        <v>38</v>
      </c>
      <c r="L209" t="s">
        <v>242</v>
      </c>
      <c r="M209" t="s">
        <v>243</v>
      </c>
      <c r="N209" t="s">
        <v>413</v>
      </c>
      <c r="P209" t="s">
        <v>8831</v>
      </c>
      <c r="T209">
        <v>38.254132835999997</v>
      </c>
      <c r="U209">
        <v>-77.389119856999997</v>
      </c>
      <c r="V209">
        <f>SUM(W209:X209)+(Y209*0.8)+(Z209*0.4)</f>
        <v>176</v>
      </c>
      <c r="W209">
        <v>0</v>
      </c>
      <c r="X209">
        <v>0</v>
      </c>
      <c r="Y209">
        <v>0</v>
      </c>
      <c r="Z209">
        <v>440</v>
      </c>
      <c r="AA209" t="s">
        <v>43</v>
      </c>
      <c r="AB209">
        <v>0</v>
      </c>
      <c r="AD209" t="s">
        <v>8832</v>
      </c>
      <c r="AE209" t="s">
        <v>8833</v>
      </c>
    </row>
    <row r="210" spans="1:31" x14ac:dyDescent="0.25">
      <c r="A210" t="s">
        <v>31</v>
      </c>
      <c r="B210" t="s">
        <v>11350</v>
      </c>
      <c r="C210" t="s">
        <v>7684</v>
      </c>
      <c r="D210" t="s">
        <v>7755</v>
      </c>
      <c r="E210" t="s">
        <v>362</v>
      </c>
      <c r="F210" t="s">
        <v>649</v>
      </c>
      <c r="G210">
        <v>2026</v>
      </c>
      <c r="H210" t="s">
        <v>36</v>
      </c>
      <c r="I210" t="s">
        <v>7756</v>
      </c>
      <c r="J210" t="s">
        <v>31</v>
      </c>
      <c r="K210" t="s">
        <v>38</v>
      </c>
      <c r="L210" t="s">
        <v>143</v>
      </c>
      <c r="M210" t="s">
        <v>144</v>
      </c>
      <c r="N210" t="s">
        <v>319</v>
      </c>
      <c r="O210" t="s">
        <v>7757</v>
      </c>
      <c r="P210" t="s">
        <v>7758</v>
      </c>
      <c r="Q210" t="s">
        <v>7759</v>
      </c>
      <c r="T210">
        <v>38.356378759000002</v>
      </c>
      <c r="U210">
        <v>-85.658550968</v>
      </c>
      <c r="V210">
        <f>SUM(W210:X210)+(Y210*0.8)+(Z210*0.4)</f>
        <v>175.32000000000002</v>
      </c>
      <c r="W210">
        <v>0</v>
      </c>
      <c r="X210">
        <v>97.4</v>
      </c>
      <c r="Y210">
        <v>97.4</v>
      </c>
      <c r="Z210">
        <v>0</v>
      </c>
      <c r="AA210" t="s">
        <v>43</v>
      </c>
      <c r="AB210">
        <v>194.8</v>
      </c>
      <c r="AD210" t="s">
        <v>7760</v>
      </c>
      <c r="AE210" t="s">
        <v>7761</v>
      </c>
    </row>
    <row r="211" spans="1:31" x14ac:dyDescent="0.25">
      <c r="A211" t="s">
        <v>31</v>
      </c>
      <c r="C211" t="s">
        <v>4801</v>
      </c>
      <c r="D211" t="s">
        <v>4802</v>
      </c>
      <c r="E211" t="s">
        <v>34</v>
      </c>
      <c r="F211" t="s">
        <v>66</v>
      </c>
      <c r="G211">
        <v>2026</v>
      </c>
      <c r="H211" t="s">
        <v>36</v>
      </c>
      <c r="I211" t="s">
        <v>4803</v>
      </c>
      <c r="J211" t="s">
        <v>31</v>
      </c>
      <c r="K211" t="s">
        <v>38</v>
      </c>
      <c r="L211" t="s">
        <v>185</v>
      </c>
      <c r="M211" t="s">
        <v>186</v>
      </c>
      <c r="N211" t="s">
        <v>4804</v>
      </c>
      <c r="T211">
        <v>33.625142760999999</v>
      </c>
      <c r="U211">
        <v>-84.562017275000002</v>
      </c>
      <c r="V211">
        <f>SUM(W211:X211)+(Y211*0.8)+(Z211*0.4)</f>
        <v>174.2</v>
      </c>
      <c r="W211">
        <v>0</v>
      </c>
      <c r="X211">
        <v>67</v>
      </c>
      <c r="Y211">
        <v>134</v>
      </c>
      <c r="Z211">
        <v>0</v>
      </c>
      <c r="AA211" t="s">
        <v>43</v>
      </c>
      <c r="AB211">
        <v>201</v>
      </c>
      <c r="AD211" t="s">
        <v>4805</v>
      </c>
      <c r="AE211" t="s">
        <v>4806</v>
      </c>
    </row>
    <row r="212" spans="1:31" x14ac:dyDescent="0.25">
      <c r="A212" t="s">
        <v>31</v>
      </c>
      <c r="C212" t="s">
        <v>9202</v>
      </c>
      <c r="D212" t="s">
        <v>2132</v>
      </c>
      <c r="E212" t="s">
        <v>34</v>
      </c>
      <c r="F212" t="s">
        <v>66</v>
      </c>
      <c r="G212">
        <v>2014</v>
      </c>
      <c r="H212" t="s">
        <v>36</v>
      </c>
      <c r="I212" t="s">
        <v>9261</v>
      </c>
      <c r="J212" t="s">
        <v>31</v>
      </c>
      <c r="K212" t="s">
        <v>38</v>
      </c>
      <c r="L212" t="s">
        <v>68</v>
      </c>
      <c r="M212" t="s">
        <v>69</v>
      </c>
      <c r="N212" t="s">
        <v>297</v>
      </c>
      <c r="O212" t="s">
        <v>2357</v>
      </c>
      <c r="P212" t="s">
        <v>9262</v>
      </c>
      <c r="T212">
        <v>32.897278858</v>
      </c>
      <c r="U212">
        <v>-96.983004030999993</v>
      </c>
      <c r="V212">
        <f>SUM(W212:X212)+(Y212*0.8)+(Z212*0.4)</f>
        <v>173.626</v>
      </c>
      <c r="W212">
        <v>104</v>
      </c>
      <c r="X212">
        <v>0</v>
      </c>
      <c r="Y212">
        <v>0</v>
      </c>
      <c r="Z212">
        <v>174.065</v>
      </c>
      <c r="AA212" t="s">
        <v>43</v>
      </c>
      <c r="AB212">
        <v>99.2</v>
      </c>
      <c r="AC212">
        <v>1.73</v>
      </c>
      <c r="AD212" t="s">
        <v>9263</v>
      </c>
      <c r="AE212" t="s">
        <v>9264</v>
      </c>
    </row>
    <row r="213" spans="1:31" x14ac:dyDescent="0.25">
      <c r="A213" t="s">
        <v>31</v>
      </c>
      <c r="C213" t="s">
        <v>1859</v>
      </c>
      <c r="D213" t="s">
        <v>1872</v>
      </c>
      <c r="E213" t="s">
        <v>34</v>
      </c>
      <c r="F213" t="s">
        <v>35</v>
      </c>
      <c r="G213">
        <v>2026</v>
      </c>
      <c r="H213" t="s">
        <v>36</v>
      </c>
      <c r="I213" t="s">
        <v>1873</v>
      </c>
      <c r="J213" t="s">
        <v>31</v>
      </c>
      <c r="K213" t="s">
        <v>38</v>
      </c>
      <c r="L213" t="s">
        <v>242</v>
      </c>
      <c r="M213" t="s">
        <v>243</v>
      </c>
      <c r="N213" t="s">
        <v>405</v>
      </c>
      <c r="O213" t="s">
        <v>516</v>
      </c>
      <c r="P213" t="s">
        <v>517</v>
      </c>
      <c r="T213">
        <v>38.957578388000002</v>
      </c>
      <c r="U213">
        <v>-77.534929426999994</v>
      </c>
      <c r="V213">
        <f>SUM(W213:X213)+(Y213*0.8)+(Z213*0.4)</f>
        <v>173.4</v>
      </c>
      <c r="W213">
        <v>0</v>
      </c>
      <c r="X213">
        <v>51</v>
      </c>
      <c r="Y213">
        <v>153</v>
      </c>
      <c r="Z213">
        <v>0</v>
      </c>
      <c r="AA213" t="s">
        <v>43</v>
      </c>
      <c r="AB213">
        <v>46</v>
      </c>
      <c r="AD213" t="s">
        <v>1874</v>
      </c>
      <c r="AE213" t="s">
        <v>1875</v>
      </c>
    </row>
    <row r="214" spans="1:31" x14ac:dyDescent="0.25">
      <c r="A214" t="s">
        <v>31</v>
      </c>
      <c r="B214" t="s">
        <v>11350</v>
      </c>
      <c r="C214" t="s">
        <v>1430</v>
      </c>
      <c r="D214" t="s">
        <v>1431</v>
      </c>
      <c r="E214" t="s">
        <v>362</v>
      </c>
      <c r="F214" t="s">
        <v>1302</v>
      </c>
      <c r="G214">
        <v>2027</v>
      </c>
      <c r="H214" t="s">
        <v>36</v>
      </c>
      <c r="I214" t="s">
        <v>1432</v>
      </c>
      <c r="J214" t="s">
        <v>31</v>
      </c>
      <c r="K214" t="s">
        <v>38</v>
      </c>
      <c r="L214" t="s">
        <v>1433</v>
      </c>
      <c r="M214" t="s">
        <v>1434</v>
      </c>
      <c r="N214" t="s">
        <v>297</v>
      </c>
      <c r="O214" t="s">
        <v>1435</v>
      </c>
      <c r="P214" t="s">
        <v>1436</v>
      </c>
      <c r="T214">
        <v>41.620340079000002</v>
      </c>
      <c r="U214">
        <v>-93.920809011000003</v>
      </c>
      <c r="V214">
        <f>SUM(W214:X214)+(Y214*0.8)+(Z214*0.4)</f>
        <v>172.5</v>
      </c>
      <c r="W214">
        <v>0</v>
      </c>
      <c r="X214">
        <v>34.5</v>
      </c>
      <c r="Y214">
        <v>172.5</v>
      </c>
      <c r="Z214">
        <v>0</v>
      </c>
      <c r="AA214" t="s">
        <v>43</v>
      </c>
      <c r="AB214">
        <v>207</v>
      </c>
      <c r="AD214" t="s">
        <v>1437</v>
      </c>
      <c r="AE214" t="s">
        <v>1438</v>
      </c>
    </row>
    <row r="215" spans="1:31" x14ac:dyDescent="0.25">
      <c r="A215" t="s">
        <v>31</v>
      </c>
      <c r="B215" t="s">
        <v>11350</v>
      </c>
      <c r="C215" t="s">
        <v>7684</v>
      </c>
      <c r="D215" t="s">
        <v>2134</v>
      </c>
      <c r="E215" t="s">
        <v>362</v>
      </c>
      <c r="F215" t="s">
        <v>7686</v>
      </c>
      <c r="G215">
        <v>2017</v>
      </c>
      <c r="H215" t="s">
        <v>36</v>
      </c>
      <c r="I215" t="s">
        <v>7720</v>
      </c>
      <c r="J215" t="s">
        <v>31</v>
      </c>
      <c r="K215" t="s">
        <v>38</v>
      </c>
      <c r="L215" t="s">
        <v>68</v>
      </c>
      <c r="M215" t="s">
        <v>69</v>
      </c>
      <c r="N215" t="s">
        <v>540</v>
      </c>
      <c r="O215" t="s">
        <v>2134</v>
      </c>
      <c r="P215" t="s">
        <v>2378</v>
      </c>
      <c r="S215" t="s">
        <v>7721</v>
      </c>
      <c r="T215">
        <v>32.985306809999997</v>
      </c>
      <c r="U215">
        <v>-97.256983571000006</v>
      </c>
      <c r="V215">
        <f>SUM(W215:X215)+(Y215*0.8)+(Z215*0.4)</f>
        <v>170</v>
      </c>
      <c r="W215">
        <v>170</v>
      </c>
      <c r="X215">
        <v>0</v>
      </c>
      <c r="Y215">
        <v>0</v>
      </c>
      <c r="Z215">
        <v>0</v>
      </c>
      <c r="AA215" t="s">
        <v>43</v>
      </c>
      <c r="AB215">
        <v>170</v>
      </c>
      <c r="AD215" t="s">
        <v>7722</v>
      </c>
      <c r="AE215" t="s">
        <v>7723</v>
      </c>
    </row>
    <row r="216" spans="1:31" x14ac:dyDescent="0.25">
      <c r="A216" t="s">
        <v>31</v>
      </c>
      <c r="B216" t="s">
        <v>11350</v>
      </c>
      <c r="C216" t="s">
        <v>7684</v>
      </c>
      <c r="D216" t="s">
        <v>7783</v>
      </c>
      <c r="E216" t="s">
        <v>362</v>
      </c>
      <c r="F216" t="s">
        <v>43</v>
      </c>
      <c r="G216">
        <v>2027</v>
      </c>
      <c r="H216" t="s">
        <v>36</v>
      </c>
      <c r="I216" t="s">
        <v>7784</v>
      </c>
      <c r="J216" t="s">
        <v>31</v>
      </c>
      <c r="K216" t="s">
        <v>38</v>
      </c>
      <c r="L216" t="s">
        <v>317</v>
      </c>
      <c r="M216" t="s">
        <v>318</v>
      </c>
      <c r="N216" t="s">
        <v>7785</v>
      </c>
      <c r="T216">
        <v>41.465580119000002</v>
      </c>
      <c r="U216">
        <v>-83.638956453999995</v>
      </c>
      <c r="V216">
        <f>SUM(W216:X216)+(Y216*0.8)+(Z216*0.4)</f>
        <v>168.96</v>
      </c>
      <c r="W216">
        <v>0</v>
      </c>
      <c r="X216">
        <v>0</v>
      </c>
      <c r="Y216">
        <v>211.2</v>
      </c>
      <c r="Z216">
        <v>0</v>
      </c>
      <c r="AA216" t="s">
        <v>43</v>
      </c>
      <c r="AB216">
        <v>211.2</v>
      </c>
      <c r="AD216" t="s">
        <v>7786</v>
      </c>
      <c r="AE216" t="s">
        <v>7787</v>
      </c>
    </row>
    <row r="217" spans="1:31" x14ac:dyDescent="0.25">
      <c r="A217" t="s">
        <v>31</v>
      </c>
      <c r="C217" t="s">
        <v>10876</v>
      </c>
      <c r="D217" t="s">
        <v>4650</v>
      </c>
      <c r="E217" t="s">
        <v>34</v>
      </c>
      <c r="F217" t="s">
        <v>66</v>
      </c>
      <c r="G217">
        <v>2026</v>
      </c>
      <c r="H217" t="s">
        <v>36</v>
      </c>
      <c r="I217" t="s">
        <v>10957</v>
      </c>
      <c r="J217" t="s">
        <v>31</v>
      </c>
      <c r="K217" t="s">
        <v>38</v>
      </c>
      <c r="L217" t="s">
        <v>242</v>
      </c>
      <c r="M217" t="s">
        <v>243</v>
      </c>
      <c r="N217" t="s">
        <v>413</v>
      </c>
      <c r="O217" t="s">
        <v>951</v>
      </c>
      <c r="P217" t="s">
        <v>10958</v>
      </c>
      <c r="T217">
        <v>38.389574265999997</v>
      </c>
      <c r="U217">
        <v>-77.466587111999999</v>
      </c>
      <c r="V217">
        <f>SUM(W217:X217)+(Y217*0.8)+(Z217*0.4)</f>
        <v>168</v>
      </c>
      <c r="W217">
        <v>0</v>
      </c>
      <c r="X217">
        <v>72</v>
      </c>
      <c r="Y217">
        <v>120</v>
      </c>
      <c r="Z217">
        <v>0</v>
      </c>
      <c r="AA217" t="s">
        <v>43</v>
      </c>
      <c r="AB217">
        <v>72</v>
      </c>
      <c r="AD217" t="s">
        <v>10959</v>
      </c>
      <c r="AE217" t="s">
        <v>10960</v>
      </c>
    </row>
    <row r="218" spans="1:31" x14ac:dyDescent="0.25">
      <c r="A218" t="s">
        <v>31</v>
      </c>
      <c r="C218" t="s">
        <v>10037</v>
      </c>
      <c r="D218" t="s">
        <v>10085</v>
      </c>
      <c r="E218" t="s">
        <v>34</v>
      </c>
      <c r="F218" t="s">
        <v>66</v>
      </c>
      <c r="G218">
        <v>2025</v>
      </c>
      <c r="H218" t="s">
        <v>36</v>
      </c>
      <c r="I218" t="s">
        <v>10086</v>
      </c>
      <c r="J218" t="s">
        <v>31</v>
      </c>
      <c r="K218" t="s">
        <v>38</v>
      </c>
      <c r="L218" t="s">
        <v>68</v>
      </c>
      <c r="M218" t="s">
        <v>69</v>
      </c>
      <c r="N218" t="s">
        <v>712</v>
      </c>
      <c r="O218" t="s">
        <v>713</v>
      </c>
      <c r="P218" t="s">
        <v>7895</v>
      </c>
      <c r="S218" t="s">
        <v>8144</v>
      </c>
      <c r="T218">
        <v>29.448397199999999</v>
      </c>
      <c r="U218">
        <v>-98.714755600000004</v>
      </c>
      <c r="V218">
        <f>SUM(W218:X218)+(Y218*0.8)+(Z218*0.4)</f>
        <v>168</v>
      </c>
      <c r="W218">
        <v>40</v>
      </c>
      <c r="X218">
        <v>0</v>
      </c>
      <c r="Y218">
        <v>160</v>
      </c>
      <c r="Z218">
        <v>0</v>
      </c>
      <c r="AA218" t="s">
        <v>43</v>
      </c>
      <c r="AB218">
        <v>200</v>
      </c>
      <c r="AD218" t="s">
        <v>10087</v>
      </c>
      <c r="AE218" t="s">
        <v>10088</v>
      </c>
    </row>
    <row r="219" spans="1:31" x14ac:dyDescent="0.25">
      <c r="A219" t="s">
        <v>31</v>
      </c>
      <c r="C219" t="s">
        <v>4035</v>
      </c>
      <c r="D219" t="s">
        <v>4043</v>
      </c>
      <c r="E219" t="s">
        <v>34</v>
      </c>
      <c r="F219" t="s">
        <v>66</v>
      </c>
      <c r="G219">
        <v>2025</v>
      </c>
      <c r="H219" t="s">
        <v>36</v>
      </c>
      <c r="I219" t="s">
        <v>4044</v>
      </c>
      <c r="J219" t="s">
        <v>31</v>
      </c>
      <c r="K219" t="s">
        <v>38</v>
      </c>
      <c r="L219" t="s">
        <v>185</v>
      </c>
      <c r="M219" t="s">
        <v>186</v>
      </c>
      <c r="N219" t="s">
        <v>155</v>
      </c>
      <c r="O219" t="s">
        <v>977</v>
      </c>
      <c r="P219" t="s">
        <v>4045</v>
      </c>
      <c r="T219">
        <v>33.734271831000001</v>
      </c>
      <c r="U219">
        <v>-84.615100384000002</v>
      </c>
      <c r="V219">
        <f>SUM(W219:X219)+(Y219*0.8)+(Z219*0.4)</f>
        <v>168</v>
      </c>
      <c r="W219">
        <v>0</v>
      </c>
      <c r="X219">
        <v>40</v>
      </c>
      <c r="Y219">
        <v>160</v>
      </c>
      <c r="Z219">
        <v>0</v>
      </c>
      <c r="AA219" t="s">
        <v>43</v>
      </c>
      <c r="AB219">
        <v>135</v>
      </c>
      <c r="AC219">
        <v>1.3</v>
      </c>
      <c r="AD219" t="s">
        <v>4046</v>
      </c>
      <c r="AE219" t="s">
        <v>4047</v>
      </c>
    </row>
    <row r="220" spans="1:31" x14ac:dyDescent="0.25">
      <c r="A220" t="s">
        <v>31</v>
      </c>
      <c r="C220" t="s">
        <v>3312</v>
      </c>
      <c r="D220" t="s">
        <v>3504</v>
      </c>
      <c r="E220" t="s">
        <v>34</v>
      </c>
      <c r="F220" t="s">
        <v>66</v>
      </c>
      <c r="G220">
        <v>2012</v>
      </c>
      <c r="H220" t="s">
        <v>36</v>
      </c>
      <c r="I220" t="s">
        <v>3505</v>
      </c>
      <c r="J220" t="s">
        <v>31</v>
      </c>
      <c r="K220" t="s">
        <v>38</v>
      </c>
      <c r="L220" t="s">
        <v>326</v>
      </c>
      <c r="M220" t="s">
        <v>327</v>
      </c>
      <c r="N220" t="s">
        <v>328</v>
      </c>
      <c r="O220" t="s">
        <v>596</v>
      </c>
      <c r="P220" t="s">
        <v>602</v>
      </c>
      <c r="S220" t="s">
        <v>3506</v>
      </c>
      <c r="T220">
        <v>33.270870000000002</v>
      </c>
      <c r="U220">
        <v>-111.88228599999999</v>
      </c>
      <c r="V220">
        <f>SUM(W220:X220)+(Y220*0.8)+(Z220*0.4)</f>
        <v>168</v>
      </c>
      <c r="W220">
        <v>168</v>
      </c>
      <c r="X220">
        <v>0</v>
      </c>
      <c r="Y220">
        <v>0</v>
      </c>
      <c r="Z220">
        <v>0</v>
      </c>
      <c r="AA220" t="s">
        <v>43</v>
      </c>
      <c r="AB220">
        <v>168</v>
      </c>
      <c r="AD220" t="s">
        <v>3507</v>
      </c>
      <c r="AE220" t="s">
        <v>3508</v>
      </c>
    </row>
    <row r="221" spans="1:31" x14ac:dyDescent="0.25">
      <c r="A221" t="s">
        <v>31</v>
      </c>
      <c r="C221" t="s">
        <v>10102</v>
      </c>
      <c r="D221" t="s">
        <v>10182</v>
      </c>
      <c r="E221" t="s">
        <v>34</v>
      </c>
      <c r="F221" t="s">
        <v>66</v>
      </c>
      <c r="G221">
        <v>2024</v>
      </c>
      <c r="H221" t="s">
        <v>36</v>
      </c>
      <c r="I221" t="s">
        <v>10183</v>
      </c>
      <c r="J221" t="s">
        <v>31</v>
      </c>
      <c r="K221" t="s">
        <v>38</v>
      </c>
      <c r="L221" t="s">
        <v>68</v>
      </c>
      <c r="M221" t="s">
        <v>69</v>
      </c>
      <c r="N221" t="s">
        <v>956</v>
      </c>
      <c r="O221" t="s">
        <v>957</v>
      </c>
      <c r="P221" t="s">
        <v>9573</v>
      </c>
      <c r="T221">
        <v>30.487895541</v>
      </c>
      <c r="U221">
        <v>-97.670447201000002</v>
      </c>
      <c r="V221">
        <f>SUM(W221:X221)+(Y221*0.8)+(Z221*0.4)</f>
        <v>167</v>
      </c>
      <c r="W221">
        <v>70</v>
      </c>
      <c r="X221">
        <v>25</v>
      </c>
      <c r="Y221">
        <v>90</v>
      </c>
      <c r="Z221">
        <v>0</v>
      </c>
      <c r="AA221" t="s">
        <v>43</v>
      </c>
      <c r="AB221">
        <v>40</v>
      </c>
      <c r="AD221" t="s">
        <v>10184</v>
      </c>
      <c r="AE221" t="s">
        <v>10185</v>
      </c>
    </row>
    <row r="222" spans="1:31" x14ac:dyDescent="0.25">
      <c r="A222" t="s">
        <v>31</v>
      </c>
      <c r="C222" t="s">
        <v>10876</v>
      </c>
      <c r="D222" t="s">
        <v>10918</v>
      </c>
      <c r="E222" t="s">
        <v>34</v>
      </c>
      <c r="F222" t="s">
        <v>76</v>
      </c>
      <c r="G222">
        <v>2026</v>
      </c>
      <c r="H222" t="s">
        <v>36</v>
      </c>
      <c r="I222" t="s">
        <v>10919</v>
      </c>
      <c r="J222" t="s">
        <v>31</v>
      </c>
      <c r="K222" t="s">
        <v>38</v>
      </c>
      <c r="L222" t="s">
        <v>317</v>
      </c>
      <c r="M222" t="s">
        <v>318</v>
      </c>
      <c r="N222" t="s">
        <v>584</v>
      </c>
      <c r="O222" t="s">
        <v>1177</v>
      </c>
      <c r="P222" t="s">
        <v>1171</v>
      </c>
      <c r="Q222" t="s">
        <v>1170</v>
      </c>
      <c r="T222">
        <v>40.099275359000004</v>
      </c>
      <c r="U222">
        <v>-82.748252492999995</v>
      </c>
      <c r="V222">
        <f>SUM(W222:X222)+(Y222*0.8)+(Z222*0.4)</f>
        <v>166.4</v>
      </c>
      <c r="W222">
        <v>0</v>
      </c>
      <c r="X222">
        <v>64</v>
      </c>
      <c r="Y222">
        <v>128</v>
      </c>
      <c r="Z222">
        <v>0</v>
      </c>
      <c r="AA222" t="s">
        <v>43</v>
      </c>
      <c r="AB222">
        <v>192</v>
      </c>
      <c r="AD222" t="s">
        <v>10920</v>
      </c>
      <c r="AE222" t="s">
        <v>10921</v>
      </c>
    </row>
    <row r="223" spans="1:31" x14ac:dyDescent="0.25">
      <c r="A223" t="s">
        <v>31</v>
      </c>
      <c r="C223" t="s">
        <v>9886</v>
      </c>
      <c r="D223" t="s">
        <v>9920</v>
      </c>
      <c r="E223" t="s">
        <v>34</v>
      </c>
      <c r="F223" t="s">
        <v>66</v>
      </c>
      <c r="G223">
        <v>2029</v>
      </c>
      <c r="H223" t="s">
        <v>36</v>
      </c>
      <c r="I223" t="s">
        <v>9921</v>
      </c>
      <c r="J223" t="s">
        <v>31</v>
      </c>
      <c r="K223" t="s">
        <v>38</v>
      </c>
      <c r="L223" t="s">
        <v>242</v>
      </c>
      <c r="M223" t="s">
        <v>243</v>
      </c>
      <c r="N223" t="s">
        <v>405</v>
      </c>
      <c r="O223" t="s">
        <v>516</v>
      </c>
      <c r="P223" t="s">
        <v>3535</v>
      </c>
      <c r="T223">
        <v>38.960163199999997</v>
      </c>
      <c r="U223">
        <v>-77.530399670999998</v>
      </c>
      <c r="V223">
        <f>SUM(W223:X223)+(Y223*0.8)+(Z223*0.4)</f>
        <v>163.20000000000002</v>
      </c>
      <c r="W223">
        <v>0</v>
      </c>
      <c r="X223">
        <v>0</v>
      </c>
      <c r="Y223">
        <v>204</v>
      </c>
      <c r="Z223">
        <v>0</v>
      </c>
      <c r="AA223" t="s">
        <v>43</v>
      </c>
      <c r="AB223">
        <v>0</v>
      </c>
      <c r="AD223" t="s">
        <v>9922</v>
      </c>
      <c r="AE223" t="s">
        <v>9923</v>
      </c>
    </row>
    <row r="224" spans="1:31" x14ac:dyDescent="0.25">
      <c r="A224" t="s">
        <v>31</v>
      </c>
      <c r="B224" t="s">
        <v>11350</v>
      </c>
      <c r="C224" t="s">
        <v>7857</v>
      </c>
      <c r="D224" t="s">
        <v>8024</v>
      </c>
      <c r="E224" t="s">
        <v>362</v>
      </c>
      <c r="F224" t="s">
        <v>649</v>
      </c>
      <c r="H224" t="s">
        <v>36</v>
      </c>
      <c r="I224" t="s">
        <v>8025</v>
      </c>
      <c r="J224" t="s">
        <v>31</v>
      </c>
      <c r="K224" t="s">
        <v>38</v>
      </c>
      <c r="L224" t="s">
        <v>317</v>
      </c>
      <c r="M224" t="s">
        <v>318</v>
      </c>
      <c r="N224" t="s">
        <v>584</v>
      </c>
      <c r="O224" t="s">
        <v>8026</v>
      </c>
      <c r="P224" t="s">
        <v>8027</v>
      </c>
      <c r="Q224" t="s">
        <v>3595</v>
      </c>
      <c r="T224">
        <v>39.967473798999997</v>
      </c>
      <c r="U224">
        <v>-82.495587643999997</v>
      </c>
      <c r="V224">
        <f>SUM(W224:X224)+(Y224*0.8)+(Z224*0.4)</f>
        <v>163.20000000000002</v>
      </c>
      <c r="W224">
        <v>0</v>
      </c>
      <c r="X224">
        <v>0</v>
      </c>
      <c r="Y224">
        <v>0</v>
      </c>
      <c r="Z224">
        <v>408</v>
      </c>
      <c r="AA224" t="s">
        <v>43</v>
      </c>
      <c r="AB224">
        <v>0</v>
      </c>
      <c r="AD224" t="s">
        <v>8028</v>
      </c>
      <c r="AE224" t="s">
        <v>8029</v>
      </c>
    </row>
    <row r="225" spans="1:31" x14ac:dyDescent="0.25">
      <c r="A225" t="s">
        <v>31</v>
      </c>
      <c r="C225" t="s">
        <v>9784</v>
      </c>
      <c r="D225" t="s">
        <v>9802</v>
      </c>
      <c r="E225" t="s">
        <v>34</v>
      </c>
      <c r="F225" t="s">
        <v>76</v>
      </c>
      <c r="G225">
        <v>2025</v>
      </c>
      <c r="H225" t="s">
        <v>36</v>
      </c>
      <c r="I225" t="s">
        <v>9803</v>
      </c>
      <c r="J225" t="s">
        <v>31</v>
      </c>
      <c r="K225" t="s">
        <v>38</v>
      </c>
      <c r="L225" t="s">
        <v>68</v>
      </c>
      <c r="M225" t="s">
        <v>69</v>
      </c>
      <c r="N225" t="s">
        <v>297</v>
      </c>
      <c r="O225" t="s">
        <v>3194</v>
      </c>
      <c r="T225">
        <v>32.573083359999998</v>
      </c>
      <c r="U225">
        <v>-96.764693410000007</v>
      </c>
      <c r="V225">
        <f>SUM(W225:X225)+(Y225*0.8)+(Z225*0.4)</f>
        <v>163.19999999999999</v>
      </c>
      <c r="W225">
        <v>48</v>
      </c>
      <c r="X225">
        <v>0</v>
      </c>
      <c r="Y225">
        <v>144</v>
      </c>
      <c r="Z225">
        <v>0</v>
      </c>
      <c r="AA225" t="s">
        <v>43</v>
      </c>
      <c r="AB225">
        <v>192</v>
      </c>
      <c r="AD225" t="s">
        <v>9804</v>
      </c>
      <c r="AE225" t="s">
        <v>9805</v>
      </c>
    </row>
    <row r="226" spans="1:31" x14ac:dyDescent="0.25">
      <c r="A226" t="s">
        <v>31</v>
      </c>
      <c r="B226" t="s">
        <v>11350</v>
      </c>
      <c r="C226" t="s">
        <v>7684</v>
      </c>
      <c r="D226" t="s">
        <v>7796</v>
      </c>
      <c r="E226" t="s">
        <v>362</v>
      </c>
      <c r="F226" t="s">
        <v>7686</v>
      </c>
      <c r="G226">
        <v>2025</v>
      </c>
      <c r="H226" t="s">
        <v>36</v>
      </c>
      <c r="I226" t="s">
        <v>7797</v>
      </c>
      <c r="J226" t="s">
        <v>31</v>
      </c>
      <c r="K226" t="s">
        <v>38</v>
      </c>
      <c r="L226" t="s">
        <v>1540</v>
      </c>
      <c r="M226" t="s">
        <v>1541</v>
      </c>
      <c r="N226" t="s">
        <v>1542</v>
      </c>
      <c r="O226" t="s">
        <v>7798</v>
      </c>
      <c r="P226" t="s">
        <v>7799</v>
      </c>
      <c r="T226">
        <v>43.460390422000003</v>
      </c>
      <c r="U226">
        <v>-116.271985742</v>
      </c>
      <c r="V226">
        <f>SUM(W226:X226)+(Y226*0.8)+(Z226*0.4)</f>
        <v>162</v>
      </c>
      <c r="W226">
        <v>90</v>
      </c>
      <c r="X226">
        <v>0</v>
      </c>
      <c r="Y226">
        <v>90</v>
      </c>
      <c r="Z226">
        <v>0</v>
      </c>
      <c r="AA226" t="s">
        <v>43</v>
      </c>
      <c r="AB226">
        <v>180</v>
      </c>
      <c r="AD226" t="s">
        <v>7800</v>
      </c>
      <c r="AE226" t="s">
        <v>7801</v>
      </c>
    </row>
    <row r="227" spans="1:31" x14ac:dyDescent="0.25">
      <c r="A227" t="s">
        <v>31</v>
      </c>
      <c r="C227" t="s">
        <v>8969</v>
      </c>
      <c r="D227" t="s">
        <v>1000</v>
      </c>
      <c r="E227" t="s">
        <v>34</v>
      </c>
      <c r="F227" t="s">
        <v>76</v>
      </c>
      <c r="G227">
        <v>2027</v>
      </c>
      <c r="H227" t="s">
        <v>36</v>
      </c>
      <c r="I227" t="s">
        <v>8978</v>
      </c>
      <c r="J227" t="s">
        <v>31</v>
      </c>
      <c r="K227" t="s">
        <v>38</v>
      </c>
      <c r="L227" t="s">
        <v>143</v>
      </c>
      <c r="M227" t="s">
        <v>144</v>
      </c>
      <c r="N227" t="s">
        <v>1002</v>
      </c>
      <c r="O227" t="s">
        <v>1000</v>
      </c>
      <c r="P227" t="s">
        <v>1003</v>
      </c>
      <c r="T227">
        <v>41.501111000000002</v>
      </c>
      <c r="U227">
        <v>-87.282222000000004</v>
      </c>
      <c r="V227">
        <f>SUM(W227:X227)+(Y227*0.8)+(Z227*0.4)</f>
        <v>160.80000000000001</v>
      </c>
      <c r="W227">
        <v>0</v>
      </c>
      <c r="X227">
        <v>0</v>
      </c>
      <c r="Y227">
        <v>0</v>
      </c>
      <c r="Z227">
        <v>402</v>
      </c>
      <c r="AA227" t="s">
        <v>43</v>
      </c>
      <c r="AB227">
        <v>0</v>
      </c>
      <c r="AD227" t="s">
        <v>8979</v>
      </c>
      <c r="AE227" t="s">
        <v>8980</v>
      </c>
    </row>
    <row r="228" spans="1:31" x14ac:dyDescent="0.25">
      <c r="A228" t="s">
        <v>31</v>
      </c>
      <c r="C228" t="s">
        <v>3849</v>
      </c>
      <c r="D228" t="s">
        <v>4418</v>
      </c>
      <c r="E228" t="s">
        <v>34</v>
      </c>
      <c r="F228" t="s">
        <v>66</v>
      </c>
      <c r="G228">
        <v>2028</v>
      </c>
      <c r="H228" t="s">
        <v>36</v>
      </c>
      <c r="I228" t="s">
        <v>4419</v>
      </c>
      <c r="J228" t="s">
        <v>31</v>
      </c>
      <c r="K228" t="s">
        <v>38</v>
      </c>
      <c r="L228" t="s">
        <v>185</v>
      </c>
      <c r="M228" t="s">
        <v>186</v>
      </c>
      <c r="N228" t="s">
        <v>4420</v>
      </c>
      <c r="O228" t="s">
        <v>4421</v>
      </c>
      <c r="P228" t="s">
        <v>4422</v>
      </c>
      <c r="T228">
        <v>33.619677930999998</v>
      </c>
      <c r="U228">
        <v>-84.324503770999996</v>
      </c>
      <c r="V228">
        <f>SUM(W228:X228)+(Y228*0.8)+(Z228*0.4)</f>
        <v>160</v>
      </c>
      <c r="W228">
        <v>0</v>
      </c>
      <c r="X228">
        <v>0</v>
      </c>
      <c r="Y228">
        <v>200</v>
      </c>
      <c r="Z228">
        <v>0</v>
      </c>
      <c r="AA228" t="s">
        <v>43</v>
      </c>
      <c r="AB228">
        <v>0</v>
      </c>
      <c r="AD228" t="s">
        <v>4423</v>
      </c>
      <c r="AE228" t="s">
        <v>4424</v>
      </c>
    </row>
    <row r="229" spans="1:31" x14ac:dyDescent="0.25">
      <c r="A229" t="s">
        <v>31</v>
      </c>
      <c r="C229" t="s">
        <v>6640</v>
      </c>
      <c r="D229" t="s">
        <v>6641</v>
      </c>
      <c r="E229" t="s">
        <v>34</v>
      </c>
      <c r="F229" t="s">
        <v>66</v>
      </c>
      <c r="G229">
        <v>2025</v>
      </c>
      <c r="H229" t="s">
        <v>36</v>
      </c>
      <c r="I229" t="s">
        <v>6642</v>
      </c>
      <c r="J229" t="s">
        <v>31</v>
      </c>
      <c r="K229" t="s">
        <v>38</v>
      </c>
      <c r="L229" t="s">
        <v>2620</v>
      </c>
      <c r="M229" t="s">
        <v>2621</v>
      </c>
      <c r="N229" t="s">
        <v>6643</v>
      </c>
      <c r="P229" t="s">
        <v>6644</v>
      </c>
      <c r="T229">
        <v>30.716797743000001</v>
      </c>
      <c r="U229">
        <v>-91.313784932000004</v>
      </c>
      <c r="V229">
        <f>SUM(W229:X229)+(Y229*0.8)+(Z229*0.4)</f>
        <v>160</v>
      </c>
      <c r="W229">
        <v>0</v>
      </c>
      <c r="X229">
        <v>0</v>
      </c>
      <c r="Y229">
        <v>200</v>
      </c>
      <c r="Z229">
        <v>0</v>
      </c>
      <c r="AA229" t="s">
        <v>43</v>
      </c>
      <c r="AB229">
        <v>0</v>
      </c>
      <c r="AD229" t="s">
        <v>6645</v>
      </c>
      <c r="AE229" t="s">
        <v>6646</v>
      </c>
    </row>
    <row r="230" spans="1:31" x14ac:dyDescent="0.25">
      <c r="A230" t="s">
        <v>31</v>
      </c>
      <c r="C230" t="s">
        <v>10037</v>
      </c>
      <c r="D230" t="s">
        <v>10060</v>
      </c>
      <c r="E230" t="s">
        <v>34</v>
      </c>
      <c r="F230" t="s">
        <v>66</v>
      </c>
      <c r="G230">
        <v>2020</v>
      </c>
      <c r="H230" t="s">
        <v>36</v>
      </c>
      <c r="I230" t="s">
        <v>10061</v>
      </c>
      <c r="J230" t="s">
        <v>31</v>
      </c>
      <c r="K230" t="s">
        <v>38</v>
      </c>
      <c r="L230" t="s">
        <v>326</v>
      </c>
      <c r="M230" t="s">
        <v>327</v>
      </c>
      <c r="N230" t="s">
        <v>328</v>
      </c>
      <c r="O230" t="s">
        <v>329</v>
      </c>
      <c r="P230" t="s">
        <v>2878</v>
      </c>
      <c r="T230">
        <v>33.42</v>
      </c>
      <c r="U230">
        <v>-112.35899999999999</v>
      </c>
      <c r="V230">
        <f>SUM(W230:X230)+(Y230*0.8)+(Z230*0.4)</f>
        <v>160</v>
      </c>
      <c r="W230">
        <v>80</v>
      </c>
      <c r="X230">
        <v>0</v>
      </c>
      <c r="Y230">
        <v>0</v>
      </c>
      <c r="Z230">
        <v>200</v>
      </c>
      <c r="AA230" t="s">
        <v>43</v>
      </c>
      <c r="AB230">
        <v>80</v>
      </c>
      <c r="AD230" t="s">
        <v>10062</v>
      </c>
      <c r="AE230" t="s">
        <v>10063</v>
      </c>
    </row>
    <row r="231" spans="1:31" x14ac:dyDescent="0.25">
      <c r="A231" t="s">
        <v>31</v>
      </c>
      <c r="C231" t="s">
        <v>7638</v>
      </c>
      <c r="D231" t="s">
        <v>7657</v>
      </c>
      <c r="E231" t="s">
        <v>34</v>
      </c>
      <c r="F231" t="s">
        <v>43</v>
      </c>
      <c r="H231" t="s">
        <v>36</v>
      </c>
      <c r="I231" t="s">
        <v>7658</v>
      </c>
      <c r="J231" t="s">
        <v>31</v>
      </c>
      <c r="K231" t="s">
        <v>38</v>
      </c>
      <c r="L231" t="s">
        <v>242</v>
      </c>
      <c r="M231" t="s">
        <v>243</v>
      </c>
      <c r="O231" t="s">
        <v>7659</v>
      </c>
      <c r="P231" t="s">
        <v>7660</v>
      </c>
      <c r="Q231" t="s">
        <v>7661</v>
      </c>
      <c r="T231">
        <v>37.211823819999999</v>
      </c>
      <c r="U231">
        <v>-77.362866143999995</v>
      </c>
      <c r="V231">
        <f>SUM(W231:X231)+(Y231*0.8)+(Z231*0.4)</f>
        <v>160</v>
      </c>
      <c r="W231">
        <v>0</v>
      </c>
      <c r="X231">
        <v>0</v>
      </c>
      <c r="Y231">
        <v>200</v>
      </c>
      <c r="Z231">
        <v>0</v>
      </c>
      <c r="AA231" t="s">
        <v>43</v>
      </c>
      <c r="AB231">
        <v>0</v>
      </c>
      <c r="AD231" t="s">
        <v>7662</v>
      </c>
      <c r="AE231" t="s">
        <v>7663</v>
      </c>
    </row>
    <row r="232" spans="1:31" x14ac:dyDescent="0.25">
      <c r="A232" t="s">
        <v>31</v>
      </c>
      <c r="C232" t="s">
        <v>3849</v>
      </c>
      <c r="D232" t="s">
        <v>4225</v>
      </c>
      <c r="E232" t="s">
        <v>34</v>
      </c>
      <c r="F232" t="s">
        <v>43</v>
      </c>
      <c r="H232" t="s">
        <v>36</v>
      </c>
      <c r="I232" t="s">
        <v>4226</v>
      </c>
      <c r="J232" t="s">
        <v>31</v>
      </c>
      <c r="K232" t="s">
        <v>38</v>
      </c>
      <c r="L232" t="s">
        <v>383</v>
      </c>
      <c r="M232" t="s">
        <v>384</v>
      </c>
      <c r="N232" t="s">
        <v>2270</v>
      </c>
      <c r="O232" t="s">
        <v>2271</v>
      </c>
      <c r="P232" t="s">
        <v>4227</v>
      </c>
      <c r="T232">
        <v>35.250625249999999</v>
      </c>
      <c r="U232">
        <v>-81.001390461</v>
      </c>
      <c r="V232">
        <f>SUM(W232:X232)+(Y232*0.8)+(Z232*0.4)</f>
        <v>160</v>
      </c>
      <c r="W232">
        <v>0</v>
      </c>
      <c r="X232">
        <v>0</v>
      </c>
      <c r="Y232">
        <v>0</v>
      </c>
      <c r="Z232">
        <v>400</v>
      </c>
      <c r="AA232" t="s">
        <v>43</v>
      </c>
      <c r="AB232">
        <v>0</v>
      </c>
      <c r="AD232" t="s">
        <v>4228</v>
      </c>
      <c r="AE232" t="s">
        <v>4229</v>
      </c>
    </row>
    <row r="233" spans="1:31" x14ac:dyDescent="0.25">
      <c r="A233" t="s">
        <v>31</v>
      </c>
      <c r="C233" t="s">
        <v>1397</v>
      </c>
      <c r="D233" t="s">
        <v>1398</v>
      </c>
      <c r="E233" t="s">
        <v>34</v>
      </c>
      <c r="F233" t="s">
        <v>43</v>
      </c>
      <c r="H233" t="s">
        <v>36</v>
      </c>
      <c r="I233" t="s">
        <v>1399</v>
      </c>
      <c r="J233" t="s">
        <v>31</v>
      </c>
      <c r="K233" t="s">
        <v>38</v>
      </c>
      <c r="L233" t="s">
        <v>242</v>
      </c>
      <c r="M233" t="s">
        <v>243</v>
      </c>
      <c r="N233" t="s">
        <v>1398</v>
      </c>
      <c r="O233" t="s">
        <v>1400</v>
      </c>
      <c r="P233" t="s">
        <v>1401</v>
      </c>
      <c r="T233">
        <v>36.579135129000001</v>
      </c>
      <c r="U233">
        <v>-79.287577983000006</v>
      </c>
      <c r="V233">
        <f>SUM(W233:X233)+(Y233*0.8)+(Z233*0.4)</f>
        <v>160</v>
      </c>
      <c r="W233">
        <v>0</v>
      </c>
      <c r="X233">
        <v>0</v>
      </c>
      <c r="Y233">
        <v>200</v>
      </c>
      <c r="Z233">
        <v>0</v>
      </c>
      <c r="AA233" t="s">
        <v>43</v>
      </c>
      <c r="AB233">
        <v>0</v>
      </c>
      <c r="AD233" t="s">
        <v>1402</v>
      </c>
      <c r="AE233" t="s">
        <v>1403</v>
      </c>
    </row>
    <row r="234" spans="1:31" x14ac:dyDescent="0.25">
      <c r="A234" t="s">
        <v>31</v>
      </c>
      <c r="C234" t="s">
        <v>402</v>
      </c>
      <c r="D234" t="s">
        <v>403</v>
      </c>
      <c r="E234" t="s">
        <v>34</v>
      </c>
      <c r="F234" t="s">
        <v>66</v>
      </c>
      <c r="H234" t="s">
        <v>36</v>
      </c>
      <c r="I234" t="s">
        <v>404</v>
      </c>
      <c r="J234" t="s">
        <v>31</v>
      </c>
      <c r="K234" t="s">
        <v>38</v>
      </c>
      <c r="L234" t="s">
        <v>242</v>
      </c>
      <c r="M234" t="s">
        <v>243</v>
      </c>
      <c r="N234" t="s">
        <v>405</v>
      </c>
      <c r="P234" t="s">
        <v>406</v>
      </c>
      <c r="T234">
        <v>39.013059347999999</v>
      </c>
      <c r="U234">
        <v>-77.572157137000005</v>
      </c>
      <c r="V234">
        <f>SUM(W234:X234)+(Y234*0.8)+(Z234*0.4)</f>
        <v>160</v>
      </c>
      <c r="W234">
        <v>0</v>
      </c>
      <c r="X234">
        <v>0</v>
      </c>
      <c r="Y234">
        <v>0</v>
      </c>
      <c r="Z234">
        <v>400</v>
      </c>
      <c r="AA234" t="s">
        <v>43</v>
      </c>
      <c r="AB234">
        <v>0</v>
      </c>
      <c r="AD234" t="s">
        <v>407</v>
      </c>
      <c r="AE234" t="s">
        <v>408</v>
      </c>
    </row>
    <row r="235" spans="1:31" x14ac:dyDescent="0.25">
      <c r="A235" t="s">
        <v>31</v>
      </c>
      <c r="C235" t="s">
        <v>5034</v>
      </c>
      <c r="D235" t="s">
        <v>1606</v>
      </c>
      <c r="E235" t="s">
        <v>34</v>
      </c>
      <c r="F235" t="s">
        <v>66</v>
      </c>
      <c r="G235">
        <v>2024</v>
      </c>
      <c r="H235" t="s">
        <v>36</v>
      </c>
      <c r="I235" t="s">
        <v>5035</v>
      </c>
      <c r="J235" t="s">
        <v>31</v>
      </c>
      <c r="K235" t="s">
        <v>38</v>
      </c>
      <c r="L235" t="s">
        <v>185</v>
      </c>
      <c r="M235" t="s">
        <v>186</v>
      </c>
      <c r="N235" t="s">
        <v>187</v>
      </c>
      <c r="O235" t="s">
        <v>1606</v>
      </c>
      <c r="P235" t="s">
        <v>4414</v>
      </c>
      <c r="T235">
        <v>33.809610751000001</v>
      </c>
      <c r="U235">
        <v>-84.455561192999994</v>
      </c>
      <c r="V235">
        <f>SUM(W235:X235)+(Y235*0.8)+(Z235*0.4)</f>
        <v>159.80000000000001</v>
      </c>
      <c r="W235">
        <v>127</v>
      </c>
      <c r="X235">
        <v>0</v>
      </c>
      <c r="Y235">
        <v>41</v>
      </c>
      <c r="Z235">
        <v>0</v>
      </c>
      <c r="AA235" t="s">
        <v>43</v>
      </c>
      <c r="AB235">
        <v>167.9</v>
      </c>
      <c r="AC235">
        <v>1.1499999999999999</v>
      </c>
      <c r="AD235" t="s">
        <v>5036</v>
      </c>
      <c r="AE235" t="s">
        <v>5037</v>
      </c>
    </row>
    <row r="236" spans="1:31" x14ac:dyDescent="0.25">
      <c r="A236" t="s">
        <v>31</v>
      </c>
      <c r="C236" t="s">
        <v>8540</v>
      </c>
      <c r="D236" t="s">
        <v>3444</v>
      </c>
      <c r="E236" t="s">
        <v>34</v>
      </c>
      <c r="F236" t="s">
        <v>66</v>
      </c>
      <c r="G236">
        <v>2026</v>
      </c>
      <c r="H236" t="s">
        <v>36</v>
      </c>
      <c r="I236" t="s">
        <v>8556</v>
      </c>
      <c r="J236" t="s">
        <v>31</v>
      </c>
      <c r="K236" t="s">
        <v>38</v>
      </c>
      <c r="L236" t="s">
        <v>326</v>
      </c>
      <c r="M236" t="s">
        <v>327</v>
      </c>
      <c r="N236" t="s">
        <v>328</v>
      </c>
      <c r="O236" t="s">
        <v>1160</v>
      </c>
      <c r="P236" t="s">
        <v>1165</v>
      </c>
      <c r="T236">
        <v>33.339991056000002</v>
      </c>
      <c r="U236">
        <v>-111.64269295699999</v>
      </c>
      <c r="V236">
        <f>SUM(W236:X236)+(Y236*0.8)+(Z236*0.4)</f>
        <v>158.40000000000003</v>
      </c>
      <c r="W236">
        <v>0</v>
      </c>
      <c r="X236">
        <v>0</v>
      </c>
      <c r="Y236">
        <v>96</v>
      </c>
      <c r="Z236">
        <v>204</v>
      </c>
      <c r="AA236" t="s">
        <v>43</v>
      </c>
      <c r="AB236">
        <v>51</v>
      </c>
      <c r="AD236" t="s">
        <v>8557</v>
      </c>
      <c r="AE236" t="s">
        <v>8558</v>
      </c>
    </row>
    <row r="237" spans="1:31" x14ac:dyDescent="0.25">
      <c r="A237" t="s">
        <v>31</v>
      </c>
      <c r="C237" t="s">
        <v>9037</v>
      </c>
      <c r="D237" t="s">
        <v>554</v>
      </c>
      <c r="E237" t="s">
        <v>34</v>
      </c>
      <c r="F237" t="s">
        <v>66</v>
      </c>
      <c r="G237">
        <v>2024</v>
      </c>
      <c r="H237" t="s">
        <v>36</v>
      </c>
      <c r="I237" t="s">
        <v>9050</v>
      </c>
      <c r="J237" t="s">
        <v>31</v>
      </c>
      <c r="K237" t="s">
        <v>38</v>
      </c>
      <c r="L237" t="s">
        <v>86</v>
      </c>
      <c r="M237" t="s">
        <v>87</v>
      </c>
      <c r="N237" t="s">
        <v>88</v>
      </c>
      <c r="O237" t="s">
        <v>554</v>
      </c>
      <c r="P237" t="s">
        <v>2216</v>
      </c>
      <c r="T237">
        <v>42.023669341999998</v>
      </c>
      <c r="U237">
        <v>-87.961354951999994</v>
      </c>
      <c r="V237">
        <f>SUM(W237:X237)+(Y237*0.8)+(Z237*0.4)</f>
        <v>158.4</v>
      </c>
      <c r="W237">
        <v>0</v>
      </c>
      <c r="X237">
        <v>72</v>
      </c>
      <c r="Y237">
        <v>108</v>
      </c>
      <c r="Z237">
        <v>0</v>
      </c>
      <c r="AA237" t="s">
        <v>43</v>
      </c>
      <c r="AB237">
        <v>0</v>
      </c>
      <c r="AC237">
        <v>1.3</v>
      </c>
      <c r="AD237" t="s">
        <v>9051</v>
      </c>
      <c r="AE237" t="s">
        <v>9052</v>
      </c>
    </row>
    <row r="238" spans="1:31" x14ac:dyDescent="0.25">
      <c r="A238" t="s">
        <v>31</v>
      </c>
      <c r="B238" t="s">
        <v>11350</v>
      </c>
      <c r="C238" t="s">
        <v>6116</v>
      </c>
      <c r="D238" t="s">
        <v>2901</v>
      </c>
      <c r="E238" t="s">
        <v>362</v>
      </c>
      <c r="F238" t="s">
        <v>649</v>
      </c>
      <c r="G238">
        <v>2024</v>
      </c>
      <c r="H238" t="s">
        <v>36</v>
      </c>
      <c r="I238" t="s">
        <v>6288</v>
      </c>
      <c r="J238" t="s">
        <v>31</v>
      </c>
      <c r="K238" t="s">
        <v>38</v>
      </c>
      <c r="L238" t="s">
        <v>68</v>
      </c>
      <c r="M238" t="s">
        <v>69</v>
      </c>
      <c r="N238" t="s">
        <v>2900</v>
      </c>
      <c r="O238" t="s">
        <v>2901</v>
      </c>
      <c r="P238" t="s">
        <v>2902</v>
      </c>
      <c r="T238">
        <v>32.535697282999998</v>
      </c>
      <c r="U238">
        <v>-96.794278300000002</v>
      </c>
      <c r="V238">
        <f>SUM(W238:X238)+(Y238*0.8)+(Z238*0.4)</f>
        <v>158</v>
      </c>
      <c r="W238">
        <v>158</v>
      </c>
      <c r="X238">
        <v>0</v>
      </c>
      <c r="Y238">
        <v>0</v>
      </c>
      <c r="Z238">
        <v>0</v>
      </c>
      <c r="AA238" t="s">
        <v>43</v>
      </c>
      <c r="AB238">
        <v>158</v>
      </c>
      <c r="AD238" t="s">
        <v>6289</v>
      </c>
      <c r="AE238" t="s">
        <v>6290</v>
      </c>
    </row>
    <row r="239" spans="1:31" x14ac:dyDescent="0.25">
      <c r="A239" t="s">
        <v>31</v>
      </c>
      <c r="C239" t="s">
        <v>9886</v>
      </c>
      <c r="D239" t="s">
        <v>4994</v>
      </c>
      <c r="E239" t="s">
        <v>34</v>
      </c>
      <c r="F239" t="s">
        <v>66</v>
      </c>
      <c r="G239">
        <v>2022</v>
      </c>
      <c r="H239" t="s">
        <v>36</v>
      </c>
      <c r="I239" t="s">
        <v>9972</v>
      </c>
      <c r="J239" t="s">
        <v>31</v>
      </c>
      <c r="K239" t="s">
        <v>38</v>
      </c>
      <c r="L239" t="s">
        <v>133</v>
      </c>
      <c r="M239" t="s">
        <v>134</v>
      </c>
      <c r="N239" t="s">
        <v>419</v>
      </c>
      <c r="O239" t="s">
        <v>420</v>
      </c>
      <c r="P239" t="s">
        <v>421</v>
      </c>
      <c r="S239" t="s">
        <v>4613</v>
      </c>
      <c r="T239">
        <v>45.554209143000001</v>
      </c>
      <c r="U239">
        <v>-122.938350181</v>
      </c>
      <c r="V239">
        <f>SUM(W239:X239)+(Y239*0.8)+(Z239*0.4)</f>
        <v>153.6</v>
      </c>
      <c r="W239">
        <v>72</v>
      </c>
      <c r="X239">
        <v>24</v>
      </c>
      <c r="Y239">
        <v>72</v>
      </c>
      <c r="Z239">
        <v>0</v>
      </c>
      <c r="AA239" t="s">
        <v>43</v>
      </c>
      <c r="AB239">
        <v>72</v>
      </c>
      <c r="AD239" t="s">
        <v>9973</v>
      </c>
      <c r="AE239" t="s">
        <v>9974</v>
      </c>
    </row>
    <row r="240" spans="1:31" x14ac:dyDescent="0.25">
      <c r="A240" t="s">
        <v>31</v>
      </c>
      <c r="B240" t="s">
        <v>11350</v>
      </c>
      <c r="C240" t="s">
        <v>7857</v>
      </c>
      <c r="D240" t="s">
        <v>2872</v>
      </c>
      <c r="E240" t="s">
        <v>362</v>
      </c>
      <c r="F240" t="s">
        <v>649</v>
      </c>
      <c r="G240">
        <v>2021</v>
      </c>
      <c r="H240" t="s">
        <v>36</v>
      </c>
      <c r="I240" t="s">
        <v>7930</v>
      </c>
      <c r="J240" t="s">
        <v>31</v>
      </c>
      <c r="K240" t="s">
        <v>38</v>
      </c>
      <c r="L240" t="s">
        <v>326</v>
      </c>
      <c r="M240" t="s">
        <v>327</v>
      </c>
      <c r="N240" t="s">
        <v>328</v>
      </c>
      <c r="O240" t="s">
        <v>2872</v>
      </c>
      <c r="P240" t="s">
        <v>2873</v>
      </c>
      <c r="T240">
        <v>33.564240884999997</v>
      </c>
      <c r="U240">
        <v>-112.338834826</v>
      </c>
      <c r="V240">
        <f>SUM(W240:X240)+(Y240*0.8)+(Z240*0.4)</f>
        <v>152</v>
      </c>
      <c r="W240">
        <v>100</v>
      </c>
      <c r="X240">
        <v>20</v>
      </c>
      <c r="Y240">
        <v>0</v>
      </c>
      <c r="Z240">
        <v>80</v>
      </c>
      <c r="AA240" t="s">
        <v>43</v>
      </c>
      <c r="AB240">
        <v>120</v>
      </c>
      <c r="AD240" t="s">
        <v>7931</v>
      </c>
      <c r="AE240" t="s">
        <v>7932</v>
      </c>
    </row>
    <row r="241" spans="1:31" x14ac:dyDescent="0.25">
      <c r="A241" t="s">
        <v>31</v>
      </c>
      <c r="C241" t="s">
        <v>3312</v>
      </c>
      <c r="D241" t="s">
        <v>3400</v>
      </c>
      <c r="E241" t="s">
        <v>34</v>
      </c>
      <c r="F241" t="s">
        <v>66</v>
      </c>
      <c r="G241">
        <v>2027</v>
      </c>
      <c r="H241" t="s">
        <v>36</v>
      </c>
      <c r="I241" t="s">
        <v>3401</v>
      </c>
      <c r="J241" t="s">
        <v>31</v>
      </c>
      <c r="K241" t="s">
        <v>38</v>
      </c>
      <c r="L241" t="s">
        <v>86</v>
      </c>
      <c r="M241" t="s">
        <v>87</v>
      </c>
      <c r="N241" t="s">
        <v>3402</v>
      </c>
      <c r="O241" t="s">
        <v>3403</v>
      </c>
      <c r="P241" t="s">
        <v>3404</v>
      </c>
      <c r="Q241" t="s">
        <v>3405</v>
      </c>
      <c r="T241">
        <v>41.682949999999998</v>
      </c>
      <c r="U241">
        <v>-88.470140999999998</v>
      </c>
      <c r="V241">
        <f>SUM(W241:X241)+(Y241*0.8)+(Z241*0.4)</f>
        <v>151.20000000000002</v>
      </c>
      <c r="W241">
        <v>0</v>
      </c>
      <c r="X241">
        <v>0</v>
      </c>
      <c r="Y241">
        <v>72</v>
      </c>
      <c r="Z241">
        <v>234</v>
      </c>
      <c r="AA241" t="s">
        <v>43</v>
      </c>
      <c r="AB241">
        <v>0</v>
      </c>
      <c r="AD241" t="s">
        <v>3406</v>
      </c>
      <c r="AE241" t="s">
        <v>3407</v>
      </c>
    </row>
    <row r="242" spans="1:31" x14ac:dyDescent="0.25">
      <c r="A242" t="s">
        <v>31</v>
      </c>
      <c r="C242" t="s">
        <v>9886</v>
      </c>
      <c r="D242" t="s">
        <v>9947</v>
      </c>
      <c r="E242" t="s">
        <v>34</v>
      </c>
      <c r="F242" t="s">
        <v>66</v>
      </c>
      <c r="G242">
        <v>2024</v>
      </c>
      <c r="H242" t="s">
        <v>36</v>
      </c>
      <c r="I242" t="s">
        <v>9948</v>
      </c>
      <c r="J242" t="s">
        <v>31</v>
      </c>
      <c r="K242" t="s">
        <v>38</v>
      </c>
      <c r="L242" t="s">
        <v>242</v>
      </c>
      <c r="M242" t="s">
        <v>243</v>
      </c>
      <c r="N242" t="s">
        <v>509</v>
      </c>
      <c r="O242" t="s">
        <v>510</v>
      </c>
      <c r="P242" t="s">
        <v>511</v>
      </c>
      <c r="T242">
        <v>38.762269855</v>
      </c>
      <c r="U242">
        <v>-77.514766992999995</v>
      </c>
      <c r="V242">
        <f>SUM(W242:X242)+(Y242*0.8)+(Z242*0.4)</f>
        <v>151</v>
      </c>
      <c r="W242">
        <v>80</v>
      </c>
      <c r="X242">
        <v>71</v>
      </c>
      <c r="Y242">
        <v>0</v>
      </c>
      <c r="Z242">
        <v>0</v>
      </c>
      <c r="AA242" t="s">
        <v>43</v>
      </c>
      <c r="AB242">
        <v>139</v>
      </c>
      <c r="AD242" t="s">
        <v>9949</v>
      </c>
      <c r="AE242" t="s">
        <v>9950</v>
      </c>
    </row>
    <row r="243" spans="1:31" x14ac:dyDescent="0.25">
      <c r="A243" t="s">
        <v>31</v>
      </c>
      <c r="C243" t="s">
        <v>8969</v>
      </c>
      <c r="D243" t="s">
        <v>2271</v>
      </c>
      <c r="E243" t="s">
        <v>34</v>
      </c>
      <c r="F243" t="s">
        <v>76</v>
      </c>
      <c r="G243">
        <v>2027</v>
      </c>
      <c r="H243" t="s">
        <v>36</v>
      </c>
      <c r="I243" t="s">
        <v>8974</v>
      </c>
      <c r="J243" t="s">
        <v>31</v>
      </c>
      <c r="K243" t="s">
        <v>38</v>
      </c>
      <c r="L243" t="s">
        <v>383</v>
      </c>
      <c r="M243" t="s">
        <v>384</v>
      </c>
      <c r="N243" t="s">
        <v>2270</v>
      </c>
      <c r="O243" t="s">
        <v>2271</v>
      </c>
      <c r="P243" t="s">
        <v>8975</v>
      </c>
      <c r="T243">
        <v>35.311734817000001</v>
      </c>
      <c r="U243">
        <v>-80.703532889000002</v>
      </c>
      <c r="V243">
        <f>SUM(W243:X243)+(Y243*0.8)+(Z243*0.4)</f>
        <v>150</v>
      </c>
      <c r="W243">
        <v>0</v>
      </c>
      <c r="X243">
        <v>0</v>
      </c>
      <c r="Y243">
        <v>75</v>
      </c>
      <c r="Z243">
        <v>225</v>
      </c>
      <c r="AA243" t="s">
        <v>43</v>
      </c>
      <c r="AB243">
        <v>0</v>
      </c>
      <c r="AD243" t="s">
        <v>8976</v>
      </c>
      <c r="AE243" t="s">
        <v>8977</v>
      </c>
    </row>
    <row r="244" spans="1:31" x14ac:dyDescent="0.25">
      <c r="A244" t="s">
        <v>31</v>
      </c>
      <c r="C244" t="s">
        <v>10102</v>
      </c>
      <c r="D244" t="s">
        <v>10164</v>
      </c>
      <c r="E244" t="s">
        <v>34</v>
      </c>
      <c r="F244" t="s">
        <v>66</v>
      </c>
      <c r="G244">
        <v>2020</v>
      </c>
      <c r="H244" t="s">
        <v>36</v>
      </c>
      <c r="I244" t="s">
        <v>10165</v>
      </c>
      <c r="J244" t="s">
        <v>31</v>
      </c>
      <c r="K244" t="s">
        <v>38</v>
      </c>
      <c r="L244" t="s">
        <v>185</v>
      </c>
      <c r="M244" t="s">
        <v>186</v>
      </c>
      <c r="N244" t="s">
        <v>155</v>
      </c>
      <c r="O244" t="s">
        <v>2089</v>
      </c>
      <c r="P244" t="s">
        <v>2090</v>
      </c>
      <c r="T244">
        <v>33.755059015</v>
      </c>
      <c r="U244">
        <v>-84.587280202000002</v>
      </c>
      <c r="V244">
        <f>SUM(W244:X244)+(Y244*0.8)+(Z244*0.4)</f>
        <v>150</v>
      </c>
      <c r="W244">
        <v>150</v>
      </c>
      <c r="X244">
        <v>0</v>
      </c>
      <c r="Y244">
        <v>0</v>
      </c>
      <c r="Z244">
        <v>0</v>
      </c>
      <c r="AA244" t="s">
        <v>43</v>
      </c>
      <c r="AB244">
        <v>149.1</v>
      </c>
      <c r="AD244" t="s">
        <v>10166</v>
      </c>
      <c r="AE244" t="s">
        <v>10167</v>
      </c>
    </row>
    <row r="245" spans="1:31" x14ac:dyDescent="0.25">
      <c r="A245" t="s">
        <v>31</v>
      </c>
      <c r="C245" t="s">
        <v>1499</v>
      </c>
      <c r="D245" t="s">
        <v>1500</v>
      </c>
      <c r="E245" t="s">
        <v>34</v>
      </c>
      <c r="F245" t="s">
        <v>66</v>
      </c>
      <c r="H245" t="s">
        <v>36</v>
      </c>
      <c r="I245" t="s">
        <v>1501</v>
      </c>
      <c r="J245" t="s">
        <v>31</v>
      </c>
      <c r="K245" t="s">
        <v>38</v>
      </c>
      <c r="L245" t="s">
        <v>77</v>
      </c>
      <c r="M245" t="s">
        <v>78</v>
      </c>
      <c r="N245" t="s">
        <v>1502</v>
      </c>
      <c r="O245" t="s">
        <v>1503</v>
      </c>
      <c r="T245">
        <v>41.514403645000002</v>
      </c>
      <c r="U245">
        <v>-75.565714583000002</v>
      </c>
      <c r="V245">
        <f>SUM(W245:X245)+(Y245*0.8)+(Z245*0.4)</f>
        <v>149.6</v>
      </c>
      <c r="W245">
        <v>0</v>
      </c>
      <c r="X245">
        <v>0</v>
      </c>
      <c r="Y245">
        <v>0</v>
      </c>
      <c r="Z245">
        <v>374</v>
      </c>
      <c r="AA245" t="s">
        <v>43</v>
      </c>
      <c r="AB245">
        <v>0</v>
      </c>
      <c r="AD245" t="s">
        <v>1504</v>
      </c>
      <c r="AE245" t="s">
        <v>1505</v>
      </c>
    </row>
    <row r="246" spans="1:31" x14ac:dyDescent="0.25">
      <c r="A246" t="s">
        <v>31</v>
      </c>
      <c r="C246" t="s">
        <v>9634</v>
      </c>
      <c r="D246" t="s">
        <v>9639</v>
      </c>
      <c r="E246" t="s">
        <v>34</v>
      </c>
      <c r="F246" t="s">
        <v>76</v>
      </c>
      <c r="H246" t="s">
        <v>36</v>
      </c>
      <c r="I246" t="s">
        <v>9640</v>
      </c>
      <c r="J246" t="s">
        <v>31</v>
      </c>
      <c r="K246" t="s">
        <v>38</v>
      </c>
      <c r="L246" t="s">
        <v>242</v>
      </c>
      <c r="M246" t="s">
        <v>243</v>
      </c>
      <c r="N246" t="s">
        <v>405</v>
      </c>
      <c r="O246" t="s">
        <v>1140</v>
      </c>
      <c r="P246" t="s">
        <v>1285</v>
      </c>
      <c r="T246">
        <v>39.074593757999999</v>
      </c>
      <c r="U246">
        <v>-77.519120495999999</v>
      </c>
      <c r="V246">
        <f>SUM(W246:X246)+(Y246*0.8)+(Z246*0.4)</f>
        <v>148</v>
      </c>
      <c r="W246">
        <v>0</v>
      </c>
      <c r="X246">
        <v>0</v>
      </c>
      <c r="Y246">
        <v>185</v>
      </c>
      <c r="Z246">
        <v>0</v>
      </c>
      <c r="AA246" t="s">
        <v>43</v>
      </c>
      <c r="AB246">
        <v>0</v>
      </c>
      <c r="AD246" t="s">
        <v>9641</v>
      </c>
      <c r="AE246" t="s">
        <v>9642</v>
      </c>
    </row>
    <row r="247" spans="1:31" x14ac:dyDescent="0.25">
      <c r="A247" t="s">
        <v>31</v>
      </c>
      <c r="C247" t="s">
        <v>7173</v>
      </c>
      <c r="D247" t="s">
        <v>7174</v>
      </c>
      <c r="E247" t="s">
        <v>34</v>
      </c>
      <c r="F247" t="s">
        <v>43</v>
      </c>
      <c r="G247">
        <v>2028</v>
      </c>
      <c r="H247" t="s">
        <v>36</v>
      </c>
      <c r="I247" t="s">
        <v>7175</v>
      </c>
      <c r="J247" t="s">
        <v>31</v>
      </c>
      <c r="K247" t="s">
        <v>38</v>
      </c>
      <c r="L247" t="s">
        <v>185</v>
      </c>
      <c r="M247" t="s">
        <v>186</v>
      </c>
      <c r="N247" t="s">
        <v>187</v>
      </c>
      <c r="O247" t="s">
        <v>7176</v>
      </c>
      <c r="P247" t="s">
        <v>7177</v>
      </c>
      <c r="T247">
        <v>33.596027816000003</v>
      </c>
      <c r="U247">
        <v>-84.544758189999996</v>
      </c>
      <c r="V247">
        <f>SUM(W247:X247)+(Y247*0.8)+(Z247*0.4)</f>
        <v>146</v>
      </c>
      <c r="W247">
        <v>0</v>
      </c>
      <c r="X247">
        <v>0</v>
      </c>
      <c r="Y247">
        <v>0</v>
      </c>
      <c r="Z247">
        <v>365</v>
      </c>
      <c r="AA247" t="s">
        <v>43</v>
      </c>
      <c r="AB247">
        <v>0</v>
      </c>
      <c r="AD247" t="s">
        <v>7178</v>
      </c>
      <c r="AE247" t="s">
        <v>7179</v>
      </c>
    </row>
    <row r="248" spans="1:31" x14ac:dyDescent="0.25">
      <c r="A248" t="s">
        <v>31</v>
      </c>
      <c r="C248" t="s">
        <v>10264</v>
      </c>
      <c r="D248" t="s">
        <v>10274</v>
      </c>
      <c r="E248" t="s">
        <v>34</v>
      </c>
      <c r="F248" t="s">
        <v>66</v>
      </c>
      <c r="G248">
        <v>2027</v>
      </c>
      <c r="H248" t="s">
        <v>36</v>
      </c>
      <c r="I248" t="s">
        <v>10275</v>
      </c>
      <c r="J248" t="s">
        <v>31</v>
      </c>
      <c r="K248" t="s">
        <v>38</v>
      </c>
      <c r="L248" t="s">
        <v>185</v>
      </c>
      <c r="M248" t="s">
        <v>186</v>
      </c>
      <c r="N248" t="s">
        <v>4420</v>
      </c>
      <c r="O248" t="s">
        <v>10276</v>
      </c>
      <c r="P248" t="s">
        <v>10277</v>
      </c>
      <c r="T248">
        <v>33.637528519999996</v>
      </c>
      <c r="U248">
        <v>-84.304331915000006</v>
      </c>
      <c r="V248">
        <f>SUM(W248:X248)+(Y248*0.8)+(Z248*0.4)</f>
        <v>144</v>
      </c>
      <c r="W248">
        <v>0</v>
      </c>
      <c r="X248">
        <v>0</v>
      </c>
      <c r="Y248">
        <v>180</v>
      </c>
      <c r="Z248">
        <v>0</v>
      </c>
      <c r="AA248" t="s">
        <v>43</v>
      </c>
      <c r="AB248">
        <v>0</v>
      </c>
      <c r="AD248" t="s">
        <v>10278</v>
      </c>
      <c r="AE248" t="s">
        <v>10279</v>
      </c>
    </row>
    <row r="249" spans="1:31" x14ac:dyDescent="0.25">
      <c r="A249" t="s">
        <v>31</v>
      </c>
      <c r="C249" t="s">
        <v>9202</v>
      </c>
      <c r="D249" t="s">
        <v>1301</v>
      </c>
      <c r="E249" t="s">
        <v>34</v>
      </c>
      <c r="F249" t="s">
        <v>43</v>
      </c>
      <c r="G249">
        <v>2026</v>
      </c>
      <c r="H249" t="s">
        <v>36</v>
      </c>
      <c r="I249" t="s">
        <v>9303</v>
      </c>
      <c r="J249" t="s">
        <v>31</v>
      </c>
      <c r="K249" t="s">
        <v>38</v>
      </c>
      <c r="L249" t="s">
        <v>317</v>
      </c>
      <c r="M249" t="s">
        <v>318</v>
      </c>
      <c r="N249" t="s">
        <v>584</v>
      </c>
      <c r="O249" t="s">
        <v>1304</v>
      </c>
      <c r="P249" t="s">
        <v>1305</v>
      </c>
      <c r="S249" t="s">
        <v>6143</v>
      </c>
      <c r="T249">
        <v>40.062246831000003</v>
      </c>
      <c r="U249">
        <v>-82.758204274999997</v>
      </c>
      <c r="V249">
        <f>SUM(W249:X249)+(Y249*0.8)+(Z249*0.4)</f>
        <v>144</v>
      </c>
      <c r="W249">
        <v>0</v>
      </c>
      <c r="X249">
        <v>144</v>
      </c>
      <c r="Y249">
        <v>0</v>
      </c>
      <c r="Z249">
        <v>0</v>
      </c>
      <c r="AA249" t="s">
        <v>43</v>
      </c>
      <c r="AB249">
        <v>144</v>
      </c>
      <c r="AD249" t="s">
        <v>9304</v>
      </c>
      <c r="AE249" t="s">
        <v>9305</v>
      </c>
    </row>
    <row r="250" spans="1:31" x14ac:dyDescent="0.25">
      <c r="A250" t="s">
        <v>31</v>
      </c>
      <c r="C250" t="s">
        <v>4035</v>
      </c>
      <c r="D250" t="s">
        <v>4048</v>
      </c>
      <c r="E250" t="s">
        <v>34</v>
      </c>
      <c r="F250" t="s">
        <v>66</v>
      </c>
      <c r="G250">
        <v>2025</v>
      </c>
      <c r="H250" t="s">
        <v>36</v>
      </c>
      <c r="I250" t="s">
        <v>4049</v>
      </c>
      <c r="J250" t="s">
        <v>31</v>
      </c>
      <c r="K250" t="s">
        <v>38</v>
      </c>
      <c r="L250" t="s">
        <v>2437</v>
      </c>
      <c r="M250" t="s">
        <v>2438</v>
      </c>
      <c r="N250" t="s">
        <v>4050</v>
      </c>
      <c r="T250">
        <v>33.158553748999999</v>
      </c>
      <c r="U250">
        <v>-80.284417570000002</v>
      </c>
      <c r="V250">
        <f>SUM(W250:X250)+(Y250*0.8)+(Z250*0.4)</f>
        <v>144</v>
      </c>
      <c r="W250">
        <v>0</v>
      </c>
      <c r="X250">
        <v>0</v>
      </c>
      <c r="Y250">
        <v>180</v>
      </c>
      <c r="Z250">
        <v>0</v>
      </c>
      <c r="AA250" t="s">
        <v>43</v>
      </c>
      <c r="AB250">
        <v>0</v>
      </c>
      <c r="AD250" t="s">
        <v>4051</v>
      </c>
      <c r="AE250" t="s">
        <v>4052</v>
      </c>
    </row>
    <row r="251" spans="1:31" x14ac:dyDescent="0.25">
      <c r="A251" t="s">
        <v>31</v>
      </c>
      <c r="C251" t="s">
        <v>2535</v>
      </c>
      <c r="D251" t="s">
        <v>2542</v>
      </c>
      <c r="E251" t="s">
        <v>34</v>
      </c>
      <c r="F251" t="s">
        <v>66</v>
      </c>
      <c r="G251">
        <v>2024</v>
      </c>
      <c r="H251" t="s">
        <v>36</v>
      </c>
      <c r="I251" t="s">
        <v>2543</v>
      </c>
      <c r="J251" t="s">
        <v>31</v>
      </c>
      <c r="K251" t="s">
        <v>38</v>
      </c>
      <c r="L251" t="s">
        <v>828</v>
      </c>
      <c r="M251" t="s">
        <v>829</v>
      </c>
      <c r="N251" t="s">
        <v>2544</v>
      </c>
      <c r="O251" t="s">
        <v>2545</v>
      </c>
      <c r="P251" t="s">
        <v>2546</v>
      </c>
      <c r="Q251" t="s">
        <v>2545</v>
      </c>
      <c r="T251">
        <v>44.811330335000001</v>
      </c>
      <c r="U251">
        <v>-93.637008092000002</v>
      </c>
      <c r="V251">
        <f>SUM(W251:X251)+(Y251*0.8)+(Z251*0.4)</f>
        <v>144</v>
      </c>
      <c r="W251">
        <v>0</v>
      </c>
      <c r="X251">
        <v>0</v>
      </c>
      <c r="Y251">
        <v>180</v>
      </c>
      <c r="Z251">
        <v>0</v>
      </c>
      <c r="AA251" t="s">
        <v>43</v>
      </c>
      <c r="AB251">
        <v>0</v>
      </c>
      <c r="AD251" t="s">
        <v>2547</v>
      </c>
      <c r="AE251" t="s">
        <v>2548</v>
      </c>
    </row>
    <row r="252" spans="1:31" x14ac:dyDescent="0.25">
      <c r="A252" t="s">
        <v>31</v>
      </c>
      <c r="B252" t="s">
        <v>11350</v>
      </c>
      <c r="C252" t="s">
        <v>7857</v>
      </c>
      <c r="D252" t="s">
        <v>8100</v>
      </c>
      <c r="E252" t="s">
        <v>362</v>
      </c>
      <c r="F252" t="s">
        <v>649</v>
      </c>
      <c r="G252">
        <v>2015</v>
      </c>
      <c r="H252" t="s">
        <v>36</v>
      </c>
      <c r="I252" t="s">
        <v>8101</v>
      </c>
      <c r="J252" t="s">
        <v>31</v>
      </c>
      <c r="K252" t="s">
        <v>38</v>
      </c>
      <c r="L252" t="s">
        <v>843</v>
      </c>
      <c r="M252" t="s">
        <v>1644</v>
      </c>
      <c r="N252" t="s">
        <v>3511</v>
      </c>
      <c r="O252" t="s">
        <v>3509</v>
      </c>
      <c r="P252" t="s">
        <v>3512</v>
      </c>
      <c r="T252">
        <v>47.239016728000003</v>
      </c>
      <c r="U252">
        <v>-119.88507913399999</v>
      </c>
      <c r="V252">
        <f>SUM(W252:X252)+(Y252*0.8)+(Z252*0.4)</f>
        <v>143.19999999999999</v>
      </c>
      <c r="W252">
        <v>143.19999999999999</v>
      </c>
      <c r="X252">
        <v>0</v>
      </c>
      <c r="Y252">
        <v>0</v>
      </c>
      <c r="Z252">
        <v>0</v>
      </c>
      <c r="AA252" t="s">
        <v>43</v>
      </c>
      <c r="AB252">
        <v>143.19999999999999</v>
      </c>
      <c r="AD252" t="s">
        <v>8102</v>
      </c>
      <c r="AE252" t="s">
        <v>8103</v>
      </c>
    </row>
    <row r="253" spans="1:31" x14ac:dyDescent="0.25">
      <c r="A253" t="s">
        <v>31</v>
      </c>
      <c r="B253" t="s">
        <v>11350</v>
      </c>
      <c r="C253" t="s">
        <v>647</v>
      </c>
      <c r="D253" t="s">
        <v>815</v>
      </c>
      <c r="E253" t="s">
        <v>362</v>
      </c>
      <c r="F253" t="s">
        <v>649</v>
      </c>
      <c r="G253">
        <v>2023</v>
      </c>
      <c r="H253" t="s">
        <v>36</v>
      </c>
      <c r="I253" t="s">
        <v>816</v>
      </c>
      <c r="J253" t="s">
        <v>31</v>
      </c>
      <c r="K253" t="s">
        <v>38</v>
      </c>
      <c r="L253" t="s">
        <v>77</v>
      </c>
      <c r="M253" t="s">
        <v>78</v>
      </c>
      <c r="N253" t="s">
        <v>817</v>
      </c>
      <c r="O253" t="s">
        <v>818</v>
      </c>
      <c r="Q253" t="s">
        <v>819</v>
      </c>
      <c r="T253">
        <v>41.083991058999999</v>
      </c>
      <c r="U253">
        <v>-76.143280278999995</v>
      </c>
      <c r="V253">
        <f>SUM(W253:X253)+(Y253*0.8)+(Z253*0.4)</f>
        <v>140.80000000000001</v>
      </c>
      <c r="W253">
        <v>48</v>
      </c>
      <c r="X253">
        <v>0</v>
      </c>
      <c r="Y253">
        <v>116</v>
      </c>
      <c r="Z253">
        <v>0</v>
      </c>
      <c r="AA253" t="s">
        <v>43</v>
      </c>
      <c r="AB253">
        <v>164</v>
      </c>
      <c r="AD253" t="s">
        <v>820</v>
      </c>
      <c r="AE253" t="s">
        <v>821</v>
      </c>
    </row>
    <row r="254" spans="1:31" x14ac:dyDescent="0.25">
      <c r="A254" t="s">
        <v>31</v>
      </c>
      <c r="C254" t="s">
        <v>9202</v>
      </c>
      <c r="D254" t="s">
        <v>9295</v>
      </c>
      <c r="E254" t="s">
        <v>34</v>
      </c>
      <c r="F254" t="s">
        <v>66</v>
      </c>
      <c r="G254">
        <v>2019</v>
      </c>
      <c r="H254" t="s">
        <v>36</v>
      </c>
      <c r="I254" t="s">
        <v>9296</v>
      </c>
      <c r="J254" t="s">
        <v>31</v>
      </c>
      <c r="K254" t="s">
        <v>38</v>
      </c>
      <c r="L254" t="s">
        <v>242</v>
      </c>
      <c r="M254" t="s">
        <v>243</v>
      </c>
      <c r="N254" t="s">
        <v>509</v>
      </c>
      <c r="O254" t="s">
        <v>510</v>
      </c>
      <c r="P254" t="s">
        <v>873</v>
      </c>
      <c r="T254">
        <v>38.754505000000002</v>
      </c>
      <c r="U254">
        <v>-77.513103000000001</v>
      </c>
      <c r="V254">
        <f>SUM(W254:X254)+(Y254*0.8)+(Z254*0.4)</f>
        <v>140.1</v>
      </c>
      <c r="W254">
        <v>106.5</v>
      </c>
      <c r="X254">
        <v>0</v>
      </c>
      <c r="Y254">
        <v>42</v>
      </c>
      <c r="Z254">
        <v>0</v>
      </c>
      <c r="AA254" t="s">
        <v>43</v>
      </c>
      <c r="AB254">
        <v>105.5</v>
      </c>
      <c r="AC254">
        <v>0</v>
      </c>
      <c r="AD254" t="s">
        <v>9297</v>
      </c>
      <c r="AE254" t="s">
        <v>9298</v>
      </c>
    </row>
    <row r="255" spans="1:31" x14ac:dyDescent="0.25">
      <c r="A255" t="s">
        <v>31</v>
      </c>
      <c r="C255" t="s">
        <v>9844</v>
      </c>
      <c r="D255" t="s">
        <v>9845</v>
      </c>
      <c r="E255" t="s">
        <v>34</v>
      </c>
      <c r="F255" t="s">
        <v>66</v>
      </c>
      <c r="G255">
        <v>2026</v>
      </c>
      <c r="H255" t="s">
        <v>411</v>
      </c>
      <c r="I255" t="s">
        <v>9846</v>
      </c>
      <c r="J255" t="s">
        <v>31</v>
      </c>
      <c r="K255" t="s">
        <v>38</v>
      </c>
      <c r="L255" t="s">
        <v>68</v>
      </c>
      <c r="M255" t="s">
        <v>69</v>
      </c>
      <c r="N255" t="s">
        <v>9847</v>
      </c>
      <c r="O255" t="s">
        <v>9848</v>
      </c>
      <c r="P255" t="s">
        <v>9849</v>
      </c>
      <c r="T255">
        <v>26.375029906999998</v>
      </c>
      <c r="U255">
        <v>-97.586561801000002</v>
      </c>
      <c r="V255">
        <f>SUM(W255:X255)+(Y255*0.8)+(Z255*0.4)</f>
        <v>140</v>
      </c>
      <c r="W255">
        <v>0</v>
      </c>
      <c r="X255">
        <v>36</v>
      </c>
      <c r="Y255">
        <v>130</v>
      </c>
      <c r="Z255">
        <v>0</v>
      </c>
      <c r="AA255" t="s">
        <v>43</v>
      </c>
      <c r="AB255">
        <v>83</v>
      </c>
      <c r="AD255" t="s">
        <v>9850</v>
      </c>
      <c r="AE255" t="s">
        <v>9851</v>
      </c>
    </row>
    <row r="256" spans="1:31" x14ac:dyDescent="0.25">
      <c r="A256" t="s">
        <v>31</v>
      </c>
      <c r="C256" t="s">
        <v>10011</v>
      </c>
      <c r="D256" t="s">
        <v>10021</v>
      </c>
      <c r="E256" t="s">
        <v>34</v>
      </c>
      <c r="F256" t="s">
        <v>43</v>
      </c>
      <c r="H256" t="s">
        <v>36</v>
      </c>
      <c r="I256" t="s">
        <v>10022</v>
      </c>
      <c r="J256" t="s">
        <v>31</v>
      </c>
      <c r="K256" t="s">
        <v>38</v>
      </c>
      <c r="L256" t="s">
        <v>242</v>
      </c>
      <c r="M256" t="s">
        <v>243</v>
      </c>
      <c r="N256" t="s">
        <v>244</v>
      </c>
      <c r="O256" t="s">
        <v>245</v>
      </c>
      <c r="P256" t="s">
        <v>246</v>
      </c>
      <c r="T256">
        <v>38.934567338999997</v>
      </c>
      <c r="U256">
        <v>-77.424057323</v>
      </c>
      <c r="V256">
        <f>SUM(W256:X256)+(Y256*0.8)+(Z256*0.4)</f>
        <v>137.5</v>
      </c>
      <c r="W256">
        <v>0</v>
      </c>
      <c r="X256">
        <v>62.5</v>
      </c>
      <c r="Y256">
        <v>0</v>
      </c>
      <c r="Z256">
        <v>187.5</v>
      </c>
      <c r="AA256" t="s">
        <v>43</v>
      </c>
      <c r="AB256">
        <v>62.5</v>
      </c>
      <c r="AD256" t="s">
        <v>10023</v>
      </c>
      <c r="AE256" t="s">
        <v>10024</v>
      </c>
    </row>
    <row r="257" spans="1:31" x14ac:dyDescent="0.25">
      <c r="A257" t="s">
        <v>31</v>
      </c>
      <c r="C257" t="s">
        <v>9886</v>
      </c>
      <c r="D257" t="s">
        <v>9962</v>
      </c>
      <c r="E257" t="s">
        <v>34</v>
      </c>
      <c r="F257" t="s">
        <v>76</v>
      </c>
      <c r="G257">
        <v>2027</v>
      </c>
      <c r="H257" t="s">
        <v>36</v>
      </c>
      <c r="I257" t="s">
        <v>9963</v>
      </c>
      <c r="J257" t="s">
        <v>31</v>
      </c>
      <c r="K257" t="s">
        <v>38</v>
      </c>
      <c r="L257" t="s">
        <v>326</v>
      </c>
      <c r="M257" t="s">
        <v>327</v>
      </c>
      <c r="N257" t="s">
        <v>328</v>
      </c>
      <c r="O257" t="s">
        <v>590</v>
      </c>
      <c r="P257" t="s">
        <v>6835</v>
      </c>
      <c r="T257">
        <v>33.457359392000001</v>
      </c>
      <c r="U257">
        <v>-111.999801107</v>
      </c>
      <c r="V257">
        <f>SUM(W257:X257)+(Y257*0.8)+(Z257*0.4)</f>
        <v>136.80000000000001</v>
      </c>
      <c r="W257">
        <v>0</v>
      </c>
      <c r="X257">
        <v>0</v>
      </c>
      <c r="Y257">
        <v>96</v>
      </c>
      <c r="Z257">
        <v>150</v>
      </c>
      <c r="AA257" t="s">
        <v>43</v>
      </c>
      <c r="AB257">
        <v>0</v>
      </c>
      <c r="AD257" t="s">
        <v>9964</v>
      </c>
      <c r="AE257" t="s">
        <v>9965</v>
      </c>
    </row>
    <row r="258" spans="1:31" x14ac:dyDescent="0.25">
      <c r="A258" t="s">
        <v>31</v>
      </c>
      <c r="C258" t="s">
        <v>4035</v>
      </c>
      <c r="D258" t="s">
        <v>4036</v>
      </c>
      <c r="E258" t="s">
        <v>34</v>
      </c>
      <c r="F258" t="s">
        <v>66</v>
      </c>
      <c r="G258">
        <v>2026</v>
      </c>
      <c r="H258" t="s">
        <v>36</v>
      </c>
      <c r="I258" t="s">
        <v>4037</v>
      </c>
      <c r="J258" t="s">
        <v>31</v>
      </c>
      <c r="K258" t="s">
        <v>38</v>
      </c>
      <c r="L258" t="s">
        <v>185</v>
      </c>
      <c r="M258" t="s">
        <v>186</v>
      </c>
      <c r="N258" t="s">
        <v>4038</v>
      </c>
      <c r="O258" t="s">
        <v>4039</v>
      </c>
      <c r="P258" t="s">
        <v>4040</v>
      </c>
      <c r="T258">
        <v>33.690117137000001</v>
      </c>
      <c r="U258">
        <v>-84.046347148999999</v>
      </c>
      <c r="V258">
        <f>SUM(W258:X258)+(Y258*0.8)+(Z258*0.4)</f>
        <v>136.4</v>
      </c>
      <c r="W258">
        <v>0</v>
      </c>
      <c r="X258">
        <v>30</v>
      </c>
      <c r="Y258">
        <v>80</v>
      </c>
      <c r="Z258">
        <v>106</v>
      </c>
      <c r="AA258" t="s">
        <v>43</v>
      </c>
      <c r="AB258">
        <v>45</v>
      </c>
      <c r="AC258">
        <v>1.3</v>
      </c>
      <c r="AD258" t="s">
        <v>4041</v>
      </c>
      <c r="AE258" t="s">
        <v>4042</v>
      </c>
    </row>
    <row r="259" spans="1:31" x14ac:dyDescent="0.25">
      <c r="A259" t="s">
        <v>31</v>
      </c>
      <c r="C259" t="s">
        <v>9202</v>
      </c>
      <c r="D259" t="s">
        <v>9313</v>
      </c>
      <c r="E259" t="s">
        <v>34</v>
      </c>
      <c r="F259" t="s">
        <v>76</v>
      </c>
      <c r="H259" t="s">
        <v>36</v>
      </c>
      <c r="I259" t="s">
        <v>9314</v>
      </c>
      <c r="J259" t="s">
        <v>31</v>
      </c>
      <c r="K259" t="s">
        <v>38</v>
      </c>
      <c r="L259" t="s">
        <v>317</v>
      </c>
      <c r="M259" t="s">
        <v>318</v>
      </c>
      <c r="N259" t="s">
        <v>665</v>
      </c>
      <c r="O259" t="s">
        <v>1304</v>
      </c>
      <c r="Q259" t="s">
        <v>1178</v>
      </c>
      <c r="T259">
        <v>40.114234488000001</v>
      </c>
      <c r="U259">
        <v>-82.740512549000002</v>
      </c>
      <c r="V259">
        <f>SUM(W259:X259)+(Y259*0.8)+(Z259*0.4)</f>
        <v>136</v>
      </c>
      <c r="W259">
        <v>0</v>
      </c>
      <c r="X259">
        <v>0</v>
      </c>
      <c r="Y259">
        <v>0</v>
      </c>
      <c r="Z259">
        <v>340</v>
      </c>
      <c r="AA259" t="s">
        <v>43</v>
      </c>
      <c r="AB259">
        <v>0</v>
      </c>
      <c r="AD259" t="s">
        <v>9315</v>
      </c>
      <c r="AE259" t="s">
        <v>9316</v>
      </c>
    </row>
    <row r="260" spans="1:31" x14ac:dyDescent="0.25">
      <c r="A260" t="s">
        <v>31</v>
      </c>
      <c r="B260" t="s">
        <v>11350</v>
      </c>
      <c r="C260" t="s">
        <v>7857</v>
      </c>
      <c r="D260" t="s">
        <v>8019</v>
      </c>
      <c r="E260" t="s">
        <v>362</v>
      </c>
      <c r="F260" t="s">
        <v>649</v>
      </c>
      <c r="H260" t="s">
        <v>36</v>
      </c>
      <c r="I260" t="s">
        <v>8020</v>
      </c>
      <c r="J260" t="s">
        <v>31</v>
      </c>
      <c r="K260" t="s">
        <v>38</v>
      </c>
      <c r="L260" t="s">
        <v>317</v>
      </c>
      <c r="M260" t="s">
        <v>318</v>
      </c>
      <c r="N260" t="s">
        <v>584</v>
      </c>
      <c r="O260" t="s">
        <v>164</v>
      </c>
      <c r="P260" t="s">
        <v>8021</v>
      </c>
      <c r="Q260" t="s">
        <v>164</v>
      </c>
      <c r="T260">
        <v>40.043965174999997</v>
      </c>
      <c r="U260">
        <v>-82.476510805000004</v>
      </c>
      <c r="V260">
        <f>SUM(W260:X260)+(Y260*0.8)+(Z260*0.4)</f>
        <v>136</v>
      </c>
      <c r="W260">
        <v>0</v>
      </c>
      <c r="X260">
        <v>0</v>
      </c>
      <c r="Y260">
        <v>0</v>
      </c>
      <c r="Z260">
        <v>340</v>
      </c>
      <c r="AA260" t="s">
        <v>43</v>
      </c>
      <c r="AB260">
        <v>0</v>
      </c>
      <c r="AD260" t="s">
        <v>8022</v>
      </c>
      <c r="AE260" t="s">
        <v>8023</v>
      </c>
    </row>
    <row r="261" spans="1:31" x14ac:dyDescent="0.25">
      <c r="A261" t="s">
        <v>31</v>
      </c>
      <c r="B261" t="s">
        <v>11350</v>
      </c>
      <c r="C261" t="s">
        <v>7857</v>
      </c>
      <c r="D261" t="s">
        <v>7943</v>
      </c>
      <c r="E261" t="s">
        <v>362</v>
      </c>
      <c r="F261" t="s">
        <v>649</v>
      </c>
      <c r="G261">
        <v>2023</v>
      </c>
      <c r="H261" t="s">
        <v>36</v>
      </c>
      <c r="I261" t="s">
        <v>7944</v>
      </c>
      <c r="J261" t="s">
        <v>31</v>
      </c>
      <c r="K261" t="s">
        <v>38</v>
      </c>
      <c r="L261" t="s">
        <v>1433</v>
      </c>
      <c r="M261" t="s">
        <v>1434</v>
      </c>
      <c r="N261" t="s">
        <v>1711</v>
      </c>
      <c r="O261" t="s">
        <v>7868</v>
      </c>
      <c r="P261" t="s">
        <v>7869</v>
      </c>
      <c r="T261">
        <v>41.516065726999997</v>
      </c>
      <c r="U261">
        <v>-93.718750936999996</v>
      </c>
      <c r="V261">
        <f>SUM(W261:X261)+(Y261*0.8)+(Z261*0.4)</f>
        <v>134.4</v>
      </c>
      <c r="W261">
        <v>84</v>
      </c>
      <c r="X261">
        <v>28</v>
      </c>
      <c r="Y261">
        <v>28</v>
      </c>
      <c r="Z261">
        <v>0</v>
      </c>
      <c r="AA261" t="s">
        <v>43</v>
      </c>
      <c r="AB261">
        <v>140</v>
      </c>
      <c r="AD261" t="s">
        <v>7945</v>
      </c>
      <c r="AE261" t="s">
        <v>7946</v>
      </c>
    </row>
    <row r="262" spans="1:31" x14ac:dyDescent="0.25">
      <c r="A262" t="s">
        <v>31</v>
      </c>
      <c r="C262" t="s">
        <v>9861</v>
      </c>
      <c r="D262" t="s">
        <v>9862</v>
      </c>
      <c r="E262" t="s">
        <v>34</v>
      </c>
      <c r="F262" t="s">
        <v>66</v>
      </c>
      <c r="H262" t="s">
        <v>36</v>
      </c>
      <c r="I262" t="s">
        <v>9863</v>
      </c>
      <c r="J262" t="s">
        <v>31</v>
      </c>
      <c r="K262" t="s">
        <v>38</v>
      </c>
      <c r="L262" t="s">
        <v>185</v>
      </c>
      <c r="M262" t="s">
        <v>186</v>
      </c>
      <c r="N262" t="s">
        <v>6769</v>
      </c>
      <c r="O262" t="s">
        <v>8252</v>
      </c>
      <c r="P262" t="s">
        <v>6770</v>
      </c>
      <c r="T262">
        <v>33.241494293000002</v>
      </c>
      <c r="U262">
        <v>-84.194595152000005</v>
      </c>
      <c r="V262">
        <f>SUM(W262:X262)+(Y262*0.8)+(Z262*0.4)</f>
        <v>133.12</v>
      </c>
      <c r="W262">
        <v>0</v>
      </c>
      <c r="X262">
        <v>0</v>
      </c>
      <c r="Y262">
        <v>166.4</v>
      </c>
      <c r="Z262">
        <v>0</v>
      </c>
      <c r="AA262" t="s">
        <v>43</v>
      </c>
      <c r="AB262">
        <v>0</v>
      </c>
      <c r="AD262" t="s">
        <v>9864</v>
      </c>
      <c r="AE262" t="s">
        <v>9865</v>
      </c>
    </row>
    <row r="263" spans="1:31" x14ac:dyDescent="0.25">
      <c r="A263" t="s">
        <v>31</v>
      </c>
      <c r="C263" t="s">
        <v>9202</v>
      </c>
      <c r="D263" t="s">
        <v>9257</v>
      </c>
      <c r="E263" t="s">
        <v>34</v>
      </c>
      <c r="F263" t="s">
        <v>66</v>
      </c>
      <c r="G263">
        <v>2025</v>
      </c>
      <c r="H263" t="s">
        <v>36</v>
      </c>
      <c r="I263" t="s">
        <v>9258</v>
      </c>
      <c r="J263" t="s">
        <v>31</v>
      </c>
      <c r="K263" t="s">
        <v>38</v>
      </c>
      <c r="L263" t="s">
        <v>193</v>
      </c>
      <c r="M263" t="s">
        <v>194</v>
      </c>
      <c r="N263" t="s">
        <v>2858</v>
      </c>
      <c r="O263" t="s">
        <v>7269</v>
      </c>
      <c r="P263" t="s">
        <v>7270</v>
      </c>
      <c r="T263">
        <v>39.73259461</v>
      </c>
      <c r="U263">
        <v>-104.71473886699999</v>
      </c>
      <c r="V263">
        <f>SUM(W263:X263)+(Y263*0.8)+(Z263*0.4)</f>
        <v>133</v>
      </c>
      <c r="W263">
        <v>25</v>
      </c>
      <c r="X263">
        <v>0</v>
      </c>
      <c r="Y263">
        <v>135</v>
      </c>
      <c r="Z263">
        <v>0</v>
      </c>
      <c r="AA263" t="s">
        <v>43</v>
      </c>
      <c r="AB263">
        <v>0</v>
      </c>
      <c r="AD263" t="s">
        <v>9259</v>
      </c>
      <c r="AE263" t="s">
        <v>9260</v>
      </c>
    </row>
    <row r="264" spans="1:31" x14ac:dyDescent="0.25">
      <c r="A264" t="s">
        <v>31</v>
      </c>
      <c r="C264" t="s">
        <v>10102</v>
      </c>
      <c r="D264" t="s">
        <v>10107</v>
      </c>
      <c r="E264" t="s">
        <v>34</v>
      </c>
      <c r="F264" t="s">
        <v>66</v>
      </c>
      <c r="G264">
        <v>2016</v>
      </c>
      <c r="H264" t="s">
        <v>36</v>
      </c>
      <c r="I264" t="s">
        <v>10108</v>
      </c>
      <c r="J264" t="s">
        <v>31</v>
      </c>
      <c r="K264" t="s">
        <v>38</v>
      </c>
      <c r="L264" t="s">
        <v>1457</v>
      </c>
      <c r="M264" t="s">
        <v>1458</v>
      </c>
      <c r="N264" t="s">
        <v>2821</v>
      </c>
      <c r="O264" t="s">
        <v>2822</v>
      </c>
      <c r="P264" t="s">
        <v>2823</v>
      </c>
      <c r="T264">
        <v>39.514002638999997</v>
      </c>
      <c r="U264">
        <v>-119.475176248</v>
      </c>
      <c r="V264">
        <f>SUM(W264:X264)+(Y264*0.8)+(Z264*0.4)</f>
        <v>130</v>
      </c>
      <c r="W264">
        <v>130</v>
      </c>
      <c r="X264">
        <v>0</v>
      </c>
      <c r="Y264">
        <v>0</v>
      </c>
      <c r="Z264">
        <v>0</v>
      </c>
      <c r="AA264" t="s">
        <v>43</v>
      </c>
      <c r="AB264">
        <v>0</v>
      </c>
      <c r="AC264">
        <v>1.18</v>
      </c>
      <c r="AD264" t="s">
        <v>10109</v>
      </c>
      <c r="AE264" t="s">
        <v>10110</v>
      </c>
    </row>
    <row r="265" spans="1:31" x14ac:dyDescent="0.25">
      <c r="A265" t="s">
        <v>31</v>
      </c>
      <c r="C265" t="s">
        <v>6970</v>
      </c>
      <c r="D265" t="s">
        <v>6988</v>
      </c>
      <c r="E265" t="s">
        <v>34</v>
      </c>
      <c r="F265" t="s">
        <v>66</v>
      </c>
      <c r="H265" t="s">
        <v>36</v>
      </c>
      <c r="I265" t="s">
        <v>6989</v>
      </c>
      <c r="J265" t="s">
        <v>31</v>
      </c>
      <c r="K265" t="s">
        <v>38</v>
      </c>
      <c r="L265" t="s">
        <v>242</v>
      </c>
      <c r="M265" t="s">
        <v>243</v>
      </c>
      <c r="N265" t="s">
        <v>405</v>
      </c>
      <c r="O265" t="s">
        <v>6990</v>
      </c>
      <c r="P265" t="s">
        <v>1285</v>
      </c>
      <c r="T265">
        <v>39.056450740999999</v>
      </c>
      <c r="U265">
        <v>-77.552783101000003</v>
      </c>
      <c r="V265">
        <f>SUM(W265:X265)+(Y265*0.8)+(Z265*0.4)</f>
        <v>129.6</v>
      </c>
      <c r="W265">
        <v>0</v>
      </c>
      <c r="X265">
        <v>0</v>
      </c>
      <c r="Y265">
        <v>162</v>
      </c>
      <c r="Z265">
        <v>0</v>
      </c>
      <c r="AA265" t="s">
        <v>43</v>
      </c>
      <c r="AB265">
        <v>0</v>
      </c>
      <c r="AD265" t="s">
        <v>6991</v>
      </c>
      <c r="AE265" t="s">
        <v>6992</v>
      </c>
    </row>
    <row r="266" spans="1:31" x14ac:dyDescent="0.25">
      <c r="A266" t="s">
        <v>31</v>
      </c>
      <c r="C266" t="s">
        <v>9468</v>
      </c>
      <c r="D266" t="s">
        <v>9469</v>
      </c>
      <c r="E266" t="s">
        <v>34</v>
      </c>
      <c r="F266" t="s">
        <v>76</v>
      </c>
      <c r="G266">
        <v>2028</v>
      </c>
      <c r="H266" t="s">
        <v>36</v>
      </c>
      <c r="I266" t="s">
        <v>9470</v>
      </c>
      <c r="J266" t="s">
        <v>31</v>
      </c>
      <c r="K266" t="s">
        <v>38</v>
      </c>
      <c r="L266" t="s">
        <v>185</v>
      </c>
      <c r="M266" t="s">
        <v>186</v>
      </c>
      <c r="N266" t="s">
        <v>303</v>
      </c>
      <c r="O266" t="s">
        <v>9471</v>
      </c>
      <c r="P266" t="s">
        <v>9472</v>
      </c>
      <c r="T266">
        <v>33.400175412999999</v>
      </c>
      <c r="U266">
        <v>-84.222714232000001</v>
      </c>
      <c r="V266">
        <f>SUM(W266:X266)+(Y266*0.8)+(Z266*0.4)</f>
        <v>128</v>
      </c>
      <c r="W266">
        <v>0</v>
      </c>
      <c r="X266">
        <v>0</v>
      </c>
      <c r="Y266">
        <v>160</v>
      </c>
      <c r="Z266">
        <v>0</v>
      </c>
      <c r="AA266" t="s">
        <v>43</v>
      </c>
      <c r="AB266">
        <v>0</v>
      </c>
      <c r="AD266" t="s">
        <v>9473</v>
      </c>
      <c r="AE266" t="s">
        <v>9474</v>
      </c>
    </row>
    <row r="267" spans="1:31" x14ac:dyDescent="0.25">
      <c r="A267" t="s">
        <v>31</v>
      </c>
      <c r="B267" t="s">
        <v>11350</v>
      </c>
      <c r="C267" t="s">
        <v>7857</v>
      </c>
      <c r="D267" t="s">
        <v>7866</v>
      </c>
      <c r="E267" t="s">
        <v>362</v>
      </c>
      <c r="F267" t="s">
        <v>649</v>
      </c>
      <c r="G267">
        <v>2016</v>
      </c>
      <c r="H267" t="s">
        <v>36</v>
      </c>
      <c r="I267" t="s">
        <v>7867</v>
      </c>
      <c r="J267" t="s">
        <v>31</v>
      </c>
      <c r="K267" t="s">
        <v>38</v>
      </c>
      <c r="L267" t="s">
        <v>1433</v>
      </c>
      <c r="M267" t="s">
        <v>1434</v>
      </c>
      <c r="N267" t="s">
        <v>1711</v>
      </c>
      <c r="O267" t="s">
        <v>7868</v>
      </c>
      <c r="P267" t="s">
        <v>7869</v>
      </c>
      <c r="T267">
        <v>41.516239665000001</v>
      </c>
      <c r="U267">
        <v>-93.708857430999998</v>
      </c>
      <c r="V267">
        <f>SUM(W267:X267)+(Y267*0.8)+(Z267*0.4)</f>
        <v>128</v>
      </c>
      <c r="W267">
        <v>128</v>
      </c>
      <c r="X267">
        <v>0</v>
      </c>
      <c r="Y267">
        <v>0</v>
      </c>
      <c r="Z267">
        <v>0</v>
      </c>
      <c r="AA267" t="s">
        <v>43</v>
      </c>
      <c r="AB267">
        <v>128</v>
      </c>
      <c r="AD267" t="s">
        <v>7870</v>
      </c>
      <c r="AE267" t="s">
        <v>7871</v>
      </c>
    </row>
    <row r="268" spans="1:31" x14ac:dyDescent="0.25">
      <c r="A268" t="s">
        <v>31</v>
      </c>
      <c r="B268" t="s">
        <v>11350</v>
      </c>
      <c r="C268" t="s">
        <v>7857</v>
      </c>
      <c r="D268" t="s">
        <v>1304</v>
      </c>
      <c r="E268" t="s">
        <v>362</v>
      </c>
      <c r="F268" t="s">
        <v>649</v>
      </c>
      <c r="H268" t="s">
        <v>36</v>
      </c>
      <c r="I268" t="s">
        <v>8081</v>
      </c>
      <c r="J268" t="s">
        <v>31</v>
      </c>
      <c r="K268" t="s">
        <v>38</v>
      </c>
      <c r="L268" t="s">
        <v>317</v>
      </c>
      <c r="M268" t="s">
        <v>318</v>
      </c>
      <c r="N268" t="s">
        <v>584</v>
      </c>
      <c r="O268" t="s">
        <v>1170</v>
      </c>
      <c r="P268" t="s">
        <v>1171</v>
      </c>
      <c r="T268">
        <v>40.103394940999998</v>
      </c>
      <c r="U268">
        <v>-82.754051875000002</v>
      </c>
      <c r="V268">
        <f>SUM(W268:X268)+(Y268*0.8)+(Z268*0.4)</f>
        <v>127.60000000000001</v>
      </c>
      <c r="W268">
        <v>0</v>
      </c>
      <c r="X268">
        <v>0</v>
      </c>
      <c r="Y268">
        <v>29</v>
      </c>
      <c r="Z268">
        <v>261</v>
      </c>
      <c r="AA268" t="s">
        <v>43</v>
      </c>
      <c r="AB268">
        <v>29</v>
      </c>
      <c r="AD268" t="s">
        <v>8082</v>
      </c>
      <c r="AE268" t="s">
        <v>8083</v>
      </c>
    </row>
    <row r="269" spans="1:31" x14ac:dyDescent="0.25">
      <c r="A269" t="s">
        <v>31</v>
      </c>
      <c r="C269" t="s">
        <v>3312</v>
      </c>
      <c r="D269" t="s">
        <v>3463</v>
      </c>
      <c r="E269" t="s">
        <v>34</v>
      </c>
      <c r="F269" t="s">
        <v>66</v>
      </c>
      <c r="G269">
        <v>2020</v>
      </c>
      <c r="H269" t="s">
        <v>36</v>
      </c>
      <c r="I269" t="s">
        <v>3464</v>
      </c>
      <c r="J269" t="s">
        <v>31</v>
      </c>
      <c r="K269" t="s">
        <v>38</v>
      </c>
      <c r="L269" t="s">
        <v>242</v>
      </c>
      <c r="M269" t="s">
        <v>243</v>
      </c>
      <c r="N269" t="s">
        <v>405</v>
      </c>
      <c r="O269" t="s">
        <v>526</v>
      </c>
      <c r="P269" t="s">
        <v>527</v>
      </c>
      <c r="T269">
        <v>38.956980196000004</v>
      </c>
      <c r="U269">
        <v>-77.504981201999996</v>
      </c>
      <c r="V269">
        <f>SUM(W269:X269)+(Y269*0.8)+(Z269*0.4)</f>
        <v>126</v>
      </c>
      <c r="W269">
        <v>72</v>
      </c>
      <c r="X269">
        <v>18</v>
      </c>
      <c r="Y269">
        <v>45</v>
      </c>
      <c r="Z269">
        <v>0</v>
      </c>
      <c r="AA269" t="s">
        <v>43</v>
      </c>
      <c r="AB269">
        <v>89.4</v>
      </c>
      <c r="AD269" t="s">
        <v>3465</v>
      </c>
      <c r="AE269" t="s">
        <v>3466</v>
      </c>
    </row>
    <row r="270" spans="1:31" x14ac:dyDescent="0.25">
      <c r="A270" t="s">
        <v>31</v>
      </c>
      <c r="B270" t="s">
        <v>11350</v>
      </c>
      <c r="C270" t="s">
        <v>7857</v>
      </c>
      <c r="D270" t="s">
        <v>8008</v>
      </c>
      <c r="E270" t="s">
        <v>362</v>
      </c>
      <c r="F270" t="s">
        <v>649</v>
      </c>
      <c r="G270">
        <v>2021</v>
      </c>
      <c r="H270" t="s">
        <v>36</v>
      </c>
      <c r="I270" t="s">
        <v>8009</v>
      </c>
      <c r="J270" t="s">
        <v>31</v>
      </c>
      <c r="K270" t="s">
        <v>38</v>
      </c>
      <c r="L270" t="s">
        <v>242</v>
      </c>
      <c r="M270" t="s">
        <v>243</v>
      </c>
      <c r="N270" t="s">
        <v>405</v>
      </c>
      <c r="O270" t="s">
        <v>6985</v>
      </c>
      <c r="P270" t="s">
        <v>1285</v>
      </c>
      <c r="T270">
        <v>39.071153932000001</v>
      </c>
      <c r="U270">
        <v>-77.563100323</v>
      </c>
      <c r="V270">
        <f>SUM(W270:X270)+(Y270*0.8)+(Z270*0.4)</f>
        <v>125</v>
      </c>
      <c r="W270">
        <v>110</v>
      </c>
      <c r="X270">
        <v>15</v>
      </c>
      <c r="Y270">
        <v>0</v>
      </c>
      <c r="Z270">
        <v>0</v>
      </c>
      <c r="AA270" t="s">
        <v>43</v>
      </c>
      <c r="AB270">
        <v>125</v>
      </c>
      <c r="AD270" t="s">
        <v>8010</v>
      </c>
      <c r="AE270" t="s">
        <v>8011</v>
      </c>
    </row>
    <row r="271" spans="1:31" x14ac:dyDescent="0.25">
      <c r="A271" t="s">
        <v>31</v>
      </c>
      <c r="C271" t="s">
        <v>6832</v>
      </c>
      <c r="D271" t="s">
        <v>6900</v>
      </c>
      <c r="E271" t="s">
        <v>34</v>
      </c>
      <c r="F271" t="s">
        <v>66</v>
      </c>
      <c r="G271">
        <v>2027</v>
      </c>
      <c r="H271" t="s">
        <v>36</v>
      </c>
      <c r="I271" t="s">
        <v>6901</v>
      </c>
      <c r="J271" t="s">
        <v>31</v>
      </c>
      <c r="K271" t="s">
        <v>38</v>
      </c>
      <c r="L271" t="s">
        <v>242</v>
      </c>
      <c r="M271" t="s">
        <v>243</v>
      </c>
      <c r="N271" t="s">
        <v>1796</v>
      </c>
      <c r="O271" t="s">
        <v>6902</v>
      </c>
      <c r="P271" t="s">
        <v>6903</v>
      </c>
      <c r="Q271" t="s">
        <v>6904</v>
      </c>
      <c r="T271">
        <v>37.499372630000003</v>
      </c>
      <c r="U271">
        <v>-77.235840335000006</v>
      </c>
      <c r="V271">
        <f>SUM(W271:X271)+(Y271*0.8)+(Z271*0.4)</f>
        <v>124.80000000000001</v>
      </c>
      <c r="W271">
        <v>0</v>
      </c>
      <c r="X271">
        <v>0</v>
      </c>
      <c r="Y271">
        <v>156</v>
      </c>
      <c r="Z271">
        <v>0</v>
      </c>
      <c r="AA271" t="s">
        <v>43</v>
      </c>
      <c r="AB271">
        <v>0</v>
      </c>
      <c r="AD271" t="s">
        <v>6905</v>
      </c>
      <c r="AE271" t="s">
        <v>6906</v>
      </c>
    </row>
    <row r="272" spans="1:31" x14ac:dyDescent="0.25">
      <c r="A272" t="s">
        <v>31</v>
      </c>
      <c r="B272" t="s">
        <v>11350</v>
      </c>
      <c r="C272" t="s">
        <v>7857</v>
      </c>
      <c r="D272" t="s">
        <v>7965</v>
      </c>
      <c r="E272" t="s">
        <v>362</v>
      </c>
      <c r="F272" t="s">
        <v>649</v>
      </c>
      <c r="G272">
        <v>2024</v>
      </c>
      <c r="H272" t="s">
        <v>36</v>
      </c>
      <c r="I272" t="s">
        <v>7966</v>
      </c>
      <c r="J272" t="s">
        <v>31</v>
      </c>
      <c r="K272" t="s">
        <v>38</v>
      </c>
      <c r="L272" t="s">
        <v>242</v>
      </c>
      <c r="M272" t="s">
        <v>243</v>
      </c>
      <c r="N272" t="s">
        <v>2270</v>
      </c>
      <c r="O272" t="s">
        <v>7967</v>
      </c>
      <c r="P272" t="s">
        <v>7968</v>
      </c>
      <c r="T272">
        <v>36.746330346000001</v>
      </c>
      <c r="U272">
        <v>-78.101790398000006</v>
      </c>
      <c r="V272">
        <f>SUM(W272:X272)+(Y272*0.8)+(Z272*0.4)</f>
        <v>124.80000000000001</v>
      </c>
      <c r="W272">
        <v>48</v>
      </c>
      <c r="X272">
        <v>0</v>
      </c>
      <c r="Y272">
        <v>96</v>
      </c>
      <c r="Z272">
        <v>0</v>
      </c>
      <c r="AA272" t="s">
        <v>43</v>
      </c>
      <c r="AB272">
        <v>144</v>
      </c>
      <c r="AD272" t="s">
        <v>7969</v>
      </c>
      <c r="AE272" t="s">
        <v>7970</v>
      </c>
    </row>
    <row r="273" spans="1:31" x14ac:dyDescent="0.25">
      <c r="A273" t="s">
        <v>31</v>
      </c>
      <c r="C273" t="s">
        <v>8817</v>
      </c>
      <c r="D273" t="s">
        <v>8818</v>
      </c>
      <c r="E273" t="s">
        <v>34</v>
      </c>
      <c r="F273" t="s">
        <v>43</v>
      </c>
      <c r="H273" t="s">
        <v>36</v>
      </c>
      <c r="I273" t="s">
        <v>8819</v>
      </c>
      <c r="J273" t="s">
        <v>31</v>
      </c>
      <c r="K273" t="s">
        <v>38</v>
      </c>
      <c r="L273" t="s">
        <v>77</v>
      </c>
      <c r="M273" t="s">
        <v>78</v>
      </c>
      <c r="N273" t="s">
        <v>79</v>
      </c>
      <c r="O273" t="s">
        <v>8820</v>
      </c>
      <c r="P273" t="s">
        <v>8821</v>
      </c>
      <c r="T273">
        <v>40.194473195</v>
      </c>
      <c r="U273">
        <v>-75.560708396999999</v>
      </c>
      <c r="V273">
        <f>SUM(W273:X273)+(Y273*0.8)+(Z273*0.4)</f>
        <v>124</v>
      </c>
      <c r="W273">
        <v>0</v>
      </c>
      <c r="X273">
        <v>0</v>
      </c>
      <c r="Y273">
        <v>0</v>
      </c>
      <c r="Z273">
        <v>310</v>
      </c>
      <c r="AA273" t="s">
        <v>43</v>
      </c>
      <c r="AB273">
        <v>0</v>
      </c>
      <c r="AD273" t="s">
        <v>8822</v>
      </c>
      <c r="AE273" t="s">
        <v>8823</v>
      </c>
    </row>
    <row r="274" spans="1:31" x14ac:dyDescent="0.25">
      <c r="A274" t="s">
        <v>31</v>
      </c>
      <c r="B274" t="s">
        <v>11350</v>
      </c>
      <c r="C274" t="s">
        <v>7857</v>
      </c>
      <c r="D274" t="s">
        <v>7933</v>
      </c>
      <c r="E274" t="s">
        <v>362</v>
      </c>
      <c r="F274" t="s">
        <v>649</v>
      </c>
      <c r="G274">
        <v>2022</v>
      </c>
      <c r="H274" t="s">
        <v>36</v>
      </c>
      <c r="I274" t="s">
        <v>7934</v>
      </c>
      <c r="J274" t="s">
        <v>31</v>
      </c>
      <c r="K274" t="s">
        <v>38</v>
      </c>
      <c r="L274" t="s">
        <v>86</v>
      </c>
      <c r="M274" t="s">
        <v>87</v>
      </c>
      <c r="N274" t="s">
        <v>88</v>
      </c>
      <c r="O274" t="s">
        <v>554</v>
      </c>
      <c r="P274" t="s">
        <v>2216</v>
      </c>
      <c r="Q274" t="s">
        <v>555</v>
      </c>
      <c r="T274">
        <v>42.023236779999998</v>
      </c>
      <c r="U274">
        <v>-87.972665727000006</v>
      </c>
      <c r="V274">
        <f>SUM(W274:X274)+(Y274*0.8)+(Z274*0.4)</f>
        <v>122.96000000000001</v>
      </c>
      <c r="W274">
        <v>16.399999999999999</v>
      </c>
      <c r="X274">
        <v>59.2</v>
      </c>
      <c r="Y274">
        <v>59.2</v>
      </c>
      <c r="Z274">
        <v>0</v>
      </c>
      <c r="AA274" t="s">
        <v>43</v>
      </c>
      <c r="AB274">
        <v>134.80000000000001</v>
      </c>
      <c r="AD274" t="s">
        <v>7935</v>
      </c>
      <c r="AE274" t="s">
        <v>7936</v>
      </c>
    </row>
    <row r="275" spans="1:31" x14ac:dyDescent="0.25">
      <c r="A275" t="s">
        <v>31</v>
      </c>
      <c r="B275" t="s">
        <v>11350</v>
      </c>
      <c r="C275" t="s">
        <v>7857</v>
      </c>
      <c r="D275" t="s">
        <v>8167</v>
      </c>
      <c r="E275" t="s">
        <v>362</v>
      </c>
      <c r="F275" t="s">
        <v>649</v>
      </c>
      <c r="G275">
        <v>2017</v>
      </c>
      <c r="H275" t="s">
        <v>36</v>
      </c>
      <c r="I275" t="s">
        <v>8168</v>
      </c>
      <c r="J275" t="s">
        <v>31</v>
      </c>
      <c r="K275" t="s">
        <v>38</v>
      </c>
      <c r="L275" t="s">
        <v>68</v>
      </c>
      <c r="M275" t="s">
        <v>69</v>
      </c>
      <c r="N275" t="s">
        <v>712</v>
      </c>
      <c r="O275" t="s">
        <v>713</v>
      </c>
      <c r="P275" t="s">
        <v>714</v>
      </c>
      <c r="T275">
        <v>29.416077287</v>
      </c>
      <c r="U275">
        <v>-98.802830596000007</v>
      </c>
      <c r="V275">
        <f>SUM(W275:X275)+(Y275*0.8)+(Z275*0.4)</f>
        <v>122</v>
      </c>
      <c r="W275">
        <v>92</v>
      </c>
      <c r="X275">
        <v>30</v>
      </c>
      <c r="Y275">
        <v>0</v>
      </c>
      <c r="Z275">
        <v>0</v>
      </c>
      <c r="AA275" t="s">
        <v>43</v>
      </c>
      <c r="AB275">
        <v>122</v>
      </c>
      <c r="AD275" t="s">
        <v>8169</v>
      </c>
      <c r="AE275" t="s">
        <v>8170</v>
      </c>
    </row>
    <row r="276" spans="1:31" x14ac:dyDescent="0.25">
      <c r="A276" t="s">
        <v>31</v>
      </c>
      <c r="C276" t="s">
        <v>8969</v>
      </c>
      <c r="D276" t="s">
        <v>2357</v>
      </c>
      <c r="E276" t="s">
        <v>34</v>
      </c>
      <c r="F276" t="s">
        <v>66</v>
      </c>
      <c r="G276">
        <v>2026</v>
      </c>
      <c r="H276" t="s">
        <v>36</v>
      </c>
      <c r="I276" t="s">
        <v>8981</v>
      </c>
      <c r="J276" t="s">
        <v>31</v>
      </c>
      <c r="K276" t="s">
        <v>38</v>
      </c>
      <c r="L276" t="s">
        <v>68</v>
      </c>
      <c r="M276" t="s">
        <v>69</v>
      </c>
      <c r="N276" t="s">
        <v>297</v>
      </c>
      <c r="O276" t="s">
        <v>2357</v>
      </c>
      <c r="P276" t="s">
        <v>8982</v>
      </c>
      <c r="T276">
        <v>32.888450310000003</v>
      </c>
      <c r="U276">
        <v>-96.940009778000004</v>
      </c>
      <c r="V276">
        <f>SUM(W276:X276)+(Y276*0.8)+(Z276*0.4)</f>
        <v>120.6</v>
      </c>
      <c r="W276">
        <v>0</v>
      </c>
      <c r="X276">
        <v>67</v>
      </c>
      <c r="Y276">
        <v>0</v>
      </c>
      <c r="Z276">
        <v>134</v>
      </c>
      <c r="AA276" t="s">
        <v>43</v>
      </c>
      <c r="AB276">
        <v>0</v>
      </c>
      <c r="AD276" t="s">
        <v>8983</v>
      </c>
      <c r="AE276" t="s">
        <v>8984</v>
      </c>
    </row>
    <row r="277" spans="1:31" x14ac:dyDescent="0.25">
      <c r="A277" t="s">
        <v>31</v>
      </c>
      <c r="C277" t="s">
        <v>10587</v>
      </c>
      <c r="D277" t="s">
        <v>10588</v>
      </c>
      <c r="E277" t="s">
        <v>362</v>
      </c>
      <c r="F277" t="s">
        <v>43</v>
      </c>
      <c r="G277">
        <v>2027</v>
      </c>
      <c r="H277" t="s">
        <v>36</v>
      </c>
      <c r="I277" t="s">
        <v>10589</v>
      </c>
      <c r="J277" t="s">
        <v>31</v>
      </c>
      <c r="K277" t="s">
        <v>38</v>
      </c>
      <c r="L277" t="s">
        <v>2437</v>
      </c>
      <c r="M277" t="s">
        <v>2438</v>
      </c>
      <c r="N277" t="s">
        <v>3618</v>
      </c>
      <c r="O277" t="s">
        <v>10590</v>
      </c>
      <c r="P277" t="s">
        <v>10591</v>
      </c>
      <c r="T277">
        <v>34.869203497999997</v>
      </c>
      <c r="U277">
        <v>-82.036893633000005</v>
      </c>
      <c r="V277">
        <f>SUM(W277:X277)+(Y277*0.8)+(Z277*0.4)</f>
        <v>120.00200000000001</v>
      </c>
      <c r="W277">
        <v>0</v>
      </c>
      <c r="X277">
        <v>0</v>
      </c>
      <c r="Y277">
        <v>0</v>
      </c>
      <c r="Z277">
        <v>300.005</v>
      </c>
      <c r="AA277" t="s">
        <v>43</v>
      </c>
      <c r="AB277">
        <v>0</v>
      </c>
      <c r="AD277" t="s">
        <v>10592</v>
      </c>
      <c r="AE277" t="s">
        <v>10593</v>
      </c>
    </row>
    <row r="278" spans="1:31" x14ac:dyDescent="0.25">
      <c r="A278" t="s">
        <v>31</v>
      </c>
      <c r="C278" t="s">
        <v>1463</v>
      </c>
      <c r="D278" t="s">
        <v>1464</v>
      </c>
      <c r="E278" t="s">
        <v>34</v>
      </c>
      <c r="F278" t="s">
        <v>66</v>
      </c>
      <c r="G278">
        <v>2028</v>
      </c>
      <c r="H278" t="s">
        <v>411</v>
      </c>
      <c r="I278" t="s">
        <v>325</v>
      </c>
      <c r="J278" t="s">
        <v>31</v>
      </c>
      <c r="K278" t="s">
        <v>38</v>
      </c>
      <c r="L278" t="s">
        <v>1465</v>
      </c>
      <c r="M278" t="s">
        <v>1466</v>
      </c>
      <c r="N278" t="s">
        <v>1467</v>
      </c>
      <c r="O278" t="s">
        <v>1468</v>
      </c>
      <c r="P278" t="s">
        <v>1469</v>
      </c>
      <c r="T278">
        <v>44.571005380000003</v>
      </c>
      <c r="U278">
        <v>-96.627205115999999</v>
      </c>
      <c r="V278">
        <f>SUM(W278:X278)+(Y278*0.8)+(Z278*0.4)</f>
        <v>120</v>
      </c>
      <c r="W278">
        <v>0</v>
      </c>
      <c r="X278">
        <v>0</v>
      </c>
      <c r="Y278">
        <v>0</v>
      </c>
      <c r="Z278">
        <v>300</v>
      </c>
      <c r="AA278" t="s">
        <v>43</v>
      </c>
      <c r="AB278">
        <v>0</v>
      </c>
      <c r="AD278" t="s">
        <v>1470</v>
      </c>
      <c r="AE278" t="s">
        <v>1471</v>
      </c>
    </row>
    <row r="279" spans="1:31" x14ac:dyDescent="0.25">
      <c r="A279" t="s">
        <v>31</v>
      </c>
      <c r="B279" t="s">
        <v>11350</v>
      </c>
      <c r="C279" t="s">
        <v>647</v>
      </c>
      <c r="D279" t="s">
        <v>1288</v>
      </c>
      <c r="E279" t="s">
        <v>362</v>
      </c>
      <c r="F279" t="s">
        <v>649</v>
      </c>
      <c r="G279">
        <v>2025</v>
      </c>
      <c r="H279" t="s">
        <v>36</v>
      </c>
      <c r="I279" t="s">
        <v>1289</v>
      </c>
      <c r="J279" t="s">
        <v>31</v>
      </c>
      <c r="K279" t="s">
        <v>38</v>
      </c>
      <c r="L279" t="s">
        <v>242</v>
      </c>
      <c r="M279" t="s">
        <v>243</v>
      </c>
      <c r="N279" t="s">
        <v>509</v>
      </c>
      <c r="O279" t="s">
        <v>1290</v>
      </c>
      <c r="P279" t="s">
        <v>1291</v>
      </c>
      <c r="T279">
        <v>38.801465675000003</v>
      </c>
      <c r="U279">
        <v>-77.620299254000003</v>
      </c>
      <c r="V279">
        <f>SUM(W279:X279)+(Y279*0.8)+(Z279*0.4)</f>
        <v>120</v>
      </c>
      <c r="W279">
        <v>30</v>
      </c>
      <c r="X279">
        <v>90</v>
      </c>
      <c r="Y279">
        <v>0</v>
      </c>
      <c r="Z279">
        <v>0</v>
      </c>
      <c r="AA279" t="s">
        <v>43</v>
      </c>
      <c r="AB279">
        <v>120</v>
      </c>
      <c r="AD279" t="s">
        <v>1292</v>
      </c>
      <c r="AE279" t="s">
        <v>1293</v>
      </c>
    </row>
    <row r="280" spans="1:31" x14ac:dyDescent="0.25">
      <c r="A280" t="s">
        <v>31</v>
      </c>
      <c r="B280" t="s">
        <v>11350</v>
      </c>
      <c r="C280" t="s">
        <v>647</v>
      </c>
      <c r="D280" t="s">
        <v>1217</v>
      </c>
      <c r="E280" t="s">
        <v>362</v>
      </c>
      <c r="F280" t="s">
        <v>649</v>
      </c>
      <c r="G280">
        <v>2024</v>
      </c>
      <c r="H280" t="s">
        <v>36</v>
      </c>
      <c r="I280" t="s">
        <v>1218</v>
      </c>
      <c r="J280" t="s">
        <v>31</v>
      </c>
      <c r="K280" t="s">
        <v>38</v>
      </c>
      <c r="L280" t="s">
        <v>133</v>
      </c>
      <c r="M280" t="s">
        <v>134</v>
      </c>
      <c r="N280" t="s">
        <v>1213</v>
      </c>
      <c r="O280" t="s">
        <v>1219</v>
      </c>
      <c r="P280" t="s">
        <v>1220</v>
      </c>
      <c r="T280">
        <v>45.809603324999998</v>
      </c>
      <c r="U280">
        <v>-119.268149493</v>
      </c>
      <c r="V280">
        <f>SUM(W280:X280)+(Y280*0.8)+(Z280*0.4)</f>
        <v>120</v>
      </c>
      <c r="W280">
        <v>120</v>
      </c>
      <c r="X280">
        <v>0</v>
      </c>
      <c r="Y280">
        <v>0</v>
      </c>
      <c r="Z280">
        <v>0</v>
      </c>
      <c r="AA280" t="s">
        <v>43</v>
      </c>
      <c r="AB280">
        <v>120</v>
      </c>
      <c r="AD280" t="s">
        <v>1221</v>
      </c>
      <c r="AE280" t="s">
        <v>1222</v>
      </c>
    </row>
    <row r="281" spans="1:31" x14ac:dyDescent="0.25">
      <c r="A281" t="s">
        <v>31</v>
      </c>
      <c r="B281" t="s">
        <v>11350</v>
      </c>
      <c r="C281" t="s">
        <v>647</v>
      </c>
      <c r="D281" t="s">
        <v>1241</v>
      </c>
      <c r="E281" t="s">
        <v>362</v>
      </c>
      <c r="F281" t="s">
        <v>649</v>
      </c>
      <c r="G281">
        <v>2024</v>
      </c>
      <c r="H281" t="s">
        <v>36</v>
      </c>
      <c r="I281" t="s">
        <v>1242</v>
      </c>
      <c r="J281" t="s">
        <v>31</v>
      </c>
      <c r="K281" t="s">
        <v>38</v>
      </c>
      <c r="L281" t="s">
        <v>133</v>
      </c>
      <c r="M281" t="s">
        <v>134</v>
      </c>
      <c r="N281" t="s">
        <v>1213</v>
      </c>
      <c r="O281" t="s">
        <v>1219</v>
      </c>
      <c r="P281" t="s">
        <v>1225</v>
      </c>
      <c r="T281">
        <v>45.808649170000002</v>
      </c>
      <c r="U281">
        <v>-119.269070607</v>
      </c>
      <c r="V281">
        <f>SUM(W281:X281)+(Y281*0.8)+(Z281*0.4)</f>
        <v>120</v>
      </c>
      <c r="W281">
        <v>90</v>
      </c>
      <c r="X281">
        <v>30</v>
      </c>
      <c r="Y281">
        <v>0</v>
      </c>
      <c r="Z281">
        <v>0</v>
      </c>
      <c r="AA281" t="s">
        <v>43</v>
      </c>
      <c r="AB281">
        <v>120</v>
      </c>
      <c r="AD281" t="s">
        <v>1243</v>
      </c>
      <c r="AE281" t="s">
        <v>1244</v>
      </c>
    </row>
    <row r="282" spans="1:31" x14ac:dyDescent="0.25">
      <c r="A282" t="s">
        <v>31</v>
      </c>
      <c r="B282" t="s">
        <v>11350</v>
      </c>
      <c r="C282" t="s">
        <v>647</v>
      </c>
      <c r="D282" t="s">
        <v>1211</v>
      </c>
      <c r="E282" t="s">
        <v>362</v>
      </c>
      <c r="F282" t="s">
        <v>649</v>
      </c>
      <c r="G282">
        <v>2022</v>
      </c>
      <c r="H282" t="s">
        <v>36</v>
      </c>
      <c r="I282" t="s">
        <v>1212</v>
      </c>
      <c r="J282" t="s">
        <v>31</v>
      </c>
      <c r="K282" t="s">
        <v>38</v>
      </c>
      <c r="L282" t="s">
        <v>133</v>
      </c>
      <c r="M282" t="s">
        <v>134</v>
      </c>
      <c r="N282" t="s">
        <v>1213</v>
      </c>
      <c r="P282" t="s">
        <v>1214</v>
      </c>
      <c r="T282">
        <v>45.921375077</v>
      </c>
      <c r="U282">
        <v>-119.231442918</v>
      </c>
      <c r="V282">
        <f>SUM(W282:X282)+(Y282*0.8)+(Z282*0.4)</f>
        <v>120</v>
      </c>
      <c r="W282">
        <v>120</v>
      </c>
      <c r="X282">
        <v>0</v>
      </c>
      <c r="Y282">
        <v>0</v>
      </c>
      <c r="Z282">
        <v>0</v>
      </c>
      <c r="AA282" t="s">
        <v>43</v>
      </c>
      <c r="AB282">
        <v>120</v>
      </c>
      <c r="AD282" t="s">
        <v>1215</v>
      </c>
      <c r="AE282" t="s">
        <v>1216</v>
      </c>
    </row>
    <row r="283" spans="1:31" x14ac:dyDescent="0.25">
      <c r="A283" t="s">
        <v>31</v>
      </c>
      <c r="B283" t="s">
        <v>11350</v>
      </c>
      <c r="C283" t="s">
        <v>647</v>
      </c>
      <c r="D283" t="s">
        <v>1207</v>
      </c>
      <c r="E283" t="s">
        <v>362</v>
      </c>
      <c r="F283" t="s">
        <v>649</v>
      </c>
      <c r="G283">
        <v>2021</v>
      </c>
      <c r="H283" t="s">
        <v>36</v>
      </c>
      <c r="I283" t="s">
        <v>1208</v>
      </c>
      <c r="J283" t="s">
        <v>31</v>
      </c>
      <c r="K283" t="s">
        <v>38</v>
      </c>
      <c r="L283" t="s">
        <v>133</v>
      </c>
      <c r="M283" t="s">
        <v>134</v>
      </c>
      <c r="N283" t="s">
        <v>1202</v>
      </c>
      <c r="T283">
        <v>45.859863287000003</v>
      </c>
      <c r="U283">
        <v>-119.608704664</v>
      </c>
      <c r="V283">
        <f>SUM(W283:X283)+(Y283*0.8)+(Z283*0.4)</f>
        <v>120</v>
      </c>
      <c r="W283">
        <v>120</v>
      </c>
      <c r="X283">
        <v>0</v>
      </c>
      <c r="Y283">
        <v>0</v>
      </c>
      <c r="Z283">
        <v>0</v>
      </c>
      <c r="AA283" t="s">
        <v>43</v>
      </c>
      <c r="AB283">
        <v>120</v>
      </c>
      <c r="AD283" t="s">
        <v>1209</v>
      </c>
      <c r="AE283" t="s">
        <v>1210</v>
      </c>
    </row>
    <row r="284" spans="1:31" x14ac:dyDescent="0.25">
      <c r="A284" t="s">
        <v>31</v>
      </c>
      <c r="B284" t="s">
        <v>11350</v>
      </c>
      <c r="C284" t="s">
        <v>6116</v>
      </c>
      <c r="D284" t="s">
        <v>6189</v>
      </c>
      <c r="E284" t="s">
        <v>362</v>
      </c>
      <c r="F284" t="s">
        <v>649</v>
      </c>
      <c r="G284">
        <v>2020</v>
      </c>
      <c r="H284" t="s">
        <v>36</v>
      </c>
      <c r="I284" t="s">
        <v>6190</v>
      </c>
      <c r="J284" t="s">
        <v>31</v>
      </c>
      <c r="K284" t="s">
        <v>38</v>
      </c>
      <c r="L284" t="s">
        <v>1457</v>
      </c>
      <c r="M284" t="s">
        <v>1458</v>
      </c>
      <c r="N284" t="s">
        <v>319</v>
      </c>
      <c r="O284" t="s">
        <v>6189</v>
      </c>
      <c r="P284" t="s">
        <v>6191</v>
      </c>
      <c r="T284">
        <v>36.058109999999999</v>
      </c>
      <c r="U284">
        <v>-115.00897000000001</v>
      </c>
      <c r="V284">
        <f>SUM(W284:X284)+(Y284*0.8)+(Z284*0.4)</f>
        <v>120</v>
      </c>
      <c r="W284">
        <v>120</v>
      </c>
      <c r="X284">
        <v>0</v>
      </c>
      <c r="Y284">
        <v>0</v>
      </c>
      <c r="Z284">
        <v>0</v>
      </c>
      <c r="AA284" t="s">
        <v>43</v>
      </c>
      <c r="AB284">
        <v>120</v>
      </c>
      <c r="AD284" t="s">
        <v>6192</v>
      </c>
      <c r="AE284" t="s">
        <v>6193</v>
      </c>
    </row>
    <row r="285" spans="1:31" x14ac:dyDescent="0.25">
      <c r="A285" t="s">
        <v>31</v>
      </c>
      <c r="B285" t="s">
        <v>11350</v>
      </c>
      <c r="C285" t="s">
        <v>6116</v>
      </c>
      <c r="D285" t="s">
        <v>6297</v>
      </c>
      <c r="E285" t="s">
        <v>362</v>
      </c>
      <c r="F285" t="s">
        <v>649</v>
      </c>
      <c r="G285">
        <v>2020</v>
      </c>
      <c r="H285" t="s">
        <v>36</v>
      </c>
      <c r="I285" t="s">
        <v>6298</v>
      </c>
      <c r="J285" t="s">
        <v>31</v>
      </c>
      <c r="K285" t="s">
        <v>38</v>
      </c>
      <c r="L285" t="s">
        <v>1457</v>
      </c>
      <c r="M285" t="s">
        <v>1458</v>
      </c>
      <c r="N285" t="s">
        <v>2821</v>
      </c>
      <c r="P285" t="s">
        <v>6299</v>
      </c>
      <c r="T285">
        <v>39.496690000000001</v>
      </c>
      <c r="U285">
        <v>-119.43084500000001</v>
      </c>
      <c r="V285">
        <f>SUM(W285:X285)+(Y285*0.8)+(Z285*0.4)</f>
        <v>120</v>
      </c>
      <c r="W285">
        <v>120</v>
      </c>
      <c r="X285">
        <v>0</v>
      </c>
      <c r="Y285">
        <v>0</v>
      </c>
      <c r="Z285">
        <v>0</v>
      </c>
      <c r="AA285" t="s">
        <v>43</v>
      </c>
      <c r="AB285">
        <v>120</v>
      </c>
      <c r="AD285" t="s">
        <v>6300</v>
      </c>
      <c r="AE285" t="s">
        <v>6301</v>
      </c>
    </row>
    <row r="286" spans="1:31" x14ac:dyDescent="0.25">
      <c r="A286" t="s">
        <v>31</v>
      </c>
      <c r="C286" t="s">
        <v>9634</v>
      </c>
      <c r="D286" t="s">
        <v>9635</v>
      </c>
      <c r="E286" t="s">
        <v>34</v>
      </c>
      <c r="F286" t="s">
        <v>76</v>
      </c>
      <c r="H286" t="s">
        <v>36</v>
      </c>
      <c r="I286" t="s">
        <v>9636</v>
      </c>
      <c r="J286" t="s">
        <v>31</v>
      </c>
      <c r="K286" t="s">
        <v>38</v>
      </c>
      <c r="L286" t="s">
        <v>242</v>
      </c>
      <c r="M286" t="s">
        <v>243</v>
      </c>
      <c r="N286" t="s">
        <v>405</v>
      </c>
      <c r="O286" t="s">
        <v>1140</v>
      </c>
      <c r="P286" t="s">
        <v>1285</v>
      </c>
      <c r="T286">
        <v>39.073421447000001</v>
      </c>
      <c r="U286">
        <v>-77.508915533000007</v>
      </c>
      <c r="V286">
        <f>SUM(W286:X286)+(Y286*0.8)+(Z286*0.4)</f>
        <v>120</v>
      </c>
      <c r="W286">
        <v>0</v>
      </c>
      <c r="X286">
        <v>0</v>
      </c>
      <c r="Y286">
        <v>150</v>
      </c>
      <c r="Z286">
        <v>0</v>
      </c>
      <c r="AA286" t="s">
        <v>43</v>
      </c>
      <c r="AB286">
        <v>0</v>
      </c>
      <c r="AD286" t="s">
        <v>9637</v>
      </c>
      <c r="AE286" t="s">
        <v>9638</v>
      </c>
    </row>
    <row r="287" spans="1:31" x14ac:dyDescent="0.25">
      <c r="A287" t="s">
        <v>31</v>
      </c>
      <c r="C287" t="s">
        <v>8969</v>
      </c>
      <c r="D287" t="s">
        <v>1455</v>
      </c>
      <c r="E287" t="s">
        <v>34</v>
      </c>
      <c r="F287" t="s">
        <v>66</v>
      </c>
      <c r="H287" t="s">
        <v>36</v>
      </c>
      <c r="I287" t="s">
        <v>9026</v>
      </c>
      <c r="J287" t="s">
        <v>31</v>
      </c>
      <c r="K287" t="s">
        <v>38</v>
      </c>
      <c r="L287" t="s">
        <v>1457</v>
      </c>
      <c r="M287" t="s">
        <v>1458</v>
      </c>
      <c r="N287" t="s">
        <v>2821</v>
      </c>
      <c r="O287" t="s">
        <v>2822</v>
      </c>
      <c r="P287" t="s">
        <v>6299</v>
      </c>
      <c r="T287">
        <v>39.556970862</v>
      </c>
      <c r="U287">
        <v>-119.49917084099999</v>
      </c>
      <c r="V287">
        <f>SUM(W287:X287)+(Y287*0.8)+(Z287*0.4)</f>
        <v>120</v>
      </c>
      <c r="W287">
        <v>0</v>
      </c>
      <c r="X287">
        <v>0</v>
      </c>
      <c r="Y287">
        <v>120</v>
      </c>
      <c r="Z287">
        <v>60</v>
      </c>
      <c r="AA287" t="s">
        <v>43</v>
      </c>
      <c r="AB287">
        <v>0</v>
      </c>
      <c r="AD287" t="s">
        <v>9027</v>
      </c>
      <c r="AE287" t="s">
        <v>9028</v>
      </c>
    </row>
    <row r="288" spans="1:31" x14ac:dyDescent="0.25">
      <c r="A288" t="s">
        <v>31</v>
      </c>
      <c r="C288" t="s">
        <v>3710</v>
      </c>
      <c r="D288" t="s">
        <v>3916</v>
      </c>
      <c r="E288" t="s">
        <v>34</v>
      </c>
      <c r="F288" t="s">
        <v>66</v>
      </c>
      <c r="H288" t="s">
        <v>36</v>
      </c>
      <c r="I288" t="s">
        <v>3917</v>
      </c>
      <c r="J288" t="s">
        <v>31</v>
      </c>
      <c r="K288" t="s">
        <v>38</v>
      </c>
      <c r="L288" t="s">
        <v>185</v>
      </c>
      <c r="M288" t="s">
        <v>186</v>
      </c>
      <c r="N288" t="s">
        <v>187</v>
      </c>
      <c r="O288" t="s">
        <v>1606</v>
      </c>
      <c r="P288" t="s">
        <v>3772</v>
      </c>
      <c r="T288">
        <v>33.743195784999997</v>
      </c>
      <c r="U288">
        <v>-84.538880139</v>
      </c>
      <c r="V288">
        <f>SUM(W288:X288)+(Y288*0.8)+(Z288*0.4)</f>
        <v>120</v>
      </c>
      <c r="W288">
        <v>0</v>
      </c>
      <c r="X288">
        <v>120</v>
      </c>
      <c r="Y288">
        <v>0</v>
      </c>
      <c r="Z288">
        <v>0</v>
      </c>
      <c r="AA288" t="s">
        <v>43</v>
      </c>
      <c r="AB288">
        <v>120</v>
      </c>
      <c r="AD288" t="s">
        <v>3918</v>
      </c>
      <c r="AE288" t="s">
        <v>3919</v>
      </c>
    </row>
    <row r="289" spans="1:31" x14ac:dyDescent="0.25">
      <c r="A289" t="s">
        <v>31</v>
      </c>
      <c r="C289" t="s">
        <v>1853</v>
      </c>
      <c r="D289" t="s">
        <v>343</v>
      </c>
      <c r="E289" t="s">
        <v>34</v>
      </c>
      <c r="F289" t="s">
        <v>66</v>
      </c>
      <c r="G289">
        <v>2025</v>
      </c>
      <c r="H289" t="s">
        <v>36</v>
      </c>
      <c r="I289" t="s">
        <v>1854</v>
      </c>
      <c r="J289" t="s">
        <v>31</v>
      </c>
      <c r="K289" t="s">
        <v>38</v>
      </c>
      <c r="L289" t="s">
        <v>383</v>
      </c>
      <c r="M289" t="s">
        <v>384</v>
      </c>
      <c r="N289" t="s">
        <v>1855</v>
      </c>
      <c r="O289" t="s">
        <v>343</v>
      </c>
      <c r="P289" t="s">
        <v>1856</v>
      </c>
      <c r="T289">
        <v>36.402836043999997</v>
      </c>
      <c r="U289">
        <v>-79.988147945999998</v>
      </c>
      <c r="V289">
        <f>SUM(W289:X289)+(Y289*0.8)+(Z289*0.4)</f>
        <v>119.2</v>
      </c>
      <c r="W289">
        <v>0</v>
      </c>
      <c r="X289">
        <v>0</v>
      </c>
      <c r="Y289">
        <v>99</v>
      </c>
      <c r="Z289">
        <v>100</v>
      </c>
      <c r="AA289" t="s">
        <v>43</v>
      </c>
      <c r="AB289">
        <v>40</v>
      </c>
      <c r="AD289" t="s">
        <v>1857</v>
      </c>
      <c r="AE289" t="s">
        <v>1858</v>
      </c>
    </row>
    <row r="290" spans="1:31" x14ac:dyDescent="0.25">
      <c r="A290" t="s">
        <v>31</v>
      </c>
      <c r="C290" t="s">
        <v>3849</v>
      </c>
      <c r="D290" t="s">
        <v>4526</v>
      </c>
      <c r="E290" t="s">
        <v>34</v>
      </c>
      <c r="F290" t="s">
        <v>66</v>
      </c>
      <c r="G290">
        <v>2024</v>
      </c>
      <c r="H290" t="s">
        <v>36</v>
      </c>
      <c r="I290" t="s">
        <v>4527</v>
      </c>
      <c r="J290" t="s">
        <v>31</v>
      </c>
      <c r="K290" t="s">
        <v>38</v>
      </c>
      <c r="L290" t="s">
        <v>68</v>
      </c>
      <c r="M290" t="s">
        <v>69</v>
      </c>
      <c r="N290" t="s">
        <v>297</v>
      </c>
      <c r="O290" t="s">
        <v>4528</v>
      </c>
      <c r="P290" t="s">
        <v>4529</v>
      </c>
      <c r="T290">
        <v>32.977531913</v>
      </c>
      <c r="U290">
        <v>-96.651213991000006</v>
      </c>
      <c r="V290">
        <f>SUM(W290:X290)+(Y290*0.8)+(Z290*0.4)</f>
        <v>118</v>
      </c>
      <c r="W290">
        <v>50</v>
      </c>
      <c r="X290">
        <v>48</v>
      </c>
      <c r="Y290">
        <v>0</v>
      </c>
      <c r="Z290">
        <v>50</v>
      </c>
      <c r="AA290" t="s">
        <v>43</v>
      </c>
      <c r="AB290">
        <v>98</v>
      </c>
      <c r="AD290" t="s">
        <v>4530</v>
      </c>
      <c r="AE290" t="s">
        <v>4531</v>
      </c>
    </row>
    <row r="291" spans="1:31" x14ac:dyDescent="0.25">
      <c r="A291" t="s">
        <v>31</v>
      </c>
      <c r="C291" t="s">
        <v>506</v>
      </c>
      <c r="D291" t="s">
        <v>530</v>
      </c>
      <c r="E291" t="s">
        <v>34</v>
      </c>
      <c r="F291" t="s">
        <v>66</v>
      </c>
      <c r="G291">
        <v>2026</v>
      </c>
      <c r="H291" t="s">
        <v>36</v>
      </c>
      <c r="I291" t="s">
        <v>531</v>
      </c>
      <c r="J291" t="s">
        <v>31</v>
      </c>
      <c r="K291" t="s">
        <v>38</v>
      </c>
      <c r="L291" t="s">
        <v>317</v>
      </c>
      <c r="M291" t="s">
        <v>318</v>
      </c>
      <c r="N291" t="s">
        <v>532</v>
      </c>
      <c r="O291" t="s">
        <v>533</v>
      </c>
      <c r="P291" t="s">
        <v>534</v>
      </c>
      <c r="S291" t="s">
        <v>535</v>
      </c>
      <c r="T291">
        <v>40.182798331999997</v>
      </c>
      <c r="U291">
        <v>-81.871057088000001</v>
      </c>
      <c r="V291">
        <f>SUM(W291:X291)+(Y291*0.8)+(Z291*0.4)</f>
        <v>117</v>
      </c>
      <c r="W291">
        <v>0</v>
      </c>
      <c r="X291">
        <v>9</v>
      </c>
      <c r="Y291">
        <v>135</v>
      </c>
      <c r="Z291">
        <v>0</v>
      </c>
      <c r="AA291" t="s">
        <v>43</v>
      </c>
      <c r="AB291">
        <v>144</v>
      </c>
      <c r="AD291" t="s">
        <v>536</v>
      </c>
      <c r="AE291" t="s">
        <v>537</v>
      </c>
    </row>
    <row r="292" spans="1:31" x14ac:dyDescent="0.25">
      <c r="A292" t="s">
        <v>31</v>
      </c>
      <c r="B292" t="s">
        <v>11350</v>
      </c>
      <c r="C292" t="s">
        <v>6116</v>
      </c>
      <c r="D292" t="s">
        <v>4137</v>
      </c>
      <c r="E292" t="s">
        <v>362</v>
      </c>
      <c r="F292" t="s">
        <v>649</v>
      </c>
      <c r="G292">
        <v>2007</v>
      </c>
      <c r="H292" t="s">
        <v>36</v>
      </c>
      <c r="I292" t="s">
        <v>6121</v>
      </c>
      <c r="J292" t="s">
        <v>31</v>
      </c>
      <c r="K292" t="s">
        <v>38</v>
      </c>
      <c r="L292" t="s">
        <v>2437</v>
      </c>
      <c r="M292" t="s">
        <v>2438</v>
      </c>
      <c r="N292" t="s">
        <v>4137</v>
      </c>
      <c r="S292" t="s">
        <v>6122</v>
      </c>
      <c r="T292">
        <v>33.063974995000002</v>
      </c>
      <c r="U292">
        <v>-80.042436788000003</v>
      </c>
      <c r="V292">
        <f>SUM(W292:X292)+(Y292*0.8)+(Z292*0.4)</f>
        <v>116.4</v>
      </c>
      <c r="W292">
        <v>112</v>
      </c>
      <c r="X292">
        <v>0</v>
      </c>
      <c r="Y292">
        <v>0</v>
      </c>
      <c r="Z292">
        <v>11</v>
      </c>
      <c r="AA292" t="s">
        <v>43</v>
      </c>
      <c r="AB292">
        <v>112</v>
      </c>
      <c r="AC292">
        <v>1.1100000000000001</v>
      </c>
      <c r="AD292" t="s">
        <v>6123</v>
      </c>
      <c r="AE292" t="s">
        <v>6124</v>
      </c>
    </row>
    <row r="293" spans="1:31" x14ac:dyDescent="0.25">
      <c r="A293" t="s">
        <v>31</v>
      </c>
      <c r="B293" t="s">
        <v>11350</v>
      </c>
      <c r="C293" t="s">
        <v>7857</v>
      </c>
      <c r="D293" t="s">
        <v>8151</v>
      </c>
      <c r="E293" t="s">
        <v>362</v>
      </c>
      <c r="F293" t="s">
        <v>43</v>
      </c>
      <c r="G293">
        <v>2027</v>
      </c>
      <c r="H293" t="s">
        <v>36</v>
      </c>
      <c r="I293" t="s">
        <v>8152</v>
      </c>
      <c r="J293" t="s">
        <v>31</v>
      </c>
      <c r="K293" t="s">
        <v>38</v>
      </c>
      <c r="L293" t="s">
        <v>68</v>
      </c>
      <c r="M293" t="s">
        <v>69</v>
      </c>
      <c r="N293" t="s">
        <v>7893</v>
      </c>
      <c r="P293" t="s">
        <v>8153</v>
      </c>
      <c r="T293">
        <v>29.352081508000001</v>
      </c>
      <c r="U293">
        <v>-98.938863392000002</v>
      </c>
      <c r="V293">
        <f>SUM(W293:X293)+(Y293*0.8)+(Z293*0.4)</f>
        <v>116</v>
      </c>
      <c r="W293">
        <v>0</v>
      </c>
      <c r="X293">
        <v>0</v>
      </c>
      <c r="Y293">
        <v>0</v>
      </c>
      <c r="Z293">
        <v>290</v>
      </c>
      <c r="AA293" t="s">
        <v>43</v>
      </c>
      <c r="AB293">
        <v>0</v>
      </c>
      <c r="AD293" t="s">
        <v>8154</v>
      </c>
      <c r="AE293" t="s">
        <v>8155</v>
      </c>
    </row>
    <row r="294" spans="1:31" x14ac:dyDescent="0.25">
      <c r="A294" t="s">
        <v>31</v>
      </c>
      <c r="B294" t="s">
        <v>11350</v>
      </c>
      <c r="C294" t="s">
        <v>7684</v>
      </c>
      <c r="D294" t="s">
        <v>5056</v>
      </c>
      <c r="E294" t="s">
        <v>362</v>
      </c>
      <c r="F294" t="s">
        <v>7686</v>
      </c>
      <c r="G294">
        <v>2024</v>
      </c>
      <c r="H294" t="s">
        <v>36</v>
      </c>
      <c r="I294" t="s">
        <v>7738</v>
      </c>
      <c r="J294" t="s">
        <v>31</v>
      </c>
      <c r="K294" t="s">
        <v>38</v>
      </c>
      <c r="L294" t="s">
        <v>1900</v>
      </c>
      <c r="M294" t="s">
        <v>1901</v>
      </c>
      <c r="N294" t="s">
        <v>5058</v>
      </c>
      <c r="O294" t="s">
        <v>5056</v>
      </c>
      <c r="Q294" t="s">
        <v>5060</v>
      </c>
      <c r="S294" t="s">
        <v>6269</v>
      </c>
      <c r="T294">
        <v>39.323263648000001</v>
      </c>
      <c r="U294">
        <v>-94.588859716000002</v>
      </c>
      <c r="V294">
        <f>SUM(W294:X294)+(Y294*0.8)+(Z294*0.4)</f>
        <v>116</v>
      </c>
      <c r="W294">
        <v>116</v>
      </c>
      <c r="X294">
        <v>0</v>
      </c>
      <c r="Y294">
        <v>0</v>
      </c>
      <c r="Z294">
        <v>0</v>
      </c>
      <c r="AA294" t="s">
        <v>43</v>
      </c>
      <c r="AB294">
        <v>116</v>
      </c>
      <c r="AD294" t="s">
        <v>7739</v>
      </c>
      <c r="AE294" t="s">
        <v>7740</v>
      </c>
    </row>
    <row r="295" spans="1:31" x14ac:dyDescent="0.25">
      <c r="A295" t="s">
        <v>31</v>
      </c>
      <c r="C295" t="s">
        <v>7638</v>
      </c>
      <c r="D295" t="s">
        <v>7653</v>
      </c>
      <c r="E295" t="s">
        <v>34</v>
      </c>
      <c r="F295" t="s">
        <v>43</v>
      </c>
      <c r="G295">
        <v>2028</v>
      </c>
      <c r="H295" t="s">
        <v>36</v>
      </c>
      <c r="I295" t="s">
        <v>7654</v>
      </c>
      <c r="J295" t="s">
        <v>31</v>
      </c>
      <c r="K295" t="s">
        <v>38</v>
      </c>
      <c r="L295" t="s">
        <v>242</v>
      </c>
      <c r="M295" t="s">
        <v>243</v>
      </c>
      <c r="N295" t="s">
        <v>405</v>
      </c>
      <c r="O295" t="s">
        <v>526</v>
      </c>
      <c r="P295" t="s">
        <v>527</v>
      </c>
      <c r="T295">
        <v>39.000704091999999</v>
      </c>
      <c r="U295">
        <v>-77.446399377999995</v>
      </c>
      <c r="V295">
        <f>SUM(W295:X295)+(Y295*0.8)+(Z295*0.4)</f>
        <v>115.2</v>
      </c>
      <c r="W295">
        <v>0</v>
      </c>
      <c r="X295">
        <v>0</v>
      </c>
      <c r="Y295">
        <v>144</v>
      </c>
      <c r="Z295">
        <v>0</v>
      </c>
      <c r="AA295" t="s">
        <v>43</v>
      </c>
      <c r="AB295">
        <v>0</v>
      </c>
      <c r="AD295" t="s">
        <v>7655</v>
      </c>
      <c r="AE295" t="s">
        <v>7656</v>
      </c>
    </row>
    <row r="296" spans="1:31" x14ac:dyDescent="0.25">
      <c r="A296" t="s">
        <v>31</v>
      </c>
      <c r="C296" t="s">
        <v>9037</v>
      </c>
      <c r="D296" t="s">
        <v>4526</v>
      </c>
      <c r="E296" t="s">
        <v>34</v>
      </c>
      <c r="F296" t="s">
        <v>66</v>
      </c>
      <c r="G296">
        <v>2027</v>
      </c>
      <c r="H296" t="s">
        <v>36</v>
      </c>
      <c r="I296" t="s">
        <v>9053</v>
      </c>
      <c r="J296" t="s">
        <v>31</v>
      </c>
      <c r="K296" t="s">
        <v>38</v>
      </c>
      <c r="L296" t="s">
        <v>68</v>
      </c>
      <c r="M296" t="s">
        <v>69</v>
      </c>
      <c r="N296" t="s">
        <v>297</v>
      </c>
      <c r="O296" t="s">
        <v>4528</v>
      </c>
      <c r="P296" t="s">
        <v>9054</v>
      </c>
      <c r="T296">
        <v>32.958470259999999</v>
      </c>
      <c r="U296">
        <v>-96.656085329000007</v>
      </c>
      <c r="V296">
        <f>SUM(W296:X296)+(Y296*0.8)+(Z296*0.4)</f>
        <v>115.2</v>
      </c>
      <c r="W296">
        <v>0</v>
      </c>
      <c r="X296">
        <v>96</v>
      </c>
      <c r="Y296">
        <v>0</v>
      </c>
      <c r="Z296">
        <v>48</v>
      </c>
      <c r="AA296" t="s">
        <v>43</v>
      </c>
      <c r="AB296">
        <v>0</v>
      </c>
      <c r="AD296" t="s">
        <v>9055</v>
      </c>
      <c r="AE296" t="s">
        <v>9056</v>
      </c>
    </row>
    <row r="297" spans="1:31" x14ac:dyDescent="0.25">
      <c r="A297" t="s">
        <v>31</v>
      </c>
      <c r="C297" t="s">
        <v>370</v>
      </c>
      <c r="D297" t="s">
        <v>371</v>
      </c>
      <c r="E297" t="s">
        <v>362</v>
      </c>
      <c r="F297" t="s">
        <v>372</v>
      </c>
      <c r="G297">
        <v>2022</v>
      </c>
      <c r="H297" t="s">
        <v>36</v>
      </c>
      <c r="I297" t="s">
        <v>373</v>
      </c>
      <c r="J297" t="s">
        <v>31</v>
      </c>
      <c r="K297" t="s">
        <v>38</v>
      </c>
      <c r="L297" t="s">
        <v>143</v>
      </c>
      <c r="M297" t="s">
        <v>144</v>
      </c>
      <c r="N297" t="s">
        <v>374</v>
      </c>
      <c r="O297" t="s">
        <v>375</v>
      </c>
      <c r="Q297" t="s">
        <v>376</v>
      </c>
      <c r="T297">
        <v>39.067889000000001</v>
      </c>
      <c r="U297">
        <v>-87.513056000000006</v>
      </c>
      <c r="V297">
        <f>SUM(W297:X297)+(Y297*0.8)+(Z297*0.4)</f>
        <v>115</v>
      </c>
      <c r="W297">
        <v>115</v>
      </c>
      <c r="X297">
        <v>0</v>
      </c>
      <c r="Y297">
        <v>0</v>
      </c>
      <c r="Z297">
        <v>0</v>
      </c>
      <c r="AA297" t="s">
        <v>43</v>
      </c>
      <c r="AB297">
        <v>115</v>
      </c>
      <c r="AD297" t="s">
        <v>377</v>
      </c>
      <c r="AE297" t="s">
        <v>378</v>
      </c>
    </row>
    <row r="298" spans="1:31" x14ac:dyDescent="0.25">
      <c r="A298" t="s">
        <v>31</v>
      </c>
      <c r="C298" t="s">
        <v>2535</v>
      </c>
      <c r="D298" t="s">
        <v>2549</v>
      </c>
      <c r="E298" t="s">
        <v>34</v>
      </c>
      <c r="F298" t="s">
        <v>76</v>
      </c>
      <c r="H298" t="s">
        <v>36</v>
      </c>
      <c r="I298" t="s">
        <v>2550</v>
      </c>
      <c r="J298" t="s">
        <v>31</v>
      </c>
      <c r="K298" t="s">
        <v>38</v>
      </c>
      <c r="L298" t="s">
        <v>242</v>
      </c>
      <c r="M298" t="s">
        <v>243</v>
      </c>
      <c r="N298" t="s">
        <v>748</v>
      </c>
      <c r="P298" t="s">
        <v>2551</v>
      </c>
      <c r="T298">
        <v>38.460210482999997</v>
      </c>
      <c r="U298">
        <v>-77.977319320999996</v>
      </c>
      <c r="V298">
        <f>SUM(W298:X298)+(Y298*0.8)+(Z298*0.4)</f>
        <v>113.60000000000001</v>
      </c>
      <c r="W298">
        <v>0</v>
      </c>
      <c r="X298">
        <v>0</v>
      </c>
      <c r="Y298">
        <v>142</v>
      </c>
      <c r="Z298">
        <v>0</v>
      </c>
      <c r="AA298" t="s">
        <v>43</v>
      </c>
      <c r="AB298">
        <v>0</v>
      </c>
      <c r="AD298" t="s">
        <v>2552</v>
      </c>
      <c r="AE298" t="s">
        <v>2553</v>
      </c>
    </row>
    <row r="299" spans="1:31" x14ac:dyDescent="0.25">
      <c r="A299" t="s">
        <v>31</v>
      </c>
      <c r="C299" t="s">
        <v>3312</v>
      </c>
      <c r="D299" t="s">
        <v>3444</v>
      </c>
      <c r="E299" t="s">
        <v>34</v>
      </c>
      <c r="F299" t="s">
        <v>66</v>
      </c>
      <c r="G299">
        <v>2026</v>
      </c>
      <c r="H299" t="s">
        <v>36</v>
      </c>
      <c r="I299" t="s">
        <v>325</v>
      </c>
      <c r="J299" t="s">
        <v>31</v>
      </c>
      <c r="K299" t="s">
        <v>38</v>
      </c>
      <c r="L299" t="s">
        <v>326</v>
      </c>
      <c r="M299" t="s">
        <v>327</v>
      </c>
      <c r="N299" t="s">
        <v>328</v>
      </c>
      <c r="O299" t="s">
        <v>1160</v>
      </c>
      <c r="P299" t="s">
        <v>1165</v>
      </c>
      <c r="T299">
        <v>33.356202000000003</v>
      </c>
      <c r="U299">
        <v>-111.622496</v>
      </c>
      <c r="V299">
        <f>SUM(W299:X299)+(Y299*0.8)+(Z299*0.4)</f>
        <v>113.4</v>
      </c>
      <c r="W299">
        <v>0</v>
      </c>
      <c r="X299">
        <v>0</v>
      </c>
      <c r="Y299">
        <v>81</v>
      </c>
      <c r="Z299">
        <v>121.5</v>
      </c>
      <c r="AA299" t="s">
        <v>43</v>
      </c>
      <c r="AB299">
        <v>0</v>
      </c>
      <c r="AD299" t="s">
        <v>3445</v>
      </c>
      <c r="AE299" t="s">
        <v>3446</v>
      </c>
    </row>
    <row r="300" spans="1:31" x14ac:dyDescent="0.25">
      <c r="A300" t="s">
        <v>31</v>
      </c>
      <c r="B300" t="s">
        <v>11350</v>
      </c>
      <c r="C300" t="s">
        <v>7857</v>
      </c>
      <c r="D300" t="s">
        <v>7920</v>
      </c>
      <c r="E300" t="s">
        <v>362</v>
      </c>
      <c r="F300" t="s">
        <v>649</v>
      </c>
      <c r="G300">
        <v>2025</v>
      </c>
      <c r="H300" t="s">
        <v>36</v>
      </c>
      <c r="I300" t="s">
        <v>7921</v>
      </c>
      <c r="J300" t="s">
        <v>31</v>
      </c>
      <c r="K300" t="s">
        <v>38</v>
      </c>
      <c r="L300" t="s">
        <v>185</v>
      </c>
      <c r="M300" t="s">
        <v>186</v>
      </c>
      <c r="N300" t="s">
        <v>187</v>
      </c>
      <c r="O300" t="s">
        <v>1606</v>
      </c>
      <c r="P300" t="s">
        <v>7922</v>
      </c>
      <c r="T300">
        <v>33.642634317999999</v>
      </c>
      <c r="U300">
        <v>-84.516453600000006</v>
      </c>
      <c r="V300">
        <f>SUM(W300:X300)+(Y300*0.8)+(Z300*0.4)</f>
        <v>113.4</v>
      </c>
      <c r="W300">
        <v>56.6</v>
      </c>
      <c r="X300">
        <v>56.8</v>
      </c>
      <c r="Y300">
        <v>0</v>
      </c>
      <c r="Z300">
        <v>0</v>
      </c>
      <c r="AA300" t="s">
        <v>43</v>
      </c>
      <c r="AB300">
        <v>113.4</v>
      </c>
      <c r="AC300">
        <v>1.1200000000000001</v>
      </c>
      <c r="AD300" t="s">
        <v>7923</v>
      </c>
      <c r="AE300" t="s">
        <v>7924</v>
      </c>
    </row>
    <row r="301" spans="1:31" x14ac:dyDescent="0.25">
      <c r="A301" t="s">
        <v>31</v>
      </c>
      <c r="B301" t="s">
        <v>11350</v>
      </c>
      <c r="C301" t="s">
        <v>1430</v>
      </c>
      <c r="D301" t="s">
        <v>1439</v>
      </c>
      <c r="E301" t="s">
        <v>362</v>
      </c>
      <c r="F301" t="s">
        <v>1302</v>
      </c>
      <c r="G301">
        <v>2010</v>
      </c>
      <c r="H301" t="s">
        <v>36</v>
      </c>
      <c r="I301" t="s">
        <v>1440</v>
      </c>
      <c r="J301" t="s">
        <v>31</v>
      </c>
      <c r="K301" t="s">
        <v>38</v>
      </c>
      <c r="L301" t="s">
        <v>383</v>
      </c>
      <c r="M301" t="s">
        <v>384</v>
      </c>
      <c r="N301" t="s">
        <v>1441</v>
      </c>
      <c r="O301" t="s">
        <v>1442</v>
      </c>
      <c r="T301">
        <v>35.588106646999996</v>
      </c>
      <c r="U301">
        <v>-81.262404846999999</v>
      </c>
      <c r="V301">
        <f>SUM(W301:X301)+(Y301*0.8)+(Z301*0.4)</f>
        <v>113</v>
      </c>
      <c r="W301">
        <v>73</v>
      </c>
      <c r="X301">
        <v>40</v>
      </c>
      <c r="Y301">
        <v>0</v>
      </c>
      <c r="Z301">
        <v>0</v>
      </c>
      <c r="AA301" t="s">
        <v>43</v>
      </c>
      <c r="AB301">
        <v>113</v>
      </c>
      <c r="AD301" t="s">
        <v>1443</v>
      </c>
      <c r="AE301" t="s">
        <v>1444</v>
      </c>
    </row>
    <row r="302" spans="1:31" x14ac:dyDescent="0.25">
      <c r="A302" t="s">
        <v>31</v>
      </c>
      <c r="C302" t="s">
        <v>1665</v>
      </c>
      <c r="D302" t="s">
        <v>1678</v>
      </c>
      <c r="E302" t="s">
        <v>34</v>
      </c>
      <c r="F302" t="s">
        <v>43</v>
      </c>
      <c r="G302">
        <v>2032</v>
      </c>
      <c r="H302" t="s">
        <v>36</v>
      </c>
      <c r="I302" t="s">
        <v>1679</v>
      </c>
      <c r="J302" t="s">
        <v>31</v>
      </c>
      <c r="K302" t="s">
        <v>38</v>
      </c>
      <c r="L302" t="s">
        <v>185</v>
      </c>
      <c r="M302" t="s">
        <v>186</v>
      </c>
      <c r="N302" t="s">
        <v>1680</v>
      </c>
      <c r="O302" t="s">
        <v>1681</v>
      </c>
      <c r="P302" t="s">
        <v>1682</v>
      </c>
      <c r="T302">
        <v>34.266829999999999</v>
      </c>
      <c r="U302">
        <v>-85.298609999999996</v>
      </c>
      <c r="V302">
        <f>SUM(W302:X302)+(Y302*0.8)+(Z302*0.4)</f>
        <v>112</v>
      </c>
      <c r="W302">
        <v>0</v>
      </c>
      <c r="X302">
        <v>0</v>
      </c>
      <c r="Y302">
        <v>0</v>
      </c>
      <c r="Z302">
        <v>280</v>
      </c>
      <c r="AA302" t="s">
        <v>43</v>
      </c>
      <c r="AB302">
        <v>0</v>
      </c>
      <c r="AD302" t="s">
        <v>1683</v>
      </c>
      <c r="AE302" t="s">
        <v>1684</v>
      </c>
    </row>
    <row r="303" spans="1:31" x14ac:dyDescent="0.25">
      <c r="A303" t="s">
        <v>31</v>
      </c>
      <c r="B303" t="s">
        <v>11350</v>
      </c>
      <c r="C303" t="s">
        <v>647</v>
      </c>
      <c r="D303" t="s">
        <v>1138</v>
      </c>
      <c r="E303" t="s">
        <v>362</v>
      </c>
      <c r="F303" t="s">
        <v>649</v>
      </c>
      <c r="G303">
        <v>2030</v>
      </c>
      <c r="H303" t="s">
        <v>36</v>
      </c>
      <c r="I303" t="s">
        <v>1139</v>
      </c>
      <c r="J303" t="s">
        <v>31</v>
      </c>
      <c r="K303" t="s">
        <v>38</v>
      </c>
      <c r="L303" t="s">
        <v>242</v>
      </c>
      <c r="M303" t="s">
        <v>243</v>
      </c>
      <c r="N303" t="s">
        <v>405</v>
      </c>
      <c r="O303" t="s">
        <v>1140</v>
      </c>
      <c r="P303" t="s">
        <v>1141</v>
      </c>
      <c r="T303">
        <v>39.069169445999997</v>
      </c>
      <c r="U303">
        <v>-77.531089277000007</v>
      </c>
      <c r="V303">
        <f>SUM(W303:X303)+(Y303*0.8)+(Z303*0.4)</f>
        <v>112</v>
      </c>
      <c r="W303">
        <v>0</v>
      </c>
      <c r="X303">
        <v>0</v>
      </c>
      <c r="Y303">
        <v>0</v>
      </c>
      <c r="Z303">
        <v>280</v>
      </c>
      <c r="AA303" t="s">
        <v>43</v>
      </c>
      <c r="AB303">
        <v>0</v>
      </c>
      <c r="AD303" t="s">
        <v>1142</v>
      </c>
      <c r="AE303" t="s">
        <v>1143</v>
      </c>
    </row>
    <row r="304" spans="1:31" x14ac:dyDescent="0.25">
      <c r="A304" t="s">
        <v>31</v>
      </c>
      <c r="C304" t="s">
        <v>1665</v>
      </c>
      <c r="D304" t="s">
        <v>1666</v>
      </c>
      <c r="E304" t="s">
        <v>34</v>
      </c>
      <c r="F304" t="s">
        <v>66</v>
      </c>
      <c r="H304" t="s">
        <v>36</v>
      </c>
      <c r="I304" t="s">
        <v>1667</v>
      </c>
      <c r="J304" t="s">
        <v>31</v>
      </c>
      <c r="K304" t="s">
        <v>38</v>
      </c>
      <c r="L304" t="s">
        <v>185</v>
      </c>
      <c r="M304" t="s">
        <v>186</v>
      </c>
      <c r="N304" t="s">
        <v>1668</v>
      </c>
      <c r="O304" t="s">
        <v>1669</v>
      </c>
      <c r="P304" t="s">
        <v>1670</v>
      </c>
      <c r="T304">
        <v>33.7077837</v>
      </c>
      <c r="U304">
        <v>-84.944738275000006</v>
      </c>
      <c r="V304">
        <f>SUM(W304:X304)+(Y304*0.8)+(Z304*0.4)</f>
        <v>112</v>
      </c>
      <c r="W304">
        <v>0</v>
      </c>
      <c r="X304">
        <v>0</v>
      </c>
      <c r="Y304">
        <v>0</v>
      </c>
      <c r="Z304">
        <v>280</v>
      </c>
      <c r="AA304" t="s">
        <v>43</v>
      </c>
      <c r="AB304">
        <v>0</v>
      </c>
      <c r="AD304" t="s">
        <v>1671</v>
      </c>
      <c r="AE304" t="s">
        <v>1672</v>
      </c>
    </row>
    <row r="305" spans="1:31" x14ac:dyDescent="0.25">
      <c r="A305" t="s">
        <v>31</v>
      </c>
      <c r="C305" t="s">
        <v>506</v>
      </c>
      <c r="D305" t="s">
        <v>611</v>
      </c>
      <c r="E305" t="s">
        <v>34</v>
      </c>
      <c r="F305" t="s">
        <v>66</v>
      </c>
      <c r="H305" t="s">
        <v>36</v>
      </c>
      <c r="I305" t="s">
        <v>612</v>
      </c>
      <c r="J305" t="s">
        <v>31</v>
      </c>
      <c r="K305" t="s">
        <v>38</v>
      </c>
      <c r="L305" t="s">
        <v>77</v>
      </c>
      <c r="M305" t="s">
        <v>78</v>
      </c>
      <c r="N305" t="s">
        <v>613</v>
      </c>
      <c r="O305" t="s">
        <v>614</v>
      </c>
      <c r="P305" t="s">
        <v>615</v>
      </c>
      <c r="T305">
        <v>40.627717187000002</v>
      </c>
      <c r="U305">
        <v>-80.420638479000004</v>
      </c>
      <c r="V305">
        <f>SUM(W305:X305)+(Y305*0.8)+(Z305*0.4)</f>
        <v>111.66800000000001</v>
      </c>
      <c r="W305">
        <v>0</v>
      </c>
      <c r="X305">
        <v>0</v>
      </c>
      <c r="Y305">
        <v>0</v>
      </c>
      <c r="Z305">
        <v>279.17</v>
      </c>
      <c r="AA305" t="s">
        <v>43</v>
      </c>
      <c r="AB305">
        <v>0</v>
      </c>
      <c r="AD305" t="s">
        <v>616</v>
      </c>
      <c r="AE305" t="s">
        <v>617</v>
      </c>
    </row>
    <row r="306" spans="1:31" x14ac:dyDescent="0.25">
      <c r="A306" t="s">
        <v>31</v>
      </c>
      <c r="C306" t="s">
        <v>3179</v>
      </c>
      <c r="D306" t="s">
        <v>3192</v>
      </c>
      <c r="E306" t="s">
        <v>34</v>
      </c>
      <c r="F306" t="s">
        <v>76</v>
      </c>
      <c r="H306" t="s">
        <v>36</v>
      </c>
      <c r="I306" t="s">
        <v>3193</v>
      </c>
      <c r="J306" t="s">
        <v>31</v>
      </c>
      <c r="K306" t="s">
        <v>38</v>
      </c>
      <c r="L306" t="s">
        <v>77</v>
      </c>
      <c r="M306" t="s">
        <v>78</v>
      </c>
      <c r="N306" t="s">
        <v>1843</v>
      </c>
      <c r="O306" t="s">
        <v>3194</v>
      </c>
      <c r="P306" t="s">
        <v>3195</v>
      </c>
      <c r="T306">
        <v>40.059489511000002</v>
      </c>
      <c r="U306">
        <v>-76.329473729</v>
      </c>
      <c r="V306">
        <f>SUM(W306:X306)+(Y306*0.8)+(Z306*0.4)</f>
        <v>111.2</v>
      </c>
      <c r="W306">
        <v>0</v>
      </c>
      <c r="X306">
        <v>0</v>
      </c>
      <c r="Y306">
        <v>0</v>
      </c>
      <c r="Z306">
        <v>278</v>
      </c>
      <c r="AA306" t="s">
        <v>43</v>
      </c>
      <c r="AB306">
        <v>0</v>
      </c>
      <c r="AD306" t="s">
        <v>3196</v>
      </c>
      <c r="AE306" t="s">
        <v>3197</v>
      </c>
    </row>
    <row r="307" spans="1:31" x14ac:dyDescent="0.25">
      <c r="A307" t="s">
        <v>31</v>
      </c>
      <c r="C307" t="s">
        <v>10319</v>
      </c>
      <c r="D307" t="s">
        <v>10320</v>
      </c>
      <c r="E307" t="s">
        <v>34</v>
      </c>
      <c r="F307" t="s">
        <v>43</v>
      </c>
      <c r="G307">
        <v>2026</v>
      </c>
      <c r="H307" t="s">
        <v>411</v>
      </c>
      <c r="I307" t="s">
        <v>10321</v>
      </c>
      <c r="J307" t="s">
        <v>31</v>
      </c>
      <c r="K307" t="s">
        <v>38</v>
      </c>
      <c r="L307" t="s">
        <v>123</v>
      </c>
      <c r="M307" t="s">
        <v>124</v>
      </c>
      <c r="N307" t="s">
        <v>10322</v>
      </c>
      <c r="O307" t="s">
        <v>10323</v>
      </c>
      <c r="P307" t="s">
        <v>10324</v>
      </c>
      <c r="S307" t="s">
        <v>10325</v>
      </c>
      <c r="T307">
        <v>42.606325310000003</v>
      </c>
      <c r="U307">
        <v>-76.631221654000001</v>
      </c>
      <c r="V307">
        <f>SUM(W307:X307)+(Y307*0.8)+(Z307*0.4)</f>
        <v>110.4</v>
      </c>
      <c r="W307">
        <v>0</v>
      </c>
      <c r="X307">
        <v>0</v>
      </c>
      <c r="Y307">
        <v>138</v>
      </c>
      <c r="Z307">
        <v>0</v>
      </c>
      <c r="AA307" t="s">
        <v>43</v>
      </c>
      <c r="AB307">
        <v>0</v>
      </c>
      <c r="AD307" t="s">
        <v>10326</v>
      </c>
      <c r="AE307" t="s">
        <v>10327</v>
      </c>
    </row>
    <row r="308" spans="1:31" x14ac:dyDescent="0.25">
      <c r="A308" t="s">
        <v>31</v>
      </c>
      <c r="C308" t="s">
        <v>8349</v>
      </c>
      <c r="D308" t="s">
        <v>8350</v>
      </c>
      <c r="E308" t="s">
        <v>34</v>
      </c>
      <c r="F308" t="s">
        <v>43</v>
      </c>
      <c r="H308" t="s">
        <v>36</v>
      </c>
      <c r="I308" t="s">
        <v>8351</v>
      </c>
      <c r="J308" t="s">
        <v>31</v>
      </c>
      <c r="K308" t="s">
        <v>38</v>
      </c>
      <c r="L308" t="s">
        <v>39</v>
      </c>
      <c r="M308" t="s">
        <v>40</v>
      </c>
      <c r="N308" t="s">
        <v>487</v>
      </c>
      <c r="O308" t="s">
        <v>4015</v>
      </c>
      <c r="P308" t="s">
        <v>4016</v>
      </c>
      <c r="Q308" t="s">
        <v>4015</v>
      </c>
      <c r="T308">
        <v>39.425130557999999</v>
      </c>
      <c r="U308">
        <v>-75.014272188999996</v>
      </c>
      <c r="V308">
        <f>SUM(W308:X308)+(Y308*0.8)+(Z308*0.4)</f>
        <v>110.4</v>
      </c>
      <c r="W308">
        <v>0</v>
      </c>
      <c r="X308">
        <v>0</v>
      </c>
      <c r="Y308">
        <v>0</v>
      </c>
      <c r="Z308">
        <v>276</v>
      </c>
      <c r="AA308" t="s">
        <v>43</v>
      </c>
      <c r="AB308">
        <v>0</v>
      </c>
      <c r="AD308" t="s">
        <v>8352</v>
      </c>
      <c r="AE308" t="s">
        <v>8353</v>
      </c>
    </row>
    <row r="309" spans="1:31" x14ac:dyDescent="0.25">
      <c r="A309" t="s">
        <v>31</v>
      </c>
      <c r="B309" t="s">
        <v>11350</v>
      </c>
      <c r="C309" t="s">
        <v>647</v>
      </c>
      <c r="D309" t="s">
        <v>1261</v>
      </c>
      <c r="E309" t="s">
        <v>362</v>
      </c>
      <c r="F309" t="s">
        <v>649</v>
      </c>
      <c r="G309">
        <v>2021</v>
      </c>
      <c r="H309" t="s">
        <v>36</v>
      </c>
      <c r="I309" t="s">
        <v>1262</v>
      </c>
      <c r="J309" t="s">
        <v>31</v>
      </c>
      <c r="K309" t="s">
        <v>38</v>
      </c>
      <c r="L309" t="s">
        <v>133</v>
      </c>
      <c r="M309" t="s">
        <v>134</v>
      </c>
      <c r="N309" t="s">
        <v>1213</v>
      </c>
      <c r="T309">
        <v>45.797798546999999</v>
      </c>
      <c r="U309">
        <v>-119.366449777</v>
      </c>
      <c r="V309">
        <f>SUM(W309:X309)+(Y309*0.8)+(Z309*0.4)</f>
        <v>110</v>
      </c>
      <c r="W309">
        <v>110</v>
      </c>
      <c r="X309">
        <v>0</v>
      </c>
      <c r="Y309">
        <v>0</v>
      </c>
      <c r="Z309">
        <v>0</v>
      </c>
      <c r="AA309" t="s">
        <v>43</v>
      </c>
      <c r="AB309">
        <v>110</v>
      </c>
      <c r="AD309" t="s">
        <v>1263</v>
      </c>
      <c r="AE309" t="s">
        <v>1264</v>
      </c>
    </row>
    <row r="310" spans="1:31" x14ac:dyDescent="0.25">
      <c r="A310" t="s">
        <v>31</v>
      </c>
      <c r="B310" t="s">
        <v>11350</v>
      </c>
      <c r="C310" t="s">
        <v>647</v>
      </c>
      <c r="D310" t="s">
        <v>888</v>
      </c>
      <c r="E310" t="s">
        <v>362</v>
      </c>
      <c r="F310" t="s">
        <v>649</v>
      </c>
      <c r="G310">
        <v>2020</v>
      </c>
      <c r="H310" t="s">
        <v>36</v>
      </c>
      <c r="I310" t="s">
        <v>889</v>
      </c>
      <c r="J310" t="s">
        <v>31</v>
      </c>
      <c r="K310" t="s">
        <v>38</v>
      </c>
      <c r="L310" t="s">
        <v>242</v>
      </c>
      <c r="M310" t="s">
        <v>243</v>
      </c>
      <c r="N310" t="s">
        <v>405</v>
      </c>
      <c r="O310" t="s">
        <v>526</v>
      </c>
      <c r="P310" t="s">
        <v>527</v>
      </c>
      <c r="T310">
        <v>38.982073</v>
      </c>
      <c r="U310">
        <v>-77.417553389999995</v>
      </c>
      <c r="V310">
        <f>SUM(W310:X310)+(Y310*0.8)+(Z310*0.4)</f>
        <v>110</v>
      </c>
      <c r="W310">
        <v>110</v>
      </c>
      <c r="X310">
        <v>0</v>
      </c>
      <c r="Y310">
        <v>0</v>
      </c>
      <c r="Z310">
        <v>0</v>
      </c>
      <c r="AA310" t="s">
        <v>43</v>
      </c>
      <c r="AB310">
        <v>110</v>
      </c>
      <c r="AD310" t="s">
        <v>890</v>
      </c>
      <c r="AE310" t="s">
        <v>891</v>
      </c>
    </row>
    <row r="311" spans="1:31" x14ac:dyDescent="0.25">
      <c r="A311" t="s">
        <v>31</v>
      </c>
      <c r="B311" t="s">
        <v>11350</v>
      </c>
      <c r="C311" t="s">
        <v>647</v>
      </c>
      <c r="D311" t="s">
        <v>1265</v>
      </c>
      <c r="E311" t="s">
        <v>362</v>
      </c>
      <c r="F311" t="s">
        <v>649</v>
      </c>
      <c r="G311">
        <v>2019</v>
      </c>
      <c r="H311" t="s">
        <v>36</v>
      </c>
      <c r="I311" t="s">
        <v>1266</v>
      </c>
      <c r="J311" t="s">
        <v>31</v>
      </c>
      <c r="K311" t="s">
        <v>38</v>
      </c>
      <c r="L311" t="s">
        <v>133</v>
      </c>
      <c r="M311" t="s">
        <v>134</v>
      </c>
      <c r="N311" t="s">
        <v>1202</v>
      </c>
      <c r="O311" t="s">
        <v>1203</v>
      </c>
      <c r="P311" t="s">
        <v>1204</v>
      </c>
      <c r="T311">
        <v>45.837923781999997</v>
      </c>
      <c r="U311">
        <v>-119.68929346199999</v>
      </c>
      <c r="V311">
        <f>SUM(W311:X311)+(Y311*0.8)+(Z311*0.4)</f>
        <v>110</v>
      </c>
      <c r="W311">
        <v>110</v>
      </c>
      <c r="X311">
        <v>0</v>
      </c>
      <c r="Y311">
        <v>0</v>
      </c>
      <c r="Z311">
        <v>0</v>
      </c>
      <c r="AA311" t="s">
        <v>43</v>
      </c>
      <c r="AB311">
        <v>110</v>
      </c>
      <c r="AD311" t="s">
        <v>1267</v>
      </c>
      <c r="AE311" t="s">
        <v>1268</v>
      </c>
    </row>
    <row r="312" spans="1:31" x14ac:dyDescent="0.25">
      <c r="A312" t="s">
        <v>31</v>
      </c>
      <c r="C312" t="s">
        <v>9037</v>
      </c>
      <c r="D312" t="s">
        <v>9074</v>
      </c>
      <c r="E312" t="s">
        <v>34</v>
      </c>
      <c r="F312" t="s">
        <v>66</v>
      </c>
      <c r="H312" t="s">
        <v>36</v>
      </c>
      <c r="I312" t="s">
        <v>9075</v>
      </c>
      <c r="J312" t="s">
        <v>31</v>
      </c>
      <c r="K312" t="s">
        <v>38</v>
      </c>
      <c r="L312" t="s">
        <v>68</v>
      </c>
      <c r="M312" t="s">
        <v>69</v>
      </c>
      <c r="N312" t="s">
        <v>2289</v>
      </c>
      <c r="O312" t="s">
        <v>9076</v>
      </c>
      <c r="P312" t="s">
        <v>9077</v>
      </c>
      <c r="T312">
        <v>29.923575096</v>
      </c>
      <c r="U312">
        <v>-97.749729478000006</v>
      </c>
      <c r="V312">
        <f>SUM(W312:X312)+(Y312*0.8)+(Z312*0.4)</f>
        <v>109.80000000000001</v>
      </c>
      <c r="W312">
        <v>0</v>
      </c>
      <c r="X312">
        <v>0</v>
      </c>
      <c r="Y312">
        <v>0</v>
      </c>
      <c r="Z312">
        <v>274.5</v>
      </c>
      <c r="AA312" t="s">
        <v>43</v>
      </c>
      <c r="AB312">
        <v>0</v>
      </c>
      <c r="AD312" t="s">
        <v>9078</v>
      </c>
      <c r="AE312" t="s">
        <v>9079</v>
      </c>
    </row>
    <row r="313" spans="1:31" x14ac:dyDescent="0.25">
      <c r="A313" t="s">
        <v>31</v>
      </c>
      <c r="B313" t="s">
        <v>11350</v>
      </c>
      <c r="C313" t="s">
        <v>647</v>
      </c>
      <c r="D313" t="s">
        <v>916</v>
      </c>
      <c r="E313" t="s">
        <v>362</v>
      </c>
      <c r="F313" t="s">
        <v>649</v>
      </c>
      <c r="G313">
        <v>2030</v>
      </c>
      <c r="H313" t="s">
        <v>36</v>
      </c>
      <c r="I313" t="s">
        <v>917</v>
      </c>
      <c r="J313" t="s">
        <v>31</v>
      </c>
      <c r="K313" t="s">
        <v>38</v>
      </c>
      <c r="L313" t="s">
        <v>317</v>
      </c>
      <c r="M313" t="s">
        <v>318</v>
      </c>
      <c r="N313" t="s">
        <v>918</v>
      </c>
      <c r="O313" t="s">
        <v>919</v>
      </c>
      <c r="P313" t="s">
        <v>920</v>
      </c>
      <c r="Q313" t="s">
        <v>921</v>
      </c>
      <c r="T313">
        <v>40.220254674000003</v>
      </c>
      <c r="U313">
        <v>-82.847609030000001</v>
      </c>
      <c r="V313">
        <f>SUM(W313:X313)+(Y313*0.8)+(Z313*0.4)</f>
        <v>108.80000000000001</v>
      </c>
      <c r="W313">
        <v>0</v>
      </c>
      <c r="X313">
        <v>0</v>
      </c>
      <c r="Y313">
        <v>0</v>
      </c>
      <c r="Z313">
        <v>272</v>
      </c>
      <c r="AA313" t="s">
        <v>43</v>
      </c>
      <c r="AB313">
        <v>0</v>
      </c>
      <c r="AD313" t="s">
        <v>922</v>
      </c>
      <c r="AE313" t="s">
        <v>923</v>
      </c>
    </row>
    <row r="314" spans="1:31" x14ac:dyDescent="0.25">
      <c r="A314" t="s">
        <v>31</v>
      </c>
      <c r="B314" t="s">
        <v>11350</v>
      </c>
      <c r="C314" t="s">
        <v>7857</v>
      </c>
      <c r="D314" t="s">
        <v>8002</v>
      </c>
      <c r="E314" t="s">
        <v>362</v>
      </c>
      <c r="F314" t="s">
        <v>649</v>
      </c>
      <c r="G314">
        <v>2028</v>
      </c>
      <c r="H314" t="s">
        <v>36</v>
      </c>
      <c r="I314" t="s">
        <v>8003</v>
      </c>
      <c r="J314" t="s">
        <v>31</v>
      </c>
      <c r="K314" t="s">
        <v>38</v>
      </c>
      <c r="L314" t="s">
        <v>86</v>
      </c>
      <c r="M314" t="s">
        <v>87</v>
      </c>
      <c r="N314" t="s">
        <v>3368</v>
      </c>
      <c r="O314" t="s">
        <v>8004</v>
      </c>
      <c r="P314" t="s">
        <v>8005</v>
      </c>
      <c r="T314">
        <v>42.239896975999997</v>
      </c>
      <c r="U314">
        <v>-88.920358622999998</v>
      </c>
      <c r="V314">
        <f>SUM(W314:X314)+(Y314*0.8)+(Z314*0.4)</f>
        <v>108.80000000000001</v>
      </c>
      <c r="W314">
        <v>0</v>
      </c>
      <c r="X314">
        <v>0</v>
      </c>
      <c r="Y314">
        <v>0</v>
      </c>
      <c r="Z314">
        <v>272</v>
      </c>
      <c r="AA314" t="s">
        <v>43</v>
      </c>
      <c r="AB314">
        <v>0</v>
      </c>
      <c r="AD314" t="s">
        <v>8006</v>
      </c>
      <c r="AE314" t="s">
        <v>8007</v>
      </c>
    </row>
    <row r="315" spans="1:31" x14ac:dyDescent="0.25">
      <c r="A315" t="s">
        <v>31</v>
      </c>
      <c r="C315" t="s">
        <v>4998</v>
      </c>
      <c r="D315" t="s">
        <v>5011</v>
      </c>
      <c r="E315" t="s">
        <v>34</v>
      </c>
      <c r="F315" t="s">
        <v>66</v>
      </c>
      <c r="G315">
        <v>2022</v>
      </c>
      <c r="H315" t="s">
        <v>36</v>
      </c>
      <c r="I315" t="s">
        <v>5012</v>
      </c>
      <c r="J315" t="s">
        <v>31</v>
      </c>
      <c r="K315" t="s">
        <v>38</v>
      </c>
      <c r="L315" t="s">
        <v>242</v>
      </c>
      <c r="M315" t="s">
        <v>243</v>
      </c>
      <c r="N315" t="s">
        <v>405</v>
      </c>
      <c r="O315" t="s">
        <v>867</v>
      </c>
      <c r="P315" t="s">
        <v>801</v>
      </c>
      <c r="T315">
        <v>39.029512244999999</v>
      </c>
      <c r="U315">
        <v>-77.427182289000001</v>
      </c>
      <c r="V315">
        <f>SUM(W315:X315)+(Y315*0.8)+(Z315*0.4)</f>
        <v>108</v>
      </c>
      <c r="W315">
        <v>72</v>
      </c>
      <c r="X315">
        <v>36</v>
      </c>
      <c r="Y315">
        <v>0</v>
      </c>
      <c r="Z315">
        <v>0</v>
      </c>
      <c r="AA315" t="s">
        <v>43</v>
      </c>
      <c r="AB315">
        <v>108</v>
      </c>
      <c r="AD315" t="s">
        <v>5013</v>
      </c>
      <c r="AE315" t="s">
        <v>5014</v>
      </c>
    </row>
    <row r="316" spans="1:31" x14ac:dyDescent="0.25">
      <c r="A316" t="s">
        <v>31</v>
      </c>
      <c r="C316" t="s">
        <v>3849</v>
      </c>
      <c r="D316" t="s">
        <v>4372</v>
      </c>
      <c r="E316" t="s">
        <v>34</v>
      </c>
      <c r="F316" t="s">
        <v>35</v>
      </c>
      <c r="G316">
        <v>2023</v>
      </c>
      <c r="H316" t="s">
        <v>36</v>
      </c>
      <c r="I316" t="s">
        <v>4373</v>
      </c>
      <c r="J316" t="s">
        <v>31</v>
      </c>
      <c r="K316" t="s">
        <v>38</v>
      </c>
      <c r="L316" t="s">
        <v>86</v>
      </c>
      <c r="M316" t="s">
        <v>87</v>
      </c>
      <c r="N316" t="s">
        <v>88</v>
      </c>
      <c r="O316" t="s">
        <v>4283</v>
      </c>
      <c r="P316" t="s">
        <v>4284</v>
      </c>
      <c r="Q316" t="s">
        <v>579</v>
      </c>
      <c r="T316">
        <v>41.927802964999998</v>
      </c>
      <c r="U316">
        <v>-87.861636207000004</v>
      </c>
      <c r="V316">
        <f>SUM(W316:X316)+(Y316*0.8)+(Z316*0.4)</f>
        <v>106</v>
      </c>
      <c r="W316">
        <v>36</v>
      </c>
      <c r="X316">
        <v>70</v>
      </c>
      <c r="Y316">
        <v>0</v>
      </c>
      <c r="Z316">
        <v>0</v>
      </c>
      <c r="AA316" t="s">
        <v>43</v>
      </c>
      <c r="AB316">
        <v>106</v>
      </c>
      <c r="AD316" t="s">
        <v>4374</v>
      </c>
      <c r="AE316" t="s">
        <v>4375</v>
      </c>
    </row>
    <row r="317" spans="1:31" x14ac:dyDescent="0.25">
      <c r="A317" t="s">
        <v>31</v>
      </c>
      <c r="C317" t="s">
        <v>8913</v>
      </c>
      <c r="D317" t="s">
        <v>8914</v>
      </c>
      <c r="E317" t="s">
        <v>34</v>
      </c>
      <c r="F317" t="s">
        <v>76</v>
      </c>
      <c r="G317">
        <v>2026</v>
      </c>
      <c r="H317" t="s">
        <v>411</v>
      </c>
      <c r="I317" t="s">
        <v>8915</v>
      </c>
      <c r="J317" t="s">
        <v>31</v>
      </c>
      <c r="K317" t="s">
        <v>38</v>
      </c>
      <c r="L317" t="s">
        <v>242</v>
      </c>
      <c r="M317" t="s">
        <v>243</v>
      </c>
      <c r="N317" t="s">
        <v>405</v>
      </c>
      <c r="O317" t="s">
        <v>526</v>
      </c>
      <c r="P317" t="s">
        <v>8836</v>
      </c>
      <c r="T317">
        <v>39.008188578999999</v>
      </c>
      <c r="U317">
        <v>-77.432794337000004</v>
      </c>
      <c r="V317">
        <f>SUM(W317:X317)+(Y317*0.8)+(Z317*0.4)</f>
        <v>105.60000000000001</v>
      </c>
      <c r="W317">
        <v>0</v>
      </c>
      <c r="X317">
        <v>0</v>
      </c>
      <c r="Y317">
        <v>132</v>
      </c>
      <c r="Z317">
        <v>0</v>
      </c>
      <c r="AA317" t="s">
        <v>43</v>
      </c>
      <c r="AB317">
        <v>0</v>
      </c>
      <c r="AD317" t="s">
        <v>8916</v>
      </c>
      <c r="AE317" t="s">
        <v>8917</v>
      </c>
    </row>
    <row r="318" spans="1:31" x14ac:dyDescent="0.25">
      <c r="A318" t="s">
        <v>31</v>
      </c>
      <c r="C318" t="s">
        <v>506</v>
      </c>
      <c r="D318" t="s">
        <v>520</v>
      </c>
      <c r="E318" t="s">
        <v>34</v>
      </c>
      <c r="F318" t="s">
        <v>66</v>
      </c>
      <c r="G318">
        <v>2020</v>
      </c>
      <c r="H318" t="s">
        <v>36</v>
      </c>
      <c r="I318" t="s">
        <v>521</v>
      </c>
      <c r="J318" t="s">
        <v>31</v>
      </c>
      <c r="K318" t="s">
        <v>38</v>
      </c>
      <c r="L318" t="s">
        <v>242</v>
      </c>
      <c r="M318" t="s">
        <v>243</v>
      </c>
      <c r="N318" t="s">
        <v>405</v>
      </c>
      <c r="O318" t="s">
        <v>516</v>
      </c>
      <c r="P318" t="s">
        <v>517</v>
      </c>
      <c r="T318">
        <v>39.01046144</v>
      </c>
      <c r="U318">
        <v>-77.475260383999995</v>
      </c>
      <c r="V318">
        <f>SUM(W318:X318)+(Y318*0.8)+(Z318*0.4)</f>
        <v>105.6</v>
      </c>
      <c r="W318">
        <v>48</v>
      </c>
      <c r="X318">
        <v>0</v>
      </c>
      <c r="Y318">
        <v>72</v>
      </c>
      <c r="Z318">
        <v>0</v>
      </c>
      <c r="AA318" t="s">
        <v>43</v>
      </c>
      <c r="AB318">
        <v>72</v>
      </c>
      <c r="AD318" t="s">
        <v>522</v>
      </c>
      <c r="AE318" t="s">
        <v>523</v>
      </c>
    </row>
    <row r="319" spans="1:31" x14ac:dyDescent="0.25">
      <c r="A319" t="s">
        <v>31</v>
      </c>
      <c r="B319" t="s">
        <v>11350</v>
      </c>
      <c r="C319" t="s">
        <v>647</v>
      </c>
      <c r="D319" t="s">
        <v>1257</v>
      </c>
      <c r="E319" t="s">
        <v>362</v>
      </c>
      <c r="F319" t="s">
        <v>649</v>
      </c>
      <c r="G319">
        <v>2019</v>
      </c>
      <c r="H319" t="s">
        <v>36</v>
      </c>
      <c r="I319" t="s">
        <v>1258</v>
      </c>
      <c r="J319" t="s">
        <v>31</v>
      </c>
      <c r="K319" t="s">
        <v>38</v>
      </c>
      <c r="L319" t="s">
        <v>133</v>
      </c>
      <c r="M319" t="s">
        <v>134</v>
      </c>
      <c r="N319" t="s">
        <v>1213</v>
      </c>
      <c r="O319" t="s">
        <v>1234</v>
      </c>
      <c r="P319" t="s">
        <v>1220</v>
      </c>
      <c r="T319">
        <v>45.901565404999999</v>
      </c>
      <c r="U319">
        <v>-119.320398479</v>
      </c>
      <c r="V319">
        <f>SUM(W319:X319)+(Y319*0.8)+(Z319*0.4)</f>
        <v>105</v>
      </c>
      <c r="W319">
        <v>105</v>
      </c>
      <c r="X319">
        <v>0</v>
      </c>
      <c r="Y319">
        <v>0</v>
      </c>
      <c r="Z319">
        <v>0</v>
      </c>
      <c r="AA319" t="s">
        <v>43</v>
      </c>
      <c r="AB319">
        <v>105</v>
      </c>
      <c r="AD319" t="s">
        <v>1259</v>
      </c>
      <c r="AE319" t="s">
        <v>1260</v>
      </c>
    </row>
    <row r="320" spans="1:31" x14ac:dyDescent="0.25">
      <c r="A320" t="s">
        <v>31</v>
      </c>
      <c r="C320" t="s">
        <v>7005</v>
      </c>
      <c r="D320" t="s">
        <v>7006</v>
      </c>
      <c r="E320" t="s">
        <v>34</v>
      </c>
      <c r="F320" t="s">
        <v>66</v>
      </c>
      <c r="G320">
        <v>2026</v>
      </c>
      <c r="H320" t="s">
        <v>36</v>
      </c>
      <c r="I320" t="s">
        <v>7007</v>
      </c>
      <c r="J320" t="s">
        <v>31</v>
      </c>
      <c r="K320" t="s">
        <v>38</v>
      </c>
      <c r="L320" t="s">
        <v>123</v>
      </c>
      <c r="M320" t="s">
        <v>124</v>
      </c>
      <c r="N320" t="s">
        <v>7008</v>
      </c>
      <c r="O320" t="s">
        <v>7009</v>
      </c>
      <c r="P320" t="s">
        <v>7010</v>
      </c>
      <c r="Q320" t="s">
        <v>1883</v>
      </c>
      <c r="T320">
        <v>43.090046258000001</v>
      </c>
      <c r="U320">
        <v>-78.400352186999996</v>
      </c>
      <c r="V320">
        <f>SUM(W320:X320)+(Y320*0.8)+(Z320*0.4)</f>
        <v>104</v>
      </c>
      <c r="W320">
        <v>0</v>
      </c>
      <c r="X320">
        <v>104</v>
      </c>
      <c r="Y320">
        <v>0</v>
      </c>
      <c r="Z320">
        <v>0</v>
      </c>
      <c r="AA320" t="s">
        <v>43</v>
      </c>
      <c r="AB320">
        <v>104</v>
      </c>
      <c r="AD320" t="s">
        <v>7011</v>
      </c>
      <c r="AE320" t="s">
        <v>7012</v>
      </c>
    </row>
    <row r="321" spans="1:31" x14ac:dyDescent="0.25">
      <c r="A321" t="s">
        <v>31</v>
      </c>
      <c r="C321" t="s">
        <v>2535</v>
      </c>
      <c r="D321" t="s">
        <v>2572</v>
      </c>
      <c r="E321" t="s">
        <v>34</v>
      </c>
      <c r="F321" t="s">
        <v>66</v>
      </c>
      <c r="G321">
        <v>2024</v>
      </c>
      <c r="H321" t="s">
        <v>36</v>
      </c>
      <c r="I321" t="s">
        <v>2573</v>
      </c>
      <c r="J321" t="s">
        <v>31</v>
      </c>
      <c r="K321" t="s">
        <v>38</v>
      </c>
      <c r="L321" t="s">
        <v>86</v>
      </c>
      <c r="M321" t="s">
        <v>87</v>
      </c>
      <c r="N321" t="s">
        <v>88</v>
      </c>
      <c r="O321" t="s">
        <v>2574</v>
      </c>
      <c r="P321" t="s">
        <v>2575</v>
      </c>
      <c r="Q321" t="s">
        <v>555</v>
      </c>
      <c r="T321">
        <v>42.034948493999998</v>
      </c>
      <c r="U321">
        <v>-87.953411422000002</v>
      </c>
      <c r="V321">
        <f>SUM(W321:X321)+(Y321*0.8)+(Z321*0.4)</f>
        <v>103.68</v>
      </c>
      <c r="W321">
        <v>0</v>
      </c>
      <c r="X321">
        <v>0</v>
      </c>
      <c r="Y321">
        <v>64.8</v>
      </c>
      <c r="Z321">
        <v>129.6</v>
      </c>
      <c r="AA321" t="s">
        <v>43</v>
      </c>
      <c r="AB321">
        <v>0</v>
      </c>
      <c r="AD321" t="s">
        <v>2576</v>
      </c>
      <c r="AE321" t="s">
        <v>2577</v>
      </c>
    </row>
    <row r="322" spans="1:31" x14ac:dyDescent="0.25">
      <c r="A322" t="s">
        <v>31</v>
      </c>
      <c r="C322" t="s">
        <v>3007</v>
      </c>
      <c r="D322" t="s">
        <v>3041</v>
      </c>
      <c r="E322" t="s">
        <v>34</v>
      </c>
      <c r="F322" t="s">
        <v>66</v>
      </c>
      <c r="G322">
        <v>2026</v>
      </c>
      <c r="H322" t="s">
        <v>36</v>
      </c>
      <c r="I322" t="s">
        <v>3042</v>
      </c>
      <c r="J322" t="s">
        <v>31</v>
      </c>
      <c r="K322" t="s">
        <v>38</v>
      </c>
      <c r="L322" t="s">
        <v>383</v>
      </c>
      <c r="M322" t="s">
        <v>384</v>
      </c>
      <c r="N322" t="s">
        <v>1407</v>
      </c>
      <c r="P322" t="s">
        <v>3043</v>
      </c>
      <c r="T322">
        <v>35.185669906999998</v>
      </c>
      <c r="U322">
        <v>-83.916550325000003</v>
      </c>
      <c r="V322">
        <f>SUM(W322:X322)+(Y322*0.8)+(Z322*0.4)</f>
        <v>103</v>
      </c>
      <c r="W322">
        <v>0</v>
      </c>
      <c r="X322">
        <v>103</v>
      </c>
      <c r="Y322">
        <v>0</v>
      </c>
      <c r="Z322">
        <v>0</v>
      </c>
      <c r="AA322" t="s">
        <v>43</v>
      </c>
      <c r="AB322">
        <v>103</v>
      </c>
      <c r="AD322" t="s">
        <v>3044</v>
      </c>
      <c r="AE322" t="s">
        <v>3045</v>
      </c>
    </row>
    <row r="323" spans="1:31" x14ac:dyDescent="0.25">
      <c r="A323" t="s">
        <v>31</v>
      </c>
      <c r="B323" t="s">
        <v>11350</v>
      </c>
      <c r="C323" t="s">
        <v>7684</v>
      </c>
      <c r="D323" t="s">
        <v>7741</v>
      </c>
      <c r="E323" t="s">
        <v>362</v>
      </c>
      <c r="F323" t="s">
        <v>7686</v>
      </c>
      <c r="G323">
        <v>2018</v>
      </c>
      <c r="H323" t="s">
        <v>36</v>
      </c>
      <c r="I323" t="s">
        <v>7742</v>
      </c>
      <c r="J323" t="s">
        <v>31</v>
      </c>
      <c r="K323" t="s">
        <v>38</v>
      </c>
      <c r="L323" t="s">
        <v>1959</v>
      </c>
      <c r="M323" t="s">
        <v>1960</v>
      </c>
      <c r="N323" t="s">
        <v>7743</v>
      </c>
      <c r="O323" t="s">
        <v>7741</v>
      </c>
      <c r="P323" t="s">
        <v>7744</v>
      </c>
      <c r="T323">
        <v>34.828480999999996</v>
      </c>
      <c r="U323">
        <v>-106.784407</v>
      </c>
      <c r="V323">
        <f>SUM(W323:X323)+(Y323*0.8)+(Z323*0.4)</f>
        <v>102.16000000000001</v>
      </c>
      <c r="W323">
        <v>0</v>
      </c>
      <c r="X323">
        <v>0</v>
      </c>
      <c r="Y323">
        <v>127.7</v>
      </c>
      <c r="Z323">
        <v>0</v>
      </c>
      <c r="AA323" t="s">
        <v>43</v>
      </c>
      <c r="AB323">
        <v>127.7</v>
      </c>
      <c r="AD323" t="s">
        <v>7745</v>
      </c>
      <c r="AE323" t="s">
        <v>7746</v>
      </c>
    </row>
    <row r="324" spans="1:31" x14ac:dyDescent="0.25">
      <c r="A324" t="s">
        <v>31</v>
      </c>
      <c r="B324" t="s">
        <v>11350</v>
      </c>
      <c r="C324" t="s">
        <v>647</v>
      </c>
      <c r="D324" t="s">
        <v>811</v>
      </c>
      <c r="E324" t="s">
        <v>362</v>
      </c>
      <c r="F324" t="s">
        <v>649</v>
      </c>
      <c r="G324">
        <v>2025</v>
      </c>
      <c r="H324" t="s">
        <v>36</v>
      </c>
      <c r="I324" t="s">
        <v>812</v>
      </c>
      <c r="J324" t="s">
        <v>31</v>
      </c>
      <c r="K324" t="s">
        <v>38</v>
      </c>
      <c r="L324" t="s">
        <v>242</v>
      </c>
      <c r="M324" t="s">
        <v>243</v>
      </c>
      <c r="N324" t="s">
        <v>405</v>
      </c>
      <c r="O324" t="s">
        <v>768</v>
      </c>
      <c r="P324" t="s">
        <v>769</v>
      </c>
      <c r="T324">
        <v>38.922125135000002</v>
      </c>
      <c r="U324">
        <v>-77.483030646000003</v>
      </c>
      <c r="V324">
        <f>SUM(W324:X324)+(Y324*0.8)+(Z324*0.4)</f>
        <v>101.34</v>
      </c>
      <c r="W324">
        <v>30.3</v>
      </c>
      <c r="X324">
        <v>0</v>
      </c>
      <c r="Y324">
        <v>88.8</v>
      </c>
      <c r="Z324">
        <v>0</v>
      </c>
      <c r="AA324" t="s">
        <v>43</v>
      </c>
      <c r="AB324">
        <v>119.1</v>
      </c>
      <c r="AD324" t="s">
        <v>813</v>
      </c>
      <c r="AE324" t="s">
        <v>814</v>
      </c>
    </row>
    <row r="325" spans="1:31" x14ac:dyDescent="0.25">
      <c r="A325" t="s">
        <v>31</v>
      </c>
      <c r="C325" t="s">
        <v>9468</v>
      </c>
      <c r="D325" t="s">
        <v>9480</v>
      </c>
      <c r="E325" t="s">
        <v>34</v>
      </c>
      <c r="F325" t="s">
        <v>66</v>
      </c>
      <c r="G325">
        <v>2029</v>
      </c>
      <c r="H325" t="s">
        <v>36</v>
      </c>
      <c r="I325" t="s">
        <v>9481</v>
      </c>
      <c r="J325" t="s">
        <v>31</v>
      </c>
      <c r="K325" t="s">
        <v>38</v>
      </c>
      <c r="L325" t="s">
        <v>185</v>
      </c>
      <c r="M325" t="s">
        <v>186</v>
      </c>
      <c r="N325" t="s">
        <v>9482</v>
      </c>
      <c r="O325" t="s">
        <v>9483</v>
      </c>
      <c r="P325" t="s">
        <v>9484</v>
      </c>
      <c r="T325">
        <v>31.971547000000001</v>
      </c>
      <c r="U325">
        <v>-83.731084999999993</v>
      </c>
      <c r="V325">
        <f>SUM(W325:X325)+(Y325*0.8)+(Z325*0.4)</f>
        <v>100.80000000000001</v>
      </c>
      <c r="W325">
        <v>0</v>
      </c>
      <c r="X325">
        <v>0</v>
      </c>
      <c r="Y325">
        <v>0</v>
      </c>
      <c r="Z325">
        <v>252</v>
      </c>
      <c r="AA325" t="s">
        <v>43</v>
      </c>
      <c r="AB325">
        <v>0</v>
      </c>
      <c r="AD325" t="s">
        <v>9485</v>
      </c>
      <c r="AE325" t="s">
        <v>9486</v>
      </c>
    </row>
    <row r="326" spans="1:31" x14ac:dyDescent="0.25">
      <c r="A326" t="s">
        <v>31</v>
      </c>
      <c r="C326" t="s">
        <v>7638</v>
      </c>
      <c r="D326" t="s">
        <v>7644</v>
      </c>
      <c r="E326" t="s">
        <v>34</v>
      </c>
      <c r="F326" t="s">
        <v>66</v>
      </c>
      <c r="G326">
        <v>2027</v>
      </c>
      <c r="H326" t="s">
        <v>36</v>
      </c>
      <c r="I326" t="s">
        <v>7645</v>
      </c>
      <c r="J326" t="s">
        <v>31</v>
      </c>
      <c r="K326" t="s">
        <v>38</v>
      </c>
      <c r="L326" t="s">
        <v>326</v>
      </c>
      <c r="M326" t="s">
        <v>327</v>
      </c>
      <c r="N326" t="s">
        <v>328</v>
      </c>
      <c r="O326" t="s">
        <v>590</v>
      </c>
      <c r="P326" t="s">
        <v>2384</v>
      </c>
      <c r="T326">
        <v>33.311563681999999</v>
      </c>
      <c r="U326">
        <v>-111.978510112</v>
      </c>
      <c r="V326">
        <f>SUM(W326:X326)+(Y326*0.8)+(Z326*0.4)</f>
        <v>100.80000000000001</v>
      </c>
      <c r="W326">
        <v>0</v>
      </c>
      <c r="X326">
        <v>0</v>
      </c>
      <c r="Y326">
        <v>72</v>
      </c>
      <c r="Z326">
        <v>108</v>
      </c>
      <c r="AA326" t="s">
        <v>43</v>
      </c>
      <c r="AB326">
        <v>0</v>
      </c>
      <c r="AD326" t="s">
        <v>7646</v>
      </c>
      <c r="AE326" t="s">
        <v>7647</v>
      </c>
    </row>
    <row r="327" spans="1:31" x14ac:dyDescent="0.25">
      <c r="A327" t="s">
        <v>31</v>
      </c>
      <c r="B327" t="s">
        <v>11350</v>
      </c>
      <c r="C327" t="s">
        <v>6116</v>
      </c>
      <c r="D327" t="s">
        <v>6146</v>
      </c>
      <c r="E327" t="s">
        <v>362</v>
      </c>
      <c r="F327" t="s">
        <v>649</v>
      </c>
      <c r="G327">
        <v>2027</v>
      </c>
      <c r="H327" t="s">
        <v>36</v>
      </c>
      <c r="I327" t="s">
        <v>6147</v>
      </c>
      <c r="J327" t="s">
        <v>31</v>
      </c>
      <c r="K327" t="s">
        <v>38</v>
      </c>
      <c r="L327" t="s">
        <v>2437</v>
      </c>
      <c r="M327" t="s">
        <v>2438</v>
      </c>
      <c r="N327" t="s">
        <v>6146</v>
      </c>
      <c r="T327">
        <v>32.95661922</v>
      </c>
      <c r="U327">
        <v>-80.305955948000005</v>
      </c>
      <c r="V327">
        <f>SUM(W327:X327)+(Y327*0.8)+(Z327*0.4)</f>
        <v>100.80000000000001</v>
      </c>
      <c r="W327">
        <v>0</v>
      </c>
      <c r="X327">
        <v>24</v>
      </c>
      <c r="Y327">
        <v>96</v>
      </c>
      <c r="Z327">
        <v>0</v>
      </c>
      <c r="AA327" t="s">
        <v>43</v>
      </c>
      <c r="AB327">
        <v>120</v>
      </c>
      <c r="AD327" t="s">
        <v>6148</v>
      </c>
      <c r="AE327" t="s">
        <v>6149</v>
      </c>
    </row>
    <row r="328" spans="1:31" x14ac:dyDescent="0.25">
      <c r="A328" t="s">
        <v>31</v>
      </c>
      <c r="C328" t="s">
        <v>9713</v>
      </c>
      <c r="D328" t="s">
        <v>1353</v>
      </c>
      <c r="E328" t="s">
        <v>34</v>
      </c>
      <c r="F328" t="s">
        <v>66</v>
      </c>
      <c r="H328" t="s">
        <v>36</v>
      </c>
      <c r="I328" t="s">
        <v>9727</v>
      </c>
      <c r="J328" t="s">
        <v>31</v>
      </c>
      <c r="K328" t="s">
        <v>38</v>
      </c>
      <c r="L328" t="s">
        <v>1733</v>
      </c>
      <c r="M328" t="s">
        <v>1734</v>
      </c>
      <c r="N328" t="s">
        <v>3820</v>
      </c>
      <c r="O328" t="s">
        <v>1353</v>
      </c>
      <c r="P328" t="s">
        <v>9728</v>
      </c>
      <c r="T328">
        <v>35.452979677999998</v>
      </c>
      <c r="U328">
        <v>-93.446252330999997</v>
      </c>
      <c r="V328">
        <f>SUM(W328:X328)+(Y328*0.8)+(Z328*0.4)</f>
        <v>100.80000000000001</v>
      </c>
      <c r="W328">
        <v>0</v>
      </c>
      <c r="X328">
        <v>0</v>
      </c>
      <c r="Y328">
        <v>0</v>
      </c>
      <c r="Z328">
        <v>252</v>
      </c>
      <c r="AA328" t="s">
        <v>43</v>
      </c>
      <c r="AB328">
        <v>0</v>
      </c>
      <c r="AD328" t="s">
        <v>9729</v>
      </c>
      <c r="AE328" t="s">
        <v>9730</v>
      </c>
    </row>
    <row r="329" spans="1:31" x14ac:dyDescent="0.25">
      <c r="A329" t="s">
        <v>31</v>
      </c>
      <c r="B329" t="s">
        <v>11350</v>
      </c>
      <c r="C329" t="s">
        <v>647</v>
      </c>
      <c r="D329" t="s">
        <v>826</v>
      </c>
      <c r="E329" t="s">
        <v>362</v>
      </c>
      <c r="F329" t="s">
        <v>649</v>
      </c>
      <c r="H329" t="s">
        <v>36</v>
      </c>
      <c r="I329" t="s">
        <v>827</v>
      </c>
      <c r="J329" t="s">
        <v>31</v>
      </c>
      <c r="K329" t="s">
        <v>38</v>
      </c>
      <c r="L329" t="s">
        <v>828</v>
      </c>
      <c r="M329" t="s">
        <v>829</v>
      </c>
      <c r="N329" t="s">
        <v>830</v>
      </c>
      <c r="O329" t="s">
        <v>831</v>
      </c>
      <c r="Q329" t="s">
        <v>832</v>
      </c>
      <c r="T329">
        <v>45.393916443000002</v>
      </c>
      <c r="U329">
        <v>-93.881699158999993</v>
      </c>
      <c r="V329">
        <f>SUM(W329:X329)+(Y329*0.8)+(Z329*0.4)</f>
        <v>100.16000000000001</v>
      </c>
      <c r="W329">
        <v>0</v>
      </c>
      <c r="X329">
        <v>0</v>
      </c>
      <c r="Y329">
        <v>0</v>
      </c>
      <c r="Z329">
        <v>250.4</v>
      </c>
      <c r="AA329" t="s">
        <v>43</v>
      </c>
      <c r="AB329">
        <v>0</v>
      </c>
      <c r="AD329" t="s">
        <v>833</v>
      </c>
      <c r="AE329" t="s">
        <v>834</v>
      </c>
    </row>
    <row r="330" spans="1:31" x14ac:dyDescent="0.25">
      <c r="A330" t="s">
        <v>31</v>
      </c>
      <c r="C330" t="s">
        <v>10362</v>
      </c>
      <c r="D330" t="s">
        <v>10363</v>
      </c>
      <c r="E330" t="s">
        <v>34</v>
      </c>
      <c r="F330" t="s">
        <v>76</v>
      </c>
      <c r="G330">
        <v>2026</v>
      </c>
      <c r="H330" t="s">
        <v>411</v>
      </c>
      <c r="I330" t="s">
        <v>10364</v>
      </c>
      <c r="J330" t="s">
        <v>31</v>
      </c>
      <c r="K330" t="s">
        <v>38</v>
      </c>
      <c r="L330" t="s">
        <v>68</v>
      </c>
      <c r="M330" t="s">
        <v>69</v>
      </c>
      <c r="N330" t="s">
        <v>10365</v>
      </c>
      <c r="O330" t="s">
        <v>10366</v>
      </c>
      <c r="T330">
        <v>32.855483374999999</v>
      </c>
      <c r="U330">
        <v>-102.189772217</v>
      </c>
      <c r="V330">
        <f>SUM(W330:X330)+(Y330*0.8)+(Z330*0.4)</f>
        <v>100</v>
      </c>
      <c r="W330">
        <v>0</v>
      </c>
      <c r="X330">
        <v>0</v>
      </c>
      <c r="Y330">
        <v>0</v>
      </c>
      <c r="Z330">
        <v>250</v>
      </c>
      <c r="AA330" t="s">
        <v>43</v>
      </c>
      <c r="AB330">
        <v>0</v>
      </c>
      <c r="AD330" t="s">
        <v>10367</v>
      </c>
      <c r="AE330" t="s">
        <v>10368</v>
      </c>
    </row>
    <row r="331" spans="1:31" x14ac:dyDescent="0.25">
      <c r="A331" t="s">
        <v>31</v>
      </c>
      <c r="C331" t="s">
        <v>3312</v>
      </c>
      <c r="D331" t="s">
        <v>3439</v>
      </c>
      <c r="E331" t="s">
        <v>34</v>
      </c>
      <c r="F331" t="s">
        <v>66</v>
      </c>
      <c r="G331">
        <v>2026</v>
      </c>
      <c r="H331" t="s">
        <v>36</v>
      </c>
      <c r="J331" t="s">
        <v>31</v>
      </c>
      <c r="K331" t="s">
        <v>38</v>
      </c>
      <c r="L331" t="s">
        <v>68</v>
      </c>
      <c r="M331" t="s">
        <v>69</v>
      </c>
      <c r="N331" t="s">
        <v>1350</v>
      </c>
      <c r="O331" t="s">
        <v>3439</v>
      </c>
      <c r="P331" t="s">
        <v>3440</v>
      </c>
      <c r="S331" t="s">
        <v>3441</v>
      </c>
      <c r="T331">
        <v>30.287507999999999</v>
      </c>
      <c r="U331">
        <v>-97.570391999999998</v>
      </c>
      <c r="V331">
        <f>SUM(W331:X331)+(Y331*0.8)+(Z331*0.4)</f>
        <v>100</v>
      </c>
      <c r="W331">
        <v>0</v>
      </c>
      <c r="X331">
        <v>0</v>
      </c>
      <c r="Y331">
        <v>0</v>
      </c>
      <c r="Z331">
        <v>250</v>
      </c>
      <c r="AA331" t="s">
        <v>43</v>
      </c>
      <c r="AB331">
        <v>0</v>
      </c>
      <c r="AD331" t="s">
        <v>3442</v>
      </c>
      <c r="AE331" t="s">
        <v>3443</v>
      </c>
    </row>
    <row r="332" spans="1:31" x14ac:dyDescent="0.25">
      <c r="A332" t="s">
        <v>31</v>
      </c>
      <c r="C332" t="s">
        <v>3849</v>
      </c>
      <c r="D332" t="s">
        <v>4433</v>
      </c>
      <c r="E332" t="s">
        <v>34</v>
      </c>
      <c r="F332" t="s">
        <v>66</v>
      </c>
      <c r="G332">
        <v>2021</v>
      </c>
      <c r="H332" t="s">
        <v>36</v>
      </c>
      <c r="I332" t="s">
        <v>4434</v>
      </c>
      <c r="J332" t="s">
        <v>31</v>
      </c>
      <c r="K332" t="s">
        <v>38</v>
      </c>
      <c r="L332" t="s">
        <v>242</v>
      </c>
      <c r="M332" t="s">
        <v>243</v>
      </c>
      <c r="N332" t="s">
        <v>405</v>
      </c>
      <c r="O332" t="s">
        <v>516</v>
      </c>
      <c r="P332" t="s">
        <v>527</v>
      </c>
      <c r="T332">
        <v>39.004447955000003</v>
      </c>
      <c r="U332">
        <v>-77.451741661</v>
      </c>
      <c r="V332">
        <f>SUM(W332:X332)+(Y332*0.8)+(Z332*0.4)</f>
        <v>100</v>
      </c>
      <c r="W332">
        <v>100</v>
      </c>
      <c r="X332">
        <v>0</v>
      </c>
      <c r="Y332">
        <v>0</v>
      </c>
      <c r="Z332">
        <v>0</v>
      </c>
      <c r="AA332" t="s">
        <v>43</v>
      </c>
      <c r="AB332">
        <v>100</v>
      </c>
      <c r="AD332" t="s">
        <v>4435</v>
      </c>
      <c r="AE332" t="s">
        <v>4436</v>
      </c>
    </row>
    <row r="333" spans="1:31" x14ac:dyDescent="0.25">
      <c r="A333" t="s">
        <v>31</v>
      </c>
      <c r="C333" t="s">
        <v>7557</v>
      </c>
      <c r="D333" t="s">
        <v>7558</v>
      </c>
      <c r="E333" t="s">
        <v>362</v>
      </c>
      <c r="F333" t="s">
        <v>372</v>
      </c>
      <c r="G333">
        <v>2019</v>
      </c>
      <c r="H333" t="s">
        <v>36</v>
      </c>
      <c r="I333" t="s">
        <v>7559</v>
      </c>
      <c r="J333" t="s">
        <v>31</v>
      </c>
      <c r="K333" t="s">
        <v>38</v>
      </c>
      <c r="L333" t="s">
        <v>153</v>
      </c>
      <c r="M333" t="s">
        <v>154</v>
      </c>
      <c r="N333" t="s">
        <v>7560</v>
      </c>
      <c r="O333" t="s">
        <v>7561</v>
      </c>
      <c r="Q333" t="s">
        <v>3893</v>
      </c>
      <c r="T333">
        <v>40.726556627999997</v>
      </c>
      <c r="U333">
        <v>-99.038105967000007</v>
      </c>
      <c r="V333">
        <f>SUM(W333:X333)+(Y333*0.8)+(Z333*0.4)</f>
        <v>100</v>
      </c>
      <c r="W333">
        <v>100</v>
      </c>
      <c r="X333">
        <v>0</v>
      </c>
      <c r="Y333">
        <v>0</v>
      </c>
      <c r="Z333">
        <v>0</v>
      </c>
      <c r="AA333" t="s">
        <v>43</v>
      </c>
      <c r="AB333">
        <v>100</v>
      </c>
      <c r="AD333" t="s">
        <v>7562</v>
      </c>
      <c r="AE333" t="s">
        <v>7563</v>
      </c>
    </row>
    <row r="334" spans="1:31" x14ac:dyDescent="0.25">
      <c r="A334" t="s">
        <v>31</v>
      </c>
      <c r="B334" t="s">
        <v>11350</v>
      </c>
      <c r="C334" t="s">
        <v>647</v>
      </c>
      <c r="D334" t="s">
        <v>1253</v>
      </c>
      <c r="E334" t="s">
        <v>362</v>
      </c>
      <c r="F334" t="s">
        <v>649</v>
      </c>
      <c r="G334">
        <v>2018</v>
      </c>
      <c r="H334" t="s">
        <v>36</v>
      </c>
      <c r="I334" t="s">
        <v>1254</v>
      </c>
      <c r="J334" t="s">
        <v>31</v>
      </c>
      <c r="K334" t="s">
        <v>38</v>
      </c>
      <c r="L334" t="s">
        <v>133</v>
      </c>
      <c r="M334" t="s">
        <v>134</v>
      </c>
      <c r="N334" t="s">
        <v>1202</v>
      </c>
      <c r="T334">
        <v>45.847150909</v>
      </c>
      <c r="U334">
        <v>-119.603825567</v>
      </c>
      <c r="V334">
        <f>SUM(W334:X334)+(Y334*0.8)+(Z334*0.4)</f>
        <v>100</v>
      </c>
      <c r="W334">
        <v>100</v>
      </c>
      <c r="X334">
        <v>0</v>
      </c>
      <c r="Y334">
        <v>0</v>
      </c>
      <c r="Z334">
        <v>0</v>
      </c>
      <c r="AA334" t="s">
        <v>43</v>
      </c>
      <c r="AB334">
        <v>100</v>
      </c>
      <c r="AD334" t="s">
        <v>1255</v>
      </c>
      <c r="AE334" t="s">
        <v>1256</v>
      </c>
    </row>
    <row r="335" spans="1:31" x14ac:dyDescent="0.25">
      <c r="A335" t="s">
        <v>31</v>
      </c>
      <c r="C335" t="s">
        <v>10037</v>
      </c>
      <c r="D335" t="s">
        <v>10076</v>
      </c>
      <c r="E335" t="s">
        <v>34</v>
      </c>
      <c r="F335" t="s">
        <v>66</v>
      </c>
      <c r="H335" t="s">
        <v>411</v>
      </c>
      <c r="I335" t="s">
        <v>10077</v>
      </c>
      <c r="J335" t="s">
        <v>31</v>
      </c>
      <c r="K335" t="s">
        <v>38</v>
      </c>
      <c r="L335" t="s">
        <v>123</v>
      </c>
      <c r="M335" t="s">
        <v>124</v>
      </c>
      <c r="N335" t="s">
        <v>7008</v>
      </c>
      <c r="O335" t="s">
        <v>10078</v>
      </c>
      <c r="P335" t="s">
        <v>7010</v>
      </c>
      <c r="Q335" t="s">
        <v>1883</v>
      </c>
      <c r="T335">
        <v>43.092950444000003</v>
      </c>
      <c r="U335">
        <v>-78.406651052000001</v>
      </c>
      <c r="V335">
        <f>SUM(W335:X335)+(Y335*0.8)+(Z335*0.4)</f>
        <v>100</v>
      </c>
      <c r="W335">
        <v>0</v>
      </c>
      <c r="X335">
        <v>0</v>
      </c>
      <c r="Y335">
        <v>0</v>
      </c>
      <c r="Z335">
        <v>250</v>
      </c>
      <c r="AA335" t="s">
        <v>43</v>
      </c>
      <c r="AB335">
        <v>0</v>
      </c>
      <c r="AD335" t="s">
        <v>10079</v>
      </c>
      <c r="AE335" t="s">
        <v>10080</v>
      </c>
    </row>
    <row r="336" spans="1:31" x14ac:dyDescent="0.25">
      <c r="A336" t="s">
        <v>31</v>
      </c>
      <c r="C336" t="s">
        <v>8273</v>
      </c>
      <c r="D336" t="s">
        <v>8274</v>
      </c>
      <c r="E336" t="s">
        <v>34</v>
      </c>
      <c r="F336" t="s">
        <v>66</v>
      </c>
      <c r="H336" t="s">
        <v>36</v>
      </c>
      <c r="I336" t="s">
        <v>8275</v>
      </c>
      <c r="J336" t="s">
        <v>31</v>
      </c>
      <c r="K336" t="s">
        <v>38</v>
      </c>
      <c r="L336" t="s">
        <v>383</v>
      </c>
      <c r="M336" t="s">
        <v>384</v>
      </c>
      <c r="N336" t="s">
        <v>1372</v>
      </c>
      <c r="O336" t="s">
        <v>8276</v>
      </c>
      <c r="P336" t="s">
        <v>8277</v>
      </c>
      <c r="T336">
        <v>35.665495151999998</v>
      </c>
      <c r="U336">
        <v>-78.956615256000006</v>
      </c>
      <c r="V336">
        <f>SUM(W336:X336)+(Y336*0.8)+(Z336*0.4)</f>
        <v>100</v>
      </c>
      <c r="W336">
        <v>0</v>
      </c>
      <c r="X336">
        <v>0</v>
      </c>
      <c r="Y336">
        <v>0</v>
      </c>
      <c r="Z336">
        <v>250</v>
      </c>
      <c r="AA336" t="s">
        <v>43</v>
      </c>
      <c r="AB336">
        <v>0</v>
      </c>
      <c r="AD336" t="s">
        <v>8278</v>
      </c>
      <c r="AE336" t="s">
        <v>8279</v>
      </c>
    </row>
    <row r="337" spans="1:31" x14ac:dyDescent="0.25">
      <c r="A337" t="s">
        <v>31</v>
      </c>
      <c r="C337" t="s">
        <v>9202</v>
      </c>
      <c r="D337" t="s">
        <v>9337</v>
      </c>
      <c r="E337" t="s">
        <v>34</v>
      </c>
      <c r="F337" t="s">
        <v>76</v>
      </c>
      <c r="H337" t="s">
        <v>36</v>
      </c>
      <c r="I337" t="s">
        <v>9338</v>
      </c>
      <c r="J337" t="s">
        <v>31</v>
      </c>
      <c r="K337" t="s">
        <v>38</v>
      </c>
      <c r="L337" t="s">
        <v>3818</v>
      </c>
      <c r="M337" t="s">
        <v>3819</v>
      </c>
      <c r="N337" t="s">
        <v>3820</v>
      </c>
      <c r="O337" t="s">
        <v>9339</v>
      </c>
      <c r="P337" t="s">
        <v>9340</v>
      </c>
      <c r="T337">
        <v>38.837686296000001</v>
      </c>
      <c r="U337">
        <v>-94.874829371000004</v>
      </c>
      <c r="V337">
        <f>SUM(W337:X337)+(Y337*0.8)+(Z337*0.4)</f>
        <v>98.240000000000009</v>
      </c>
      <c r="W337">
        <v>0</v>
      </c>
      <c r="X337">
        <v>0</v>
      </c>
      <c r="Y337">
        <v>122.8</v>
      </c>
      <c r="Z337">
        <v>0</v>
      </c>
      <c r="AA337" t="s">
        <v>43</v>
      </c>
      <c r="AB337">
        <v>0</v>
      </c>
      <c r="AD337" t="s">
        <v>9341</v>
      </c>
      <c r="AE337" t="s">
        <v>9342</v>
      </c>
    </row>
    <row r="338" spans="1:31" x14ac:dyDescent="0.25">
      <c r="A338" t="s">
        <v>31</v>
      </c>
      <c r="C338" t="s">
        <v>4666</v>
      </c>
      <c r="D338" t="s">
        <v>4667</v>
      </c>
      <c r="E338" t="s">
        <v>362</v>
      </c>
      <c r="F338" t="s">
        <v>43</v>
      </c>
      <c r="H338" t="s">
        <v>36</v>
      </c>
      <c r="I338" t="s">
        <v>325</v>
      </c>
      <c r="J338" t="s">
        <v>31</v>
      </c>
      <c r="K338" t="s">
        <v>38</v>
      </c>
      <c r="L338" t="s">
        <v>1900</v>
      </c>
      <c r="M338" t="s">
        <v>1901</v>
      </c>
      <c r="N338" t="s">
        <v>355</v>
      </c>
      <c r="O338" t="s">
        <v>4668</v>
      </c>
      <c r="Q338" t="s">
        <v>4669</v>
      </c>
      <c r="T338">
        <v>38.751197812999997</v>
      </c>
      <c r="U338">
        <v>-94.490134518000005</v>
      </c>
      <c r="V338">
        <f>SUM(W338:X338)+(Y338*0.8)+(Z338*0.4)</f>
        <v>98</v>
      </c>
      <c r="W338">
        <v>0</v>
      </c>
      <c r="X338">
        <v>0</v>
      </c>
      <c r="Y338">
        <v>0</v>
      </c>
      <c r="Z338">
        <v>245</v>
      </c>
      <c r="AA338" t="s">
        <v>43</v>
      </c>
      <c r="AB338">
        <v>0</v>
      </c>
      <c r="AD338" t="s">
        <v>4670</v>
      </c>
      <c r="AE338" t="s">
        <v>4671</v>
      </c>
    </row>
    <row r="339" spans="1:31" x14ac:dyDescent="0.25">
      <c r="A339" t="s">
        <v>31</v>
      </c>
      <c r="C339" t="s">
        <v>10037</v>
      </c>
      <c r="D339" t="s">
        <v>10048</v>
      </c>
      <c r="E339" t="s">
        <v>34</v>
      </c>
      <c r="F339" t="s">
        <v>66</v>
      </c>
      <c r="G339">
        <v>2026</v>
      </c>
      <c r="H339" t="s">
        <v>36</v>
      </c>
      <c r="I339" t="s">
        <v>10049</v>
      </c>
      <c r="J339" t="s">
        <v>31</v>
      </c>
      <c r="K339" t="s">
        <v>38</v>
      </c>
      <c r="L339" t="s">
        <v>86</v>
      </c>
      <c r="M339" t="s">
        <v>87</v>
      </c>
      <c r="N339" t="s">
        <v>88</v>
      </c>
      <c r="O339" t="s">
        <v>555</v>
      </c>
      <c r="P339" t="s">
        <v>7540</v>
      </c>
      <c r="T339">
        <v>42.015116436</v>
      </c>
      <c r="U339">
        <v>-87.953758660000005</v>
      </c>
      <c r="V339">
        <f>SUM(W339:X339)+(Y339*0.8)+(Z339*0.4)</f>
        <v>96</v>
      </c>
      <c r="W339">
        <v>0</v>
      </c>
      <c r="X339">
        <v>0</v>
      </c>
      <c r="Y339">
        <v>120</v>
      </c>
      <c r="Z339">
        <v>0</v>
      </c>
      <c r="AA339" t="s">
        <v>43</v>
      </c>
      <c r="AB339">
        <v>0</v>
      </c>
      <c r="AD339" t="s">
        <v>10050</v>
      </c>
      <c r="AE339" t="s">
        <v>10051</v>
      </c>
    </row>
    <row r="340" spans="1:31" x14ac:dyDescent="0.25">
      <c r="A340" t="s">
        <v>31</v>
      </c>
      <c r="C340" t="s">
        <v>2862</v>
      </c>
      <c r="D340" t="s">
        <v>2863</v>
      </c>
      <c r="E340" t="s">
        <v>34</v>
      </c>
      <c r="F340" t="s">
        <v>66</v>
      </c>
      <c r="G340">
        <v>2026</v>
      </c>
      <c r="H340" t="s">
        <v>36</v>
      </c>
      <c r="I340" t="s">
        <v>2864</v>
      </c>
      <c r="J340" t="s">
        <v>31</v>
      </c>
      <c r="K340" t="s">
        <v>38</v>
      </c>
      <c r="L340" t="s">
        <v>86</v>
      </c>
      <c r="M340" t="s">
        <v>87</v>
      </c>
      <c r="N340" t="s">
        <v>88</v>
      </c>
      <c r="O340" t="s">
        <v>2865</v>
      </c>
      <c r="P340" t="s">
        <v>2866</v>
      </c>
      <c r="Q340" t="s">
        <v>2867</v>
      </c>
      <c r="T340">
        <v>42.077061483000001</v>
      </c>
      <c r="U340">
        <v>-88.215661496999999</v>
      </c>
      <c r="V340">
        <f>SUM(W340:X340)+(Y340*0.8)+(Z340*0.4)</f>
        <v>96</v>
      </c>
      <c r="W340">
        <v>0</v>
      </c>
      <c r="X340">
        <v>0</v>
      </c>
      <c r="Y340">
        <v>120</v>
      </c>
      <c r="Z340">
        <v>0</v>
      </c>
      <c r="AA340" t="s">
        <v>43</v>
      </c>
      <c r="AB340">
        <v>0</v>
      </c>
      <c r="AD340" t="s">
        <v>2868</v>
      </c>
      <c r="AE340" t="s">
        <v>2869</v>
      </c>
    </row>
    <row r="341" spans="1:31" x14ac:dyDescent="0.25">
      <c r="A341" t="s">
        <v>31</v>
      </c>
      <c r="C341" t="s">
        <v>10876</v>
      </c>
      <c r="D341" t="s">
        <v>10886</v>
      </c>
      <c r="E341" t="s">
        <v>34</v>
      </c>
      <c r="F341" t="s">
        <v>35</v>
      </c>
      <c r="G341">
        <v>2025</v>
      </c>
      <c r="H341" t="s">
        <v>36</v>
      </c>
      <c r="I341" t="s">
        <v>10887</v>
      </c>
      <c r="J341" t="s">
        <v>31</v>
      </c>
      <c r="K341" t="s">
        <v>38</v>
      </c>
      <c r="L341" t="s">
        <v>242</v>
      </c>
      <c r="M341" t="s">
        <v>243</v>
      </c>
      <c r="N341" t="s">
        <v>405</v>
      </c>
      <c r="O341" t="s">
        <v>526</v>
      </c>
      <c r="P341" t="s">
        <v>8836</v>
      </c>
      <c r="T341">
        <v>38.998030655999997</v>
      </c>
      <c r="U341">
        <v>-77.430415322000002</v>
      </c>
      <c r="V341">
        <f>SUM(W341:X341)+(Y341*0.8)+(Z341*0.4)</f>
        <v>96</v>
      </c>
      <c r="W341">
        <v>96</v>
      </c>
      <c r="X341">
        <v>0</v>
      </c>
      <c r="Y341">
        <v>0</v>
      </c>
      <c r="Z341">
        <v>0</v>
      </c>
      <c r="AA341" t="s">
        <v>43</v>
      </c>
      <c r="AB341">
        <v>96</v>
      </c>
      <c r="AD341" t="s">
        <v>10888</v>
      </c>
      <c r="AE341" t="s">
        <v>10889</v>
      </c>
    </row>
    <row r="342" spans="1:31" x14ac:dyDescent="0.25">
      <c r="A342" t="s">
        <v>31</v>
      </c>
      <c r="B342" t="s">
        <v>11350</v>
      </c>
      <c r="C342" t="s">
        <v>7857</v>
      </c>
      <c r="D342" t="s">
        <v>7876</v>
      </c>
      <c r="E342" t="s">
        <v>362</v>
      </c>
      <c r="F342" t="s">
        <v>649</v>
      </c>
      <c r="G342">
        <v>2025</v>
      </c>
      <c r="H342" t="s">
        <v>36</v>
      </c>
      <c r="I342" t="s">
        <v>7877</v>
      </c>
      <c r="J342" t="s">
        <v>31</v>
      </c>
      <c r="K342" t="s">
        <v>38</v>
      </c>
      <c r="L342" t="s">
        <v>383</v>
      </c>
      <c r="M342" t="s">
        <v>384</v>
      </c>
      <c r="N342" t="s">
        <v>1441</v>
      </c>
      <c r="T342">
        <v>35.592706561999996</v>
      </c>
      <c r="U342">
        <v>-81.234174206000006</v>
      </c>
      <c r="V342">
        <f>SUM(W342:X342)+(Y342*0.8)+(Z342*0.4)</f>
        <v>96</v>
      </c>
      <c r="W342">
        <v>0</v>
      </c>
      <c r="X342">
        <v>0</v>
      </c>
      <c r="Y342">
        <v>120</v>
      </c>
      <c r="Z342">
        <v>0</v>
      </c>
      <c r="AA342" t="s">
        <v>43</v>
      </c>
      <c r="AB342">
        <v>120</v>
      </c>
      <c r="AD342" t="s">
        <v>7878</v>
      </c>
      <c r="AE342" t="s">
        <v>7879</v>
      </c>
    </row>
    <row r="343" spans="1:31" x14ac:dyDescent="0.25">
      <c r="A343" t="s">
        <v>31</v>
      </c>
      <c r="B343" t="s">
        <v>11350</v>
      </c>
      <c r="C343" t="s">
        <v>7857</v>
      </c>
      <c r="D343" t="s">
        <v>7862</v>
      </c>
      <c r="E343" t="s">
        <v>362</v>
      </c>
      <c r="F343" t="s">
        <v>649</v>
      </c>
      <c r="G343">
        <v>2023</v>
      </c>
      <c r="H343" t="s">
        <v>36</v>
      </c>
      <c r="I343" t="s">
        <v>7863</v>
      </c>
      <c r="J343" t="s">
        <v>31</v>
      </c>
      <c r="K343" t="s">
        <v>38</v>
      </c>
      <c r="L343" t="s">
        <v>242</v>
      </c>
      <c r="M343" t="s">
        <v>243</v>
      </c>
      <c r="N343" t="s">
        <v>405</v>
      </c>
      <c r="O343" t="s">
        <v>674</v>
      </c>
      <c r="P343" t="s">
        <v>675</v>
      </c>
      <c r="T343">
        <v>38.950380527999997</v>
      </c>
      <c r="U343">
        <v>-77.555321563000007</v>
      </c>
      <c r="V343">
        <f>SUM(W343:X343)+(Y343*0.8)+(Z343*0.4)</f>
        <v>96</v>
      </c>
      <c r="W343">
        <v>50</v>
      </c>
      <c r="X343">
        <v>46</v>
      </c>
      <c r="Y343">
        <v>0</v>
      </c>
      <c r="Z343">
        <v>0</v>
      </c>
      <c r="AA343" t="s">
        <v>43</v>
      </c>
      <c r="AB343">
        <v>96</v>
      </c>
      <c r="AD343" t="s">
        <v>7864</v>
      </c>
      <c r="AE343" t="s">
        <v>7865</v>
      </c>
    </row>
    <row r="344" spans="1:31" x14ac:dyDescent="0.25">
      <c r="A344" t="s">
        <v>31</v>
      </c>
      <c r="B344" t="s">
        <v>11350</v>
      </c>
      <c r="C344" t="s">
        <v>7857</v>
      </c>
      <c r="D344" t="s">
        <v>7898</v>
      </c>
      <c r="E344" t="s">
        <v>362</v>
      </c>
      <c r="F344" t="s">
        <v>649</v>
      </c>
      <c r="G344">
        <v>2023</v>
      </c>
      <c r="H344" t="s">
        <v>36</v>
      </c>
      <c r="I344" t="s">
        <v>7899</v>
      </c>
      <c r="J344" t="s">
        <v>31</v>
      </c>
      <c r="K344" t="s">
        <v>38</v>
      </c>
      <c r="L344" t="s">
        <v>3288</v>
      </c>
      <c r="M344" t="s">
        <v>3289</v>
      </c>
      <c r="N344" t="s">
        <v>7478</v>
      </c>
      <c r="O344" t="s">
        <v>7479</v>
      </c>
      <c r="P344" t="s">
        <v>7900</v>
      </c>
      <c r="T344">
        <v>41.141673736999998</v>
      </c>
      <c r="U344">
        <v>-104.71665442600001</v>
      </c>
      <c r="V344">
        <f>SUM(W344:X344)+(Y344*0.8)+(Z344*0.4)</f>
        <v>96</v>
      </c>
      <c r="W344">
        <v>96</v>
      </c>
      <c r="X344">
        <v>0</v>
      </c>
      <c r="Y344">
        <v>0</v>
      </c>
      <c r="Z344">
        <v>0</v>
      </c>
      <c r="AA344" t="s">
        <v>43</v>
      </c>
      <c r="AB344">
        <v>96</v>
      </c>
      <c r="AD344" t="s">
        <v>7901</v>
      </c>
      <c r="AE344" t="s">
        <v>7902</v>
      </c>
    </row>
    <row r="345" spans="1:31" x14ac:dyDescent="0.25">
      <c r="A345" t="s">
        <v>31</v>
      </c>
      <c r="C345" t="s">
        <v>3849</v>
      </c>
      <c r="D345" t="s">
        <v>4557</v>
      </c>
      <c r="E345" t="s">
        <v>34</v>
      </c>
      <c r="F345" t="s">
        <v>66</v>
      </c>
      <c r="G345">
        <v>2017</v>
      </c>
      <c r="H345" t="s">
        <v>36</v>
      </c>
      <c r="I345" t="s">
        <v>4558</v>
      </c>
      <c r="J345" t="s">
        <v>31</v>
      </c>
      <c r="K345" t="s">
        <v>38</v>
      </c>
      <c r="L345" t="s">
        <v>242</v>
      </c>
      <c r="M345" t="s">
        <v>243</v>
      </c>
      <c r="N345" t="s">
        <v>405</v>
      </c>
      <c r="O345" t="s">
        <v>516</v>
      </c>
      <c r="P345" t="s">
        <v>517</v>
      </c>
      <c r="T345">
        <v>39.007757454</v>
      </c>
      <c r="U345">
        <v>-77.468491310000005</v>
      </c>
      <c r="V345">
        <f>SUM(W345:X345)+(Y345*0.8)+(Z345*0.4)</f>
        <v>96</v>
      </c>
      <c r="W345">
        <v>96</v>
      </c>
      <c r="X345">
        <v>0</v>
      </c>
      <c r="Y345">
        <v>0</v>
      </c>
      <c r="Z345">
        <v>0</v>
      </c>
      <c r="AA345" t="s">
        <v>43</v>
      </c>
      <c r="AB345">
        <v>94</v>
      </c>
      <c r="AD345" t="s">
        <v>4559</v>
      </c>
      <c r="AE345" t="s">
        <v>4560</v>
      </c>
    </row>
    <row r="346" spans="1:31" x14ac:dyDescent="0.25">
      <c r="A346" t="s">
        <v>31</v>
      </c>
      <c r="C346" t="s">
        <v>10037</v>
      </c>
      <c r="D346" t="s">
        <v>4043</v>
      </c>
      <c r="E346" t="s">
        <v>34</v>
      </c>
      <c r="F346" t="s">
        <v>66</v>
      </c>
      <c r="H346" t="s">
        <v>36</v>
      </c>
      <c r="I346" t="s">
        <v>10038</v>
      </c>
      <c r="J346" t="s">
        <v>31</v>
      </c>
      <c r="K346" t="s">
        <v>38</v>
      </c>
      <c r="L346" t="s">
        <v>185</v>
      </c>
      <c r="M346" t="s">
        <v>186</v>
      </c>
      <c r="N346" t="s">
        <v>155</v>
      </c>
      <c r="O346" t="s">
        <v>10039</v>
      </c>
      <c r="P346" t="s">
        <v>4756</v>
      </c>
      <c r="T346">
        <v>33.733211216999997</v>
      </c>
      <c r="U346">
        <v>-84.810007458000001</v>
      </c>
      <c r="V346">
        <f>SUM(W346:X346)+(Y346*0.8)+(Z346*0.4)</f>
        <v>96</v>
      </c>
      <c r="W346">
        <v>0</v>
      </c>
      <c r="X346">
        <v>0</v>
      </c>
      <c r="Y346">
        <v>0</v>
      </c>
      <c r="Z346">
        <v>240</v>
      </c>
      <c r="AA346" t="s">
        <v>43</v>
      </c>
      <c r="AB346">
        <v>0</v>
      </c>
      <c r="AD346" t="s">
        <v>10040</v>
      </c>
      <c r="AE346" t="s">
        <v>10041</v>
      </c>
    </row>
    <row r="347" spans="1:31" x14ac:dyDescent="0.25">
      <c r="A347" t="s">
        <v>31</v>
      </c>
      <c r="C347" t="s">
        <v>3710</v>
      </c>
      <c r="D347" t="s">
        <v>3791</v>
      </c>
      <c r="E347" t="s">
        <v>34</v>
      </c>
      <c r="F347" t="s">
        <v>66</v>
      </c>
      <c r="H347" t="s">
        <v>36</v>
      </c>
      <c r="I347" t="s">
        <v>3792</v>
      </c>
      <c r="J347" t="s">
        <v>31</v>
      </c>
      <c r="K347" t="s">
        <v>38</v>
      </c>
      <c r="L347" t="s">
        <v>242</v>
      </c>
      <c r="M347" t="s">
        <v>243</v>
      </c>
      <c r="N347" t="s">
        <v>748</v>
      </c>
      <c r="O347" t="s">
        <v>3220</v>
      </c>
      <c r="P347" t="s">
        <v>2551</v>
      </c>
      <c r="T347">
        <v>38.449857921000003</v>
      </c>
      <c r="U347">
        <v>-77.980829642000003</v>
      </c>
      <c r="V347">
        <f>SUM(W347:X347)+(Y347*0.8)+(Z347*0.4)</f>
        <v>96</v>
      </c>
      <c r="W347">
        <v>0</v>
      </c>
      <c r="X347">
        <v>0</v>
      </c>
      <c r="Y347">
        <v>120</v>
      </c>
      <c r="Z347">
        <v>0</v>
      </c>
      <c r="AA347" t="s">
        <v>43</v>
      </c>
      <c r="AB347">
        <v>0</v>
      </c>
      <c r="AD347" t="s">
        <v>3793</v>
      </c>
      <c r="AE347" t="s">
        <v>3794</v>
      </c>
    </row>
    <row r="348" spans="1:31" x14ac:dyDescent="0.25">
      <c r="A348" t="s">
        <v>31</v>
      </c>
      <c r="C348" t="s">
        <v>2975</v>
      </c>
      <c r="D348" t="s">
        <v>2976</v>
      </c>
      <c r="E348" t="s">
        <v>34</v>
      </c>
      <c r="F348" t="s">
        <v>43</v>
      </c>
      <c r="H348" t="s">
        <v>36</v>
      </c>
      <c r="I348" t="s">
        <v>2977</v>
      </c>
      <c r="J348" t="s">
        <v>31</v>
      </c>
      <c r="K348" t="s">
        <v>38</v>
      </c>
      <c r="L348" t="s">
        <v>242</v>
      </c>
      <c r="M348" t="s">
        <v>243</v>
      </c>
      <c r="N348" t="s">
        <v>806</v>
      </c>
      <c r="O348" t="s">
        <v>2978</v>
      </c>
      <c r="P348" t="s">
        <v>2979</v>
      </c>
      <c r="Q348" t="s">
        <v>2980</v>
      </c>
      <c r="T348">
        <v>38.55467136</v>
      </c>
      <c r="U348">
        <v>-77.802649439000007</v>
      </c>
      <c r="V348">
        <f>SUM(W348:X348)+(Y348*0.8)+(Z348*0.4)</f>
        <v>96</v>
      </c>
      <c r="W348">
        <v>0</v>
      </c>
      <c r="X348">
        <v>0</v>
      </c>
      <c r="Y348">
        <v>0</v>
      </c>
      <c r="Z348">
        <v>240</v>
      </c>
      <c r="AA348" t="s">
        <v>43</v>
      </c>
      <c r="AB348">
        <v>0</v>
      </c>
      <c r="AD348" t="s">
        <v>2981</v>
      </c>
      <c r="AE348" t="s">
        <v>2982</v>
      </c>
    </row>
    <row r="349" spans="1:31" x14ac:dyDescent="0.25">
      <c r="A349" t="s">
        <v>31</v>
      </c>
      <c r="C349" t="s">
        <v>9784</v>
      </c>
      <c r="D349" t="s">
        <v>9785</v>
      </c>
      <c r="E349" t="s">
        <v>34</v>
      </c>
      <c r="F349" t="s">
        <v>66</v>
      </c>
      <c r="G349">
        <v>2024</v>
      </c>
      <c r="H349" t="s">
        <v>36</v>
      </c>
      <c r="I349" t="s">
        <v>9786</v>
      </c>
      <c r="J349" t="s">
        <v>31</v>
      </c>
      <c r="K349" t="s">
        <v>38</v>
      </c>
      <c r="L349" t="s">
        <v>68</v>
      </c>
      <c r="M349" t="s">
        <v>69</v>
      </c>
      <c r="N349" t="s">
        <v>1350</v>
      </c>
      <c r="O349" t="s">
        <v>9787</v>
      </c>
      <c r="P349" t="s">
        <v>9788</v>
      </c>
      <c r="Q349" t="s">
        <v>9789</v>
      </c>
      <c r="T349">
        <v>30.482197859999999</v>
      </c>
      <c r="U349">
        <v>-97.624433800000006</v>
      </c>
      <c r="V349">
        <f>SUM(W349:X349)+(Y349*0.8)+(Z349*0.4)</f>
        <v>95</v>
      </c>
      <c r="W349">
        <v>45</v>
      </c>
      <c r="X349">
        <v>50</v>
      </c>
      <c r="Y349">
        <v>0</v>
      </c>
      <c r="Z349">
        <v>0</v>
      </c>
      <c r="AA349" t="s">
        <v>43</v>
      </c>
      <c r="AB349">
        <v>45</v>
      </c>
      <c r="AD349" t="s">
        <v>9790</v>
      </c>
      <c r="AE349" t="s">
        <v>9791</v>
      </c>
    </row>
    <row r="350" spans="1:31" x14ac:dyDescent="0.25">
      <c r="A350" t="s">
        <v>31</v>
      </c>
      <c r="C350" t="s">
        <v>9524</v>
      </c>
      <c r="D350" t="s">
        <v>9530</v>
      </c>
      <c r="E350" t="s">
        <v>34</v>
      </c>
      <c r="F350" t="s">
        <v>66</v>
      </c>
      <c r="G350">
        <v>2027</v>
      </c>
      <c r="H350" t="s">
        <v>36</v>
      </c>
      <c r="I350" t="s">
        <v>1115</v>
      </c>
      <c r="J350" t="s">
        <v>31</v>
      </c>
      <c r="K350" t="s">
        <v>38</v>
      </c>
      <c r="L350" t="s">
        <v>133</v>
      </c>
      <c r="M350" t="s">
        <v>134</v>
      </c>
      <c r="N350" t="s">
        <v>1202</v>
      </c>
      <c r="T350">
        <v>45.709831028000004</v>
      </c>
      <c r="U350">
        <v>-119.82414491199999</v>
      </c>
      <c r="V350">
        <f>SUM(W350:X350)+(Y350*0.8)+(Z350*0.4)</f>
        <v>94.176000000000016</v>
      </c>
      <c r="W350">
        <v>0</v>
      </c>
      <c r="X350">
        <v>0</v>
      </c>
      <c r="Y350">
        <v>39.24</v>
      </c>
      <c r="Z350">
        <v>156.96</v>
      </c>
      <c r="AA350" t="s">
        <v>43</v>
      </c>
      <c r="AB350">
        <v>0</v>
      </c>
      <c r="AD350" t="s">
        <v>9531</v>
      </c>
      <c r="AE350" t="s">
        <v>9532</v>
      </c>
    </row>
    <row r="351" spans="1:31" x14ac:dyDescent="0.25">
      <c r="A351" t="s">
        <v>31</v>
      </c>
      <c r="C351" t="s">
        <v>9202</v>
      </c>
      <c r="D351" t="s">
        <v>9207</v>
      </c>
      <c r="E351" t="s">
        <v>34</v>
      </c>
      <c r="F351" t="s">
        <v>66</v>
      </c>
      <c r="G351">
        <v>2023</v>
      </c>
      <c r="H351" t="s">
        <v>36</v>
      </c>
      <c r="I351" t="s">
        <v>9208</v>
      </c>
      <c r="J351" t="s">
        <v>31</v>
      </c>
      <c r="K351" t="s">
        <v>38</v>
      </c>
      <c r="L351" t="s">
        <v>242</v>
      </c>
      <c r="M351" t="s">
        <v>243</v>
      </c>
      <c r="N351" t="s">
        <v>405</v>
      </c>
      <c r="O351" t="s">
        <v>526</v>
      </c>
      <c r="P351" t="s">
        <v>527</v>
      </c>
      <c r="T351">
        <v>38.995558000000003</v>
      </c>
      <c r="U351">
        <v>-77.456059999999994</v>
      </c>
      <c r="V351">
        <f>SUM(W351:X351)+(Y351*0.8)+(Z351*0.4)</f>
        <v>94</v>
      </c>
      <c r="W351">
        <v>78</v>
      </c>
      <c r="X351">
        <v>0</v>
      </c>
      <c r="Y351">
        <v>20</v>
      </c>
      <c r="Z351">
        <v>0</v>
      </c>
      <c r="AA351" t="s">
        <v>43</v>
      </c>
      <c r="AB351">
        <v>78</v>
      </c>
      <c r="AD351" t="s">
        <v>9209</v>
      </c>
      <c r="AE351" t="s">
        <v>9210</v>
      </c>
    </row>
    <row r="352" spans="1:31" x14ac:dyDescent="0.25">
      <c r="A352" t="s">
        <v>31</v>
      </c>
      <c r="B352" t="s">
        <v>11350</v>
      </c>
      <c r="C352" t="s">
        <v>7857</v>
      </c>
      <c r="D352" t="s">
        <v>8091</v>
      </c>
      <c r="E352" t="s">
        <v>362</v>
      </c>
      <c r="F352" t="s">
        <v>649</v>
      </c>
      <c r="G352">
        <v>2014</v>
      </c>
      <c r="H352" t="s">
        <v>36</v>
      </c>
      <c r="I352" t="s">
        <v>8092</v>
      </c>
      <c r="J352" t="s">
        <v>31</v>
      </c>
      <c r="K352" t="s">
        <v>38</v>
      </c>
      <c r="L352" t="s">
        <v>3288</v>
      </c>
      <c r="M352" t="s">
        <v>3289</v>
      </c>
      <c r="N352" t="s">
        <v>7478</v>
      </c>
      <c r="O352" t="s">
        <v>7479</v>
      </c>
      <c r="P352" t="s">
        <v>7900</v>
      </c>
      <c r="T352">
        <v>41.126134460000003</v>
      </c>
      <c r="U352">
        <v>-104.901919444</v>
      </c>
      <c r="V352">
        <f>SUM(W352:X352)+(Y352*0.8)+(Z352*0.4)</f>
        <v>94</v>
      </c>
      <c r="W352">
        <v>94</v>
      </c>
      <c r="X352">
        <v>0</v>
      </c>
      <c r="Y352">
        <v>0</v>
      </c>
      <c r="Z352">
        <v>0</v>
      </c>
      <c r="AA352" t="s">
        <v>43</v>
      </c>
      <c r="AB352">
        <v>94</v>
      </c>
      <c r="AD352" t="s">
        <v>8093</v>
      </c>
      <c r="AE352" t="s">
        <v>8094</v>
      </c>
    </row>
    <row r="353" spans="1:31" x14ac:dyDescent="0.25">
      <c r="A353" t="s">
        <v>31</v>
      </c>
      <c r="C353" t="s">
        <v>1724</v>
      </c>
      <c r="D353" t="s">
        <v>1747</v>
      </c>
      <c r="E353" t="s">
        <v>34</v>
      </c>
      <c r="F353" t="s">
        <v>66</v>
      </c>
      <c r="G353">
        <v>2027</v>
      </c>
      <c r="H353" t="s">
        <v>411</v>
      </c>
      <c r="I353" t="s">
        <v>1748</v>
      </c>
      <c r="J353" t="s">
        <v>31</v>
      </c>
      <c r="K353" t="s">
        <v>38</v>
      </c>
      <c r="L353" t="s">
        <v>1146</v>
      </c>
      <c r="M353" t="s">
        <v>1147</v>
      </c>
      <c r="N353" t="s">
        <v>1749</v>
      </c>
      <c r="O353" t="s">
        <v>1750</v>
      </c>
      <c r="P353" t="s">
        <v>1751</v>
      </c>
      <c r="T353">
        <v>32.263730000000002</v>
      </c>
      <c r="U353">
        <v>-90.021799999999999</v>
      </c>
      <c r="V353">
        <f>SUM(W353:X353)+(Y353*0.8)+(Z353*0.4)</f>
        <v>92.800000000000011</v>
      </c>
      <c r="W353">
        <v>0</v>
      </c>
      <c r="X353">
        <v>0</v>
      </c>
      <c r="Y353">
        <v>116</v>
      </c>
      <c r="Z353">
        <v>0</v>
      </c>
      <c r="AA353" t="s">
        <v>43</v>
      </c>
      <c r="AB353">
        <v>0</v>
      </c>
      <c r="AD353" t="s">
        <v>1752</v>
      </c>
      <c r="AE353" t="s">
        <v>1753</v>
      </c>
    </row>
    <row r="354" spans="1:31" x14ac:dyDescent="0.25">
      <c r="A354" t="s">
        <v>31</v>
      </c>
      <c r="C354" t="s">
        <v>8847</v>
      </c>
      <c r="D354" t="s">
        <v>8848</v>
      </c>
      <c r="E354" t="s">
        <v>34</v>
      </c>
      <c r="F354" t="s">
        <v>66</v>
      </c>
      <c r="H354" t="s">
        <v>36</v>
      </c>
      <c r="I354" t="s">
        <v>8849</v>
      </c>
      <c r="J354" t="s">
        <v>31</v>
      </c>
      <c r="K354" t="s">
        <v>38</v>
      </c>
      <c r="L354" t="s">
        <v>143</v>
      </c>
      <c r="M354" t="s">
        <v>144</v>
      </c>
      <c r="N354" t="s">
        <v>8032</v>
      </c>
      <c r="O354" t="s">
        <v>8850</v>
      </c>
      <c r="P354" t="s">
        <v>8851</v>
      </c>
      <c r="Q354" t="s">
        <v>8852</v>
      </c>
      <c r="T354">
        <v>41.713453792999999</v>
      </c>
      <c r="U354">
        <v>-86.842820857999996</v>
      </c>
      <c r="V354">
        <f>SUM(W354:X354)+(Y354*0.8)+(Z354*0.4)</f>
        <v>92.102400000000003</v>
      </c>
      <c r="W354">
        <v>0</v>
      </c>
      <c r="X354">
        <v>51.167999999999999</v>
      </c>
      <c r="Y354">
        <v>51.167999999999999</v>
      </c>
      <c r="Z354">
        <v>0</v>
      </c>
      <c r="AA354" t="s">
        <v>43</v>
      </c>
      <c r="AB354">
        <v>0</v>
      </c>
      <c r="AD354" t="s">
        <v>8853</v>
      </c>
      <c r="AE354" t="s">
        <v>8854</v>
      </c>
    </row>
    <row r="355" spans="1:31" x14ac:dyDescent="0.25">
      <c r="A355" t="s">
        <v>31</v>
      </c>
      <c r="C355" t="s">
        <v>10208</v>
      </c>
      <c r="D355" t="s">
        <v>2271</v>
      </c>
      <c r="E355" t="s">
        <v>34</v>
      </c>
      <c r="F355" t="s">
        <v>76</v>
      </c>
      <c r="G355">
        <v>2013</v>
      </c>
      <c r="H355" t="s">
        <v>36</v>
      </c>
      <c r="I355" t="s">
        <v>10213</v>
      </c>
      <c r="J355" t="s">
        <v>31</v>
      </c>
      <c r="K355" t="s">
        <v>38</v>
      </c>
      <c r="L355" t="s">
        <v>383</v>
      </c>
      <c r="M355" t="s">
        <v>384</v>
      </c>
      <c r="N355" t="s">
        <v>10214</v>
      </c>
      <c r="O355" t="s">
        <v>10215</v>
      </c>
      <c r="P355" t="s">
        <v>10216</v>
      </c>
      <c r="T355">
        <v>35.250354000000002</v>
      </c>
      <c r="U355">
        <v>-81.395207999999997</v>
      </c>
      <c r="V355">
        <f>SUM(W355:X355)+(Y355*0.8)+(Z355*0.4)</f>
        <v>92</v>
      </c>
      <c r="W355">
        <v>41.5</v>
      </c>
      <c r="X355">
        <v>2.5</v>
      </c>
      <c r="Y355">
        <v>60</v>
      </c>
      <c r="Z355">
        <v>0</v>
      </c>
      <c r="AA355" t="s">
        <v>43</v>
      </c>
      <c r="AB355">
        <v>44</v>
      </c>
      <c r="AD355" t="s">
        <v>10217</v>
      </c>
      <c r="AE355" t="s">
        <v>10218</v>
      </c>
    </row>
    <row r="356" spans="1:31" x14ac:dyDescent="0.25">
      <c r="A356" t="s">
        <v>31</v>
      </c>
      <c r="C356" t="s">
        <v>10607</v>
      </c>
      <c r="D356" t="s">
        <v>10620</v>
      </c>
      <c r="E356" t="s">
        <v>34</v>
      </c>
      <c r="F356" t="s">
        <v>76</v>
      </c>
      <c r="H356" t="s">
        <v>36</v>
      </c>
      <c r="J356" t="s">
        <v>31</v>
      </c>
      <c r="K356" t="s">
        <v>38</v>
      </c>
      <c r="L356" t="s">
        <v>1457</v>
      </c>
      <c r="M356" t="s">
        <v>1458</v>
      </c>
      <c r="N356" t="s">
        <v>2821</v>
      </c>
      <c r="O356" t="s">
        <v>2822</v>
      </c>
      <c r="P356" t="s">
        <v>6299</v>
      </c>
      <c r="T356">
        <v>39.542019545000002</v>
      </c>
      <c r="U356">
        <v>-119.49911341400001</v>
      </c>
      <c r="V356">
        <f>SUM(W356:X356)+(Y356*0.8)+(Z356*0.4)</f>
        <v>92</v>
      </c>
      <c r="W356">
        <v>0</v>
      </c>
      <c r="X356">
        <v>0</v>
      </c>
      <c r="Y356">
        <v>0</v>
      </c>
      <c r="Z356">
        <v>230</v>
      </c>
      <c r="AA356" t="s">
        <v>43</v>
      </c>
      <c r="AB356">
        <v>0</v>
      </c>
      <c r="AD356" t="s">
        <v>10621</v>
      </c>
      <c r="AE356" t="s">
        <v>10622</v>
      </c>
    </row>
    <row r="357" spans="1:31" x14ac:dyDescent="0.25">
      <c r="A357" t="s">
        <v>31</v>
      </c>
      <c r="C357" t="s">
        <v>3217</v>
      </c>
      <c r="D357" t="s">
        <v>3218</v>
      </c>
      <c r="E357" t="s">
        <v>34</v>
      </c>
      <c r="F357" t="s">
        <v>66</v>
      </c>
      <c r="H357" t="s">
        <v>36</v>
      </c>
      <c r="I357" t="s">
        <v>3219</v>
      </c>
      <c r="J357" t="s">
        <v>31</v>
      </c>
      <c r="K357" t="s">
        <v>38</v>
      </c>
      <c r="L357" t="s">
        <v>242</v>
      </c>
      <c r="M357" t="s">
        <v>243</v>
      </c>
      <c r="N357" t="s">
        <v>748</v>
      </c>
      <c r="O357" t="s">
        <v>3220</v>
      </c>
      <c r="P357" t="s">
        <v>2551</v>
      </c>
      <c r="T357">
        <v>38.465830320000002</v>
      </c>
      <c r="U357">
        <v>-77.985729176000007</v>
      </c>
      <c r="V357">
        <f>SUM(W357:X357)+(Y357*0.8)+(Z357*0.4)</f>
        <v>92</v>
      </c>
      <c r="W357">
        <v>0</v>
      </c>
      <c r="X357">
        <v>0</v>
      </c>
      <c r="Y357">
        <v>0</v>
      </c>
      <c r="Z357">
        <v>230</v>
      </c>
      <c r="AA357" t="s">
        <v>43</v>
      </c>
      <c r="AB357">
        <v>0</v>
      </c>
      <c r="AD357" t="s">
        <v>3221</v>
      </c>
      <c r="AE357" t="s">
        <v>3222</v>
      </c>
    </row>
    <row r="358" spans="1:31" x14ac:dyDescent="0.25">
      <c r="A358" t="s">
        <v>31</v>
      </c>
      <c r="C358" t="s">
        <v>9766</v>
      </c>
      <c r="D358" t="s">
        <v>9767</v>
      </c>
      <c r="E358" t="s">
        <v>34</v>
      </c>
      <c r="F358" t="s">
        <v>66</v>
      </c>
      <c r="H358" t="s">
        <v>36</v>
      </c>
      <c r="I358" t="s">
        <v>9768</v>
      </c>
      <c r="J358" t="s">
        <v>31</v>
      </c>
      <c r="K358" t="s">
        <v>38</v>
      </c>
      <c r="L358" t="s">
        <v>1900</v>
      </c>
      <c r="M358" t="s">
        <v>1901</v>
      </c>
      <c r="N358" t="s">
        <v>9769</v>
      </c>
      <c r="O358" t="s">
        <v>5056</v>
      </c>
      <c r="P358" t="s">
        <v>9770</v>
      </c>
      <c r="T358">
        <v>39.335781812</v>
      </c>
      <c r="U358">
        <v>-94.690544633000002</v>
      </c>
      <c r="V358">
        <f>SUM(W358:X358)+(Y358*0.8)+(Z358*0.4)</f>
        <v>91.977599999999995</v>
      </c>
      <c r="W358">
        <v>0</v>
      </c>
      <c r="X358">
        <v>0</v>
      </c>
      <c r="Y358">
        <v>0</v>
      </c>
      <c r="Z358">
        <v>229.94399999999999</v>
      </c>
      <c r="AA358" t="s">
        <v>43</v>
      </c>
      <c r="AB358">
        <v>0</v>
      </c>
      <c r="AD358" t="s">
        <v>9771</v>
      </c>
      <c r="AE358" t="s">
        <v>9772</v>
      </c>
    </row>
    <row r="359" spans="1:31" x14ac:dyDescent="0.25">
      <c r="A359" t="s">
        <v>31</v>
      </c>
      <c r="B359" t="s">
        <v>11350</v>
      </c>
      <c r="C359" t="s">
        <v>1430</v>
      </c>
      <c r="D359" t="s">
        <v>1455</v>
      </c>
      <c r="E359" t="s">
        <v>362</v>
      </c>
      <c r="F359" t="s">
        <v>1302</v>
      </c>
      <c r="G359">
        <v>2012</v>
      </c>
      <c r="H359" t="s">
        <v>36</v>
      </c>
      <c r="I359" t="s">
        <v>1456</v>
      </c>
      <c r="J359" t="s">
        <v>31</v>
      </c>
      <c r="K359" t="s">
        <v>38</v>
      </c>
      <c r="L359" t="s">
        <v>1457</v>
      </c>
      <c r="M359" t="s">
        <v>1458</v>
      </c>
      <c r="N359" t="s">
        <v>1459</v>
      </c>
      <c r="O359" t="s">
        <v>1455</v>
      </c>
      <c r="P359" t="s">
        <v>1460</v>
      </c>
      <c r="T359">
        <v>39.567762412999997</v>
      </c>
      <c r="U359">
        <v>-119.54318402600001</v>
      </c>
      <c r="V359">
        <f>SUM(W359:X359)+(Y359*0.8)+(Z359*0.4)</f>
        <v>90.73</v>
      </c>
      <c r="W359">
        <v>90.73</v>
      </c>
      <c r="X359">
        <v>0</v>
      </c>
      <c r="Y359">
        <v>0</v>
      </c>
      <c r="Z359">
        <v>0</v>
      </c>
      <c r="AA359" t="s">
        <v>43</v>
      </c>
      <c r="AB359">
        <v>90.73</v>
      </c>
      <c r="AD359" t="s">
        <v>1461</v>
      </c>
      <c r="AE359" t="s">
        <v>1462</v>
      </c>
    </row>
    <row r="360" spans="1:31" x14ac:dyDescent="0.25">
      <c r="A360" t="s">
        <v>31</v>
      </c>
      <c r="C360" t="s">
        <v>3052</v>
      </c>
      <c r="D360" t="s">
        <v>3169</v>
      </c>
      <c r="E360" t="s">
        <v>34</v>
      </c>
      <c r="F360" t="s">
        <v>35</v>
      </c>
      <c r="G360">
        <v>2018</v>
      </c>
      <c r="H360" t="s">
        <v>36</v>
      </c>
      <c r="I360" t="s">
        <v>3170</v>
      </c>
      <c r="J360" t="s">
        <v>31</v>
      </c>
      <c r="K360" t="s">
        <v>38</v>
      </c>
      <c r="L360" t="s">
        <v>242</v>
      </c>
      <c r="M360" t="s">
        <v>243</v>
      </c>
      <c r="N360" t="s">
        <v>244</v>
      </c>
      <c r="O360" t="s">
        <v>3161</v>
      </c>
      <c r="P360" t="s">
        <v>3171</v>
      </c>
      <c r="T360">
        <v>38.948576678000002</v>
      </c>
      <c r="U360">
        <v>-77.372418304999997</v>
      </c>
      <c r="V360">
        <f>SUM(W360:X360)+(Y360*0.8)+(Z360*0.4)</f>
        <v>90.4</v>
      </c>
      <c r="W360">
        <v>48</v>
      </c>
      <c r="X360">
        <v>4</v>
      </c>
      <c r="Y360">
        <v>48</v>
      </c>
      <c r="Z360">
        <v>0</v>
      </c>
      <c r="AA360" t="s">
        <v>43</v>
      </c>
      <c r="AB360">
        <v>46</v>
      </c>
      <c r="AD360" t="s">
        <v>3172</v>
      </c>
      <c r="AE360" t="s">
        <v>3173</v>
      </c>
    </row>
    <row r="361" spans="1:31" x14ac:dyDescent="0.25">
      <c r="A361" t="s">
        <v>31</v>
      </c>
      <c r="C361" t="s">
        <v>9202</v>
      </c>
      <c r="D361" t="s">
        <v>9355</v>
      </c>
      <c r="E361" t="s">
        <v>34</v>
      </c>
      <c r="F361" t="s">
        <v>66</v>
      </c>
      <c r="G361">
        <v>2023</v>
      </c>
      <c r="H361" t="s">
        <v>36</v>
      </c>
      <c r="I361" t="s">
        <v>9356</v>
      </c>
      <c r="J361" t="s">
        <v>31</v>
      </c>
      <c r="K361" t="s">
        <v>38</v>
      </c>
      <c r="L361" t="s">
        <v>68</v>
      </c>
      <c r="M361" t="s">
        <v>69</v>
      </c>
      <c r="N361" t="s">
        <v>712</v>
      </c>
      <c r="O361" t="s">
        <v>713</v>
      </c>
      <c r="P361" t="s">
        <v>3517</v>
      </c>
      <c r="T361">
        <v>29.449155396999998</v>
      </c>
      <c r="U361">
        <v>-98.653173772000002</v>
      </c>
      <c r="V361">
        <f>SUM(W361:X361)+(Y361*0.8)+(Z361*0.4)</f>
        <v>90</v>
      </c>
      <c r="W361">
        <v>90</v>
      </c>
      <c r="X361">
        <v>0</v>
      </c>
      <c r="Y361">
        <v>0</v>
      </c>
      <c r="Z361">
        <v>0</v>
      </c>
      <c r="AA361" t="s">
        <v>43</v>
      </c>
      <c r="AB361">
        <v>90</v>
      </c>
      <c r="AD361" t="s">
        <v>9357</v>
      </c>
      <c r="AE361" t="s">
        <v>9358</v>
      </c>
    </row>
    <row r="362" spans="1:31" x14ac:dyDescent="0.25">
      <c r="A362" t="s">
        <v>31</v>
      </c>
      <c r="C362" t="s">
        <v>2706</v>
      </c>
      <c r="D362" t="s">
        <v>2707</v>
      </c>
      <c r="E362" t="s">
        <v>34</v>
      </c>
      <c r="F362" t="s">
        <v>66</v>
      </c>
      <c r="G362">
        <v>2023</v>
      </c>
      <c r="H362" t="s">
        <v>36</v>
      </c>
      <c r="I362" t="s">
        <v>2708</v>
      </c>
      <c r="J362" t="s">
        <v>31</v>
      </c>
      <c r="K362" t="s">
        <v>38</v>
      </c>
      <c r="L362" t="s">
        <v>242</v>
      </c>
      <c r="M362" t="s">
        <v>243</v>
      </c>
      <c r="N362" t="s">
        <v>405</v>
      </c>
      <c r="O362" t="s">
        <v>516</v>
      </c>
      <c r="P362" t="s">
        <v>517</v>
      </c>
      <c r="T362">
        <v>39.018095764999998</v>
      </c>
      <c r="U362">
        <v>-77.459285215999998</v>
      </c>
      <c r="V362">
        <f>SUM(W362:X362)+(Y362*0.8)+(Z362*0.4)</f>
        <v>90</v>
      </c>
      <c r="W362">
        <v>86</v>
      </c>
      <c r="X362">
        <v>4</v>
      </c>
      <c r="Y362">
        <v>0</v>
      </c>
      <c r="Z362">
        <v>0</v>
      </c>
      <c r="AA362" t="s">
        <v>43</v>
      </c>
      <c r="AB362">
        <v>90</v>
      </c>
      <c r="AD362" t="s">
        <v>2709</v>
      </c>
      <c r="AE362" t="s">
        <v>2710</v>
      </c>
    </row>
    <row r="363" spans="1:31" x14ac:dyDescent="0.25">
      <c r="A363" t="s">
        <v>31</v>
      </c>
      <c r="B363" t="s">
        <v>11350</v>
      </c>
      <c r="C363" t="s">
        <v>647</v>
      </c>
      <c r="D363" t="s">
        <v>717</v>
      </c>
      <c r="E363" t="s">
        <v>362</v>
      </c>
      <c r="F363" t="s">
        <v>649</v>
      </c>
      <c r="G363">
        <v>2023</v>
      </c>
      <c r="H363" t="s">
        <v>36</v>
      </c>
      <c r="I363" t="s">
        <v>718</v>
      </c>
      <c r="J363" t="s">
        <v>31</v>
      </c>
      <c r="K363" t="s">
        <v>38</v>
      </c>
      <c r="L363" t="s">
        <v>242</v>
      </c>
      <c r="M363" t="s">
        <v>243</v>
      </c>
      <c r="N363" t="s">
        <v>244</v>
      </c>
      <c r="O363" t="s">
        <v>719</v>
      </c>
      <c r="P363" t="s">
        <v>720</v>
      </c>
      <c r="T363">
        <v>38.904449264999997</v>
      </c>
      <c r="U363">
        <v>-77.453296731999998</v>
      </c>
      <c r="V363">
        <f>SUM(W363:X363)+(Y363*0.8)+(Z363*0.4)</f>
        <v>90</v>
      </c>
      <c r="W363">
        <v>90</v>
      </c>
      <c r="X363">
        <v>0</v>
      </c>
      <c r="Y363">
        <v>0</v>
      </c>
      <c r="Z363">
        <v>0</v>
      </c>
      <c r="AA363" t="s">
        <v>43</v>
      </c>
      <c r="AB363">
        <v>90</v>
      </c>
      <c r="AD363" t="s">
        <v>721</v>
      </c>
      <c r="AE363" t="s">
        <v>722</v>
      </c>
    </row>
    <row r="364" spans="1:31" x14ac:dyDescent="0.25">
      <c r="A364" t="s">
        <v>31</v>
      </c>
      <c r="C364" t="s">
        <v>8571</v>
      </c>
      <c r="D364" t="s">
        <v>8635</v>
      </c>
      <c r="E364" t="s">
        <v>34</v>
      </c>
      <c r="F364" t="s">
        <v>66</v>
      </c>
      <c r="G364">
        <v>2021</v>
      </c>
      <c r="H364" t="s">
        <v>36</v>
      </c>
      <c r="I364" t="s">
        <v>8636</v>
      </c>
      <c r="J364" t="s">
        <v>31</v>
      </c>
      <c r="K364" t="s">
        <v>38</v>
      </c>
      <c r="L364" t="s">
        <v>133</v>
      </c>
      <c r="M364" t="s">
        <v>134</v>
      </c>
      <c r="N364" t="s">
        <v>419</v>
      </c>
      <c r="O364" t="s">
        <v>420</v>
      </c>
      <c r="P364" t="s">
        <v>421</v>
      </c>
      <c r="S364" t="s">
        <v>4613</v>
      </c>
      <c r="T364">
        <v>45.549603417</v>
      </c>
      <c r="U364">
        <v>-122.936722101</v>
      </c>
      <c r="V364">
        <f>SUM(W364:X364)+(Y364*0.8)+(Z364*0.4)</f>
        <v>90</v>
      </c>
      <c r="W364">
        <v>36</v>
      </c>
      <c r="X364">
        <v>30</v>
      </c>
      <c r="Y364">
        <v>0</v>
      </c>
      <c r="Z364">
        <v>60</v>
      </c>
      <c r="AA364" t="s">
        <v>43</v>
      </c>
      <c r="AB364">
        <v>51</v>
      </c>
      <c r="AD364" t="s">
        <v>8637</v>
      </c>
      <c r="AE364" t="s">
        <v>8638</v>
      </c>
    </row>
    <row r="365" spans="1:31" x14ac:dyDescent="0.25">
      <c r="A365" t="s">
        <v>31</v>
      </c>
      <c r="C365" t="s">
        <v>8791</v>
      </c>
      <c r="D365" t="s">
        <v>8792</v>
      </c>
      <c r="E365" t="s">
        <v>34</v>
      </c>
      <c r="F365" t="s">
        <v>66</v>
      </c>
      <c r="G365">
        <v>2025</v>
      </c>
      <c r="H365" t="s">
        <v>36</v>
      </c>
      <c r="I365" t="s">
        <v>8793</v>
      </c>
      <c r="J365" t="s">
        <v>31</v>
      </c>
      <c r="K365" t="s">
        <v>38</v>
      </c>
      <c r="L365" t="s">
        <v>1900</v>
      </c>
      <c r="M365" t="s">
        <v>1901</v>
      </c>
      <c r="N365" t="s">
        <v>5058</v>
      </c>
      <c r="O365" t="s">
        <v>5056</v>
      </c>
      <c r="P365" t="s">
        <v>8794</v>
      </c>
      <c r="Q365" t="s">
        <v>8795</v>
      </c>
      <c r="S365" t="s">
        <v>8384</v>
      </c>
      <c r="T365">
        <v>39.094947267000002</v>
      </c>
      <c r="U365">
        <v>-94.579354241999994</v>
      </c>
      <c r="V365">
        <f>SUM(W365:X365)+(Y365*0.8)+(Z365*0.4)</f>
        <v>89.99799999999999</v>
      </c>
      <c r="W365">
        <v>41.66</v>
      </c>
      <c r="X365">
        <v>8.33</v>
      </c>
      <c r="Y365">
        <v>50.01</v>
      </c>
      <c r="Z365">
        <v>0</v>
      </c>
      <c r="AA365" t="s">
        <v>43</v>
      </c>
      <c r="AB365">
        <v>5</v>
      </c>
      <c r="AD365" t="s">
        <v>8796</v>
      </c>
      <c r="AE365" t="s">
        <v>8797</v>
      </c>
    </row>
    <row r="366" spans="1:31" x14ac:dyDescent="0.25">
      <c r="A366" t="s">
        <v>31</v>
      </c>
      <c r="B366" t="s">
        <v>11350</v>
      </c>
      <c r="C366" t="s">
        <v>7857</v>
      </c>
      <c r="D366" t="s">
        <v>7925</v>
      </c>
      <c r="E366" t="s">
        <v>362</v>
      </c>
      <c r="F366" t="s">
        <v>649</v>
      </c>
      <c r="G366">
        <v>2022</v>
      </c>
      <c r="H366" t="s">
        <v>36</v>
      </c>
      <c r="I366" t="s">
        <v>7926</v>
      </c>
      <c r="J366" t="s">
        <v>31</v>
      </c>
      <c r="K366" t="s">
        <v>38</v>
      </c>
      <c r="L366" t="s">
        <v>843</v>
      </c>
      <c r="M366" t="s">
        <v>1644</v>
      </c>
      <c r="N366" t="s">
        <v>155</v>
      </c>
      <c r="O366" t="s">
        <v>7925</v>
      </c>
      <c r="P366" t="s">
        <v>7927</v>
      </c>
      <c r="T366">
        <v>47.416063960000002</v>
      </c>
      <c r="U366">
        <v>-120.20823495499999</v>
      </c>
      <c r="V366">
        <f>SUM(W366:X366)+(Y366*0.8)+(Z366*0.4)</f>
        <v>89.600000000000009</v>
      </c>
      <c r="W366">
        <v>42</v>
      </c>
      <c r="X366">
        <v>14</v>
      </c>
      <c r="Y366">
        <v>28</v>
      </c>
      <c r="Z366">
        <v>28</v>
      </c>
      <c r="AA366" t="s">
        <v>43</v>
      </c>
      <c r="AB366">
        <v>84</v>
      </c>
      <c r="AD366" t="s">
        <v>7928</v>
      </c>
      <c r="AE366" t="s">
        <v>7929</v>
      </c>
    </row>
    <row r="367" spans="1:31" x14ac:dyDescent="0.25">
      <c r="A367" t="s">
        <v>31</v>
      </c>
      <c r="C367" t="s">
        <v>8969</v>
      </c>
      <c r="D367" t="s">
        <v>9014</v>
      </c>
      <c r="E367" t="s">
        <v>34</v>
      </c>
      <c r="F367" t="s">
        <v>76</v>
      </c>
      <c r="G367">
        <v>2027</v>
      </c>
      <c r="H367" t="s">
        <v>36</v>
      </c>
      <c r="I367" t="s">
        <v>9015</v>
      </c>
      <c r="J367" t="s">
        <v>31</v>
      </c>
      <c r="K367" t="s">
        <v>38</v>
      </c>
      <c r="L367" t="s">
        <v>242</v>
      </c>
      <c r="M367" t="s">
        <v>243</v>
      </c>
      <c r="N367" t="s">
        <v>405</v>
      </c>
      <c r="O367" t="s">
        <v>526</v>
      </c>
      <c r="P367" t="s">
        <v>527</v>
      </c>
      <c r="T367">
        <v>38.943854592000001</v>
      </c>
      <c r="U367">
        <v>-77.536016645999993</v>
      </c>
      <c r="V367">
        <f>SUM(W367:X367)+(Y367*0.8)+(Z367*0.4)</f>
        <v>88</v>
      </c>
      <c r="W367">
        <v>0</v>
      </c>
      <c r="X367">
        <v>0</v>
      </c>
      <c r="Y367">
        <v>110</v>
      </c>
      <c r="Z367">
        <v>0</v>
      </c>
      <c r="AA367" t="s">
        <v>43</v>
      </c>
      <c r="AB367">
        <v>0</v>
      </c>
      <c r="AD367" t="s">
        <v>9016</v>
      </c>
      <c r="AE367" t="s">
        <v>9017</v>
      </c>
    </row>
    <row r="368" spans="1:31" x14ac:dyDescent="0.25">
      <c r="A368" t="s">
        <v>31</v>
      </c>
      <c r="C368" t="s">
        <v>3849</v>
      </c>
      <c r="D368" t="s">
        <v>4616</v>
      </c>
      <c r="E368" t="s">
        <v>34</v>
      </c>
      <c r="F368" t="s">
        <v>66</v>
      </c>
      <c r="G368">
        <v>2022</v>
      </c>
      <c r="H368" t="s">
        <v>36</v>
      </c>
      <c r="I368" t="s">
        <v>4617</v>
      </c>
      <c r="J368" t="s">
        <v>31</v>
      </c>
      <c r="K368" t="s">
        <v>38</v>
      </c>
      <c r="L368" t="s">
        <v>133</v>
      </c>
      <c r="M368" t="s">
        <v>134</v>
      </c>
      <c r="N368" t="s">
        <v>419</v>
      </c>
      <c r="O368" t="s">
        <v>420</v>
      </c>
      <c r="P368" t="s">
        <v>421</v>
      </c>
      <c r="S368" t="s">
        <v>4613</v>
      </c>
      <c r="T368">
        <v>45.568326560000003</v>
      </c>
      <c r="U368">
        <v>-122.92010390199999</v>
      </c>
      <c r="V368">
        <f>SUM(W368:X368)+(Y368*0.8)+(Z368*0.4)</f>
        <v>88</v>
      </c>
      <c r="W368">
        <v>88</v>
      </c>
      <c r="X368">
        <v>0</v>
      </c>
      <c r="Y368">
        <v>0</v>
      </c>
      <c r="Z368">
        <v>0</v>
      </c>
      <c r="AA368" t="s">
        <v>43</v>
      </c>
      <c r="AB368">
        <v>88</v>
      </c>
      <c r="AD368" t="s">
        <v>4618</v>
      </c>
      <c r="AE368" t="s">
        <v>4619</v>
      </c>
    </row>
    <row r="369" spans="1:31" x14ac:dyDescent="0.25">
      <c r="A369" t="s">
        <v>31</v>
      </c>
      <c r="C369" t="s">
        <v>9541</v>
      </c>
      <c r="D369" t="s">
        <v>9542</v>
      </c>
      <c r="E369" t="s">
        <v>34</v>
      </c>
      <c r="F369" t="s">
        <v>66</v>
      </c>
      <c r="G369">
        <v>2033</v>
      </c>
      <c r="H369" t="s">
        <v>36</v>
      </c>
      <c r="I369" t="s">
        <v>9543</v>
      </c>
      <c r="J369" t="s">
        <v>31</v>
      </c>
      <c r="K369" t="s">
        <v>38</v>
      </c>
      <c r="L369" t="s">
        <v>185</v>
      </c>
      <c r="M369" t="s">
        <v>186</v>
      </c>
      <c r="N369" t="s">
        <v>187</v>
      </c>
      <c r="O369" t="s">
        <v>1606</v>
      </c>
      <c r="P369" t="s">
        <v>7922</v>
      </c>
      <c r="T369">
        <v>33.615124999999999</v>
      </c>
      <c r="U369">
        <v>-84.552223999999995</v>
      </c>
      <c r="V369">
        <f>SUM(W369:X369)+(Y369*0.8)+(Z369*0.4)</f>
        <v>87.68</v>
      </c>
      <c r="W369">
        <v>0</v>
      </c>
      <c r="X369">
        <v>0</v>
      </c>
      <c r="Y369">
        <v>0</v>
      </c>
      <c r="Z369">
        <v>219.2</v>
      </c>
      <c r="AA369" t="s">
        <v>43</v>
      </c>
      <c r="AB369">
        <v>0</v>
      </c>
      <c r="AD369" t="s">
        <v>9544</v>
      </c>
      <c r="AE369" t="s">
        <v>9545</v>
      </c>
    </row>
    <row r="370" spans="1:31" x14ac:dyDescent="0.25">
      <c r="A370" t="s">
        <v>31</v>
      </c>
      <c r="B370" t="s">
        <v>11350</v>
      </c>
      <c r="C370" t="s">
        <v>647</v>
      </c>
      <c r="D370" t="s">
        <v>672</v>
      </c>
      <c r="E370" t="s">
        <v>362</v>
      </c>
      <c r="F370" t="s">
        <v>649</v>
      </c>
      <c r="H370" t="s">
        <v>36</v>
      </c>
      <c r="I370" t="s">
        <v>673</v>
      </c>
      <c r="J370" t="s">
        <v>31</v>
      </c>
      <c r="K370" t="s">
        <v>38</v>
      </c>
      <c r="L370" t="s">
        <v>242</v>
      </c>
      <c r="M370" t="s">
        <v>243</v>
      </c>
      <c r="N370" t="s">
        <v>405</v>
      </c>
      <c r="O370" t="s">
        <v>674</v>
      </c>
      <c r="P370" t="s">
        <v>675</v>
      </c>
      <c r="T370">
        <v>38.945368271</v>
      </c>
      <c r="U370">
        <v>-77.549525223000003</v>
      </c>
      <c r="V370">
        <f>SUM(W370:X370)+(Y370*0.8)+(Z370*0.4)</f>
        <v>87.600000000000009</v>
      </c>
      <c r="W370">
        <v>0</v>
      </c>
      <c r="X370">
        <v>0</v>
      </c>
      <c r="Y370">
        <v>109.5</v>
      </c>
      <c r="Z370">
        <v>0</v>
      </c>
      <c r="AA370" t="s">
        <v>43</v>
      </c>
      <c r="AB370">
        <v>109.5</v>
      </c>
      <c r="AD370" t="s">
        <v>676</v>
      </c>
      <c r="AE370" t="s">
        <v>677</v>
      </c>
    </row>
    <row r="371" spans="1:31" x14ac:dyDescent="0.25">
      <c r="A371" t="s">
        <v>31</v>
      </c>
      <c r="B371" t="s">
        <v>11350</v>
      </c>
      <c r="C371" t="s">
        <v>7857</v>
      </c>
      <c r="D371" t="s">
        <v>1681</v>
      </c>
      <c r="E371" t="s">
        <v>362</v>
      </c>
      <c r="F371" t="s">
        <v>649</v>
      </c>
      <c r="G371">
        <v>2027</v>
      </c>
      <c r="H371" t="s">
        <v>36</v>
      </c>
      <c r="I371" t="s">
        <v>8134</v>
      </c>
      <c r="J371" t="s">
        <v>31</v>
      </c>
      <c r="K371" t="s">
        <v>38</v>
      </c>
      <c r="L371" t="s">
        <v>185</v>
      </c>
      <c r="M371" t="s">
        <v>186</v>
      </c>
      <c r="N371" t="s">
        <v>1680</v>
      </c>
      <c r="O371" t="s">
        <v>1681</v>
      </c>
      <c r="P371" t="s">
        <v>1682</v>
      </c>
      <c r="T371">
        <v>34.302402622999999</v>
      </c>
      <c r="U371">
        <v>-85.303657525999995</v>
      </c>
      <c r="V371">
        <f>SUM(W371:X371)+(Y371*0.8)+(Z371*0.4)</f>
        <v>87.360000000000014</v>
      </c>
      <c r="W371">
        <v>0</v>
      </c>
      <c r="X371">
        <v>0</v>
      </c>
      <c r="Y371">
        <v>0</v>
      </c>
      <c r="Z371">
        <v>218.4</v>
      </c>
      <c r="AA371" t="s">
        <v>43</v>
      </c>
      <c r="AB371">
        <v>0</v>
      </c>
      <c r="AD371" t="s">
        <v>8135</v>
      </c>
      <c r="AE371" t="s">
        <v>8136</v>
      </c>
    </row>
    <row r="372" spans="1:31" x14ac:dyDescent="0.25">
      <c r="A372" t="s">
        <v>31</v>
      </c>
      <c r="B372" t="s">
        <v>11350</v>
      </c>
      <c r="C372" t="s">
        <v>6116</v>
      </c>
      <c r="D372" t="s">
        <v>6213</v>
      </c>
      <c r="E372" t="s">
        <v>362</v>
      </c>
      <c r="F372" t="s">
        <v>649</v>
      </c>
      <c r="G372">
        <v>2019</v>
      </c>
      <c r="H372" t="s">
        <v>36</v>
      </c>
      <c r="I372" t="s">
        <v>6214</v>
      </c>
      <c r="J372" t="s">
        <v>31</v>
      </c>
      <c r="K372" t="s">
        <v>38</v>
      </c>
      <c r="L372" t="s">
        <v>242</v>
      </c>
      <c r="M372" t="s">
        <v>243</v>
      </c>
      <c r="N372" t="s">
        <v>405</v>
      </c>
      <c r="O372" t="s">
        <v>6215</v>
      </c>
      <c r="P372" t="s">
        <v>6216</v>
      </c>
      <c r="T372">
        <v>38.943794797000002</v>
      </c>
      <c r="U372">
        <v>-77.524776157999995</v>
      </c>
      <c r="V372">
        <f>SUM(W372:X372)+(Y372*0.8)+(Z372*0.4)</f>
        <v>87</v>
      </c>
      <c r="W372">
        <v>54</v>
      </c>
      <c r="X372">
        <v>33</v>
      </c>
      <c r="Y372">
        <v>0</v>
      </c>
      <c r="Z372">
        <v>0</v>
      </c>
      <c r="AA372" t="s">
        <v>43</v>
      </c>
      <c r="AB372">
        <v>87</v>
      </c>
      <c r="AD372" t="s">
        <v>6217</v>
      </c>
      <c r="AE372" t="s">
        <v>6218</v>
      </c>
    </row>
    <row r="373" spans="1:31" x14ac:dyDescent="0.25">
      <c r="A373" t="s">
        <v>31</v>
      </c>
      <c r="C373" t="s">
        <v>1844</v>
      </c>
      <c r="D373" t="s">
        <v>7161</v>
      </c>
      <c r="E373" t="s">
        <v>34</v>
      </c>
      <c r="F373" t="s">
        <v>66</v>
      </c>
      <c r="G373">
        <v>2026</v>
      </c>
      <c r="H373" t="s">
        <v>36</v>
      </c>
      <c r="I373" t="s">
        <v>7162</v>
      </c>
      <c r="J373" t="s">
        <v>31</v>
      </c>
      <c r="K373" t="s">
        <v>38</v>
      </c>
      <c r="L373" t="s">
        <v>317</v>
      </c>
      <c r="M373" t="s">
        <v>318</v>
      </c>
      <c r="N373" t="s">
        <v>584</v>
      </c>
      <c r="O373" t="s">
        <v>1177</v>
      </c>
      <c r="P373" t="s">
        <v>1171</v>
      </c>
      <c r="Q373" t="s">
        <v>1170</v>
      </c>
      <c r="T373">
        <v>40.099275359000004</v>
      </c>
      <c r="U373">
        <v>-82.748252492999995</v>
      </c>
      <c r="V373">
        <f>SUM(W373:X373)+(Y373*0.8)+(Z373*0.4)</f>
        <v>86.4</v>
      </c>
      <c r="W373">
        <v>0</v>
      </c>
      <c r="X373">
        <v>0</v>
      </c>
      <c r="Y373">
        <v>0</v>
      </c>
      <c r="Z373">
        <v>216</v>
      </c>
      <c r="AA373" t="s">
        <v>43</v>
      </c>
      <c r="AB373">
        <v>0</v>
      </c>
      <c r="AD373" t="s">
        <v>7163</v>
      </c>
      <c r="AE373" t="s">
        <v>7164</v>
      </c>
    </row>
    <row r="374" spans="1:31" x14ac:dyDescent="0.25">
      <c r="A374" t="s">
        <v>31</v>
      </c>
      <c r="C374" t="s">
        <v>3312</v>
      </c>
      <c r="D374" t="s">
        <v>3532</v>
      </c>
      <c r="E374" t="s">
        <v>34</v>
      </c>
      <c r="F374" t="s">
        <v>66</v>
      </c>
      <c r="H374" t="s">
        <v>36</v>
      </c>
      <c r="I374" t="s">
        <v>3533</v>
      </c>
      <c r="J374" t="s">
        <v>31</v>
      </c>
      <c r="K374" t="s">
        <v>38</v>
      </c>
      <c r="L374" t="s">
        <v>242</v>
      </c>
      <c r="M374" t="s">
        <v>243</v>
      </c>
      <c r="N374" t="s">
        <v>405</v>
      </c>
      <c r="O374" t="s">
        <v>3534</v>
      </c>
      <c r="P374" t="s">
        <v>3535</v>
      </c>
      <c r="T374">
        <v>39.033247514000003</v>
      </c>
      <c r="U374">
        <v>-77.524439999999998</v>
      </c>
      <c r="V374">
        <f>SUM(W374:X374)+(Y374*0.8)+(Z374*0.4)</f>
        <v>86.4</v>
      </c>
      <c r="W374">
        <v>0</v>
      </c>
      <c r="X374">
        <v>0</v>
      </c>
      <c r="Y374">
        <v>108</v>
      </c>
      <c r="Z374">
        <v>0</v>
      </c>
      <c r="AA374" t="s">
        <v>43</v>
      </c>
      <c r="AB374">
        <v>0</v>
      </c>
      <c r="AD374" t="s">
        <v>3536</v>
      </c>
      <c r="AE374" t="s">
        <v>3537</v>
      </c>
    </row>
    <row r="375" spans="1:31" x14ac:dyDescent="0.25">
      <c r="A375" t="s">
        <v>31</v>
      </c>
      <c r="C375" t="s">
        <v>3312</v>
      </c>
      <c r="D375" t="s">
        <v>3538</v>
      </c>
      <c r="E375" t="s">
        <v>34</v>
      </c>
      <c r="F375" t="s">
        <v>43</v>
      </c>
      <c r="H375" t="s">
        <v>36</v>
      </c>
      <c r="I375" t="s">
        <v>3539</v>
      </c>
      <c r="J375" t="s">
        <v>31</v>
      </c>
      <c r="K375" t="s">
        <v>38</v>
      </c>
      <c r="L375" t="s">
        <v>242</v>
      </c>
      <c r="M375" t="s">
        <v>243</v>
      </c>
      <c r="N375" t="s">
        <v>806</v>
      </c>
      <c r="O375" t="s">
        <v>807</v>
      </c>
      <c r="P375" t="s">
        <v>3540</v>
      </c>
      <c r="T375">
        <v>38.753930338000004</v>
      </c>
      <c r="U375">
        <v>-77.672191397999995</v>
      </c>
      <c r="V375">
        <f>SUM(W375:X375)+(Y375*0.8)+(Z375*0.4)</f>
        <v>86.4</v>
      </c>
      <c r="W375">
        <v>0</v>
      </c>
      <c r="X375">
        <v>0</v>
      </c>
      <c r="Y375">
        <v>108</v>
      </c>
      <c r="Z375">
        <v>0</v>
      </c>
      <c r="AA375" t="s">
        <v>43</v>
      </c>
      <c r="AB375">
        <v>0</v>
      </c>
      <c r="AD375" t="s">
        <v>3541</v>
      </c>
      <c r="AE375" t="s">
        <v>3542</v>
      </c>
    </row>
    <row r="376" spans="1:31" x14ac:dyDescent="0.25">
      <c r="A376" t="s">
        <v>31</v>
      </c>
      <c r="B376" t="s">
        <v>11350</v>
      </c>
      <c r="C376" t="s">
        <v>647</v>
      </c>
      <c r="D376" t="s">
        <v>924</v>
      </c>
      <c r="E376" t="s">
        <v>362</v>
      </c>
      <c r="F376" t="s">
        <v>649</v>
      </c>
      <c r="G376">
        <v>2020</v>
      </c>
      <c r="H376" t="s">
        <v>36</v>
      </c>
      <c r="I376" t="s">
        <v>925</v>
      </c>
      <c r="J376" t="s">
        <v>31</v>
      </c>
      <c r="K376" t="s">
        <v>38</v>
      </c>
      <c r="L376" t="s">
        <v>242</v>
      </c>
      <c r="M376" t="s">
        <v>243</v>
      </c>
      <c r="N376" t="s">
        <v>509</v>
      </c>
      <c r="O376" t="s">
        <v>510</v>
      </c>
      <c r="P376" t="s">
        <v>873</v>
      </c>
      <c r="T376">
        <v>38.735418527999997</v>
      </c>
      <c r="U376">
        <v>-77.505410769999997</v>
      </c>
      <c r="V376">
        <f>SUM(W376:X376)+(Y376*0.8)+(Z376*0.4)</f>
        <v>86</v>
      </c>
      <c r="W376">
        <v>86</v>
      </c>
      <c r="X376">
        <v>0</v>
      </c>
      <c r="Y376">
        <v>0</v>
      </c>
      <c r="Z376">
        <v>0</v>
      </c>
      <c r="AA376" t="s">
        <v>43</v>
      </c>
      <c r="AB376">
        <v>86</v>
      </c>
      <c r="AD376" t="s">
        <v>926</v>
      </c>
      <c r="AE376" t="s">
        <v>927</v>
      </c>
    </row>
    <row r="377" spans="1:31" x14ac:dyDescent="0.25">
      <c r="A377" t="s">
        <v>31</v>
      </c>
      <c r="C377" t="s">
        <v>9202</v>
      </c>
      <c r="D377" t="s">
        <v>9242</v>
      </c>
      <c r="E377" t="s">
        <v>34</v>
      </c>
      <c r="F377" t="s">
        <v>35</v>
      </c>
      <c r="G377">
        <v>2016</v>
      </c>
      <c r="H377" t="s">
        <v>36</v>
      </c>
      <c r="I377" t="s">
        <v>9243</v>
      </c>
      <c r="J377" t="s">
        <v>31</v>
      </c>
      <c r="K377" t="s">
        <v>38</v>
      </c>
      <c r="L377" t="s">
        <v>86</v>
      </c>
      <c r="M377" t="s">
        <v>87</v>
      </c>
      <c r="N377" t="s">
        <v>88</v>
      </c>
      <c r="O377" t="s">
        <v>89</v>
      </c>
      <c r="P377" t="s">
        <v>7846</v>
      </c>
      <c r="Q377" t="s">
        <v>9244</v>
      </c>
      <c r="S377" t="s">
        <v>9245</v>
      </c>
      <c r="T377">
        <v>41.842313773000001</v>
      </c>
      <c r="U377">
        <v>-87.669071997000003</v>
      </c>
      <c r="V377">
        <f>SUM(W377:X377)+(Y377*0.8)+(Z377*0.4)</f>
        <v>85.2</v>
      </c>
      <c r="W377">
        <v>42</v>
      </c>
      <c r="X377">
        <v>0</v>
      </c>
      <c r="Y377">
        <v>54</v>
      </c>
      <c r="Z377">
        <v>0</v>
      </c>
      <c r="AA377" t="s">
        <v>43</v>
      </c>
      <c r="AB377">
        <v>38</v>
      </c>
      <c r="AC377">
        <v>1.2</v>
      </c>
      <c r="AD377" t="s">
        <v>9246</v>
      </c>
      <c r="AE377" t="s">
        <v>9247</v>
      </c>
    </row>
    <row r="378" spans="1:31" x14ac:dyDescent="0.25">
      <c r="A378" t="s">
        <v>31</v>
      </c>
      <c r="C378" t="s">
        <v>9037</v>
      </c>
      <c r="D378" t="s">
        <v>9068</v>
      </c>
      <c r="E378" t="s">
        <v>34</v>
      </c>
      <c r="F378" t="s">
        <v>66</v>
      </c>
      <c r="G378">
        <v>2025</v>
      </c>
      <c r="H378" t="s">
        <v>36</v>
      </c>
      <c r="I378" t="s">
        <v>9069</v>
      </c>
      <c r="J378" t="s">
        <v>31</v>
      </c>
      <c r="K378" t="s">
        <v>38</v>
      </c>
      <c r="L378" t="s">
        <v>326</v>
      </c>
      <c r="M378" t="s">
        <v>327</v>
      </c>
      <c r="N378" t="s">
        <v>328</v>
      </c>
      <c r="O378" t="s">
        <v>9070</v>
      </c>
      <c r="P378" t="s">
        <v>9071</v>
      </c>
      <c r="T378">
        <v>33.417184661999997</v>
      </c>
      <c r="U378">
        <v>-112.312472562</v>
      </c>
      <c r="V378">
        <f>SUM(W378:X378)+(Y378*0.8)+(Z378*0.4)</f>
        <v>84</v>
      </c>
      <c r="W378">
        <v>0</v>
      </c>
      <c r="X378">
        <v>0</v>
      </c>
      <c r="Y378">
        <v>0</v>
      </c>
      <c r="Z378">
        <v>210</v>
      </c>
      <c r="AA378" t="s">
        <v>43</v>
      </c>
      <c r="AB378">
        <v>0</v>
      </c>
      <c r="AC378">
        <v>1.25</v>
      </c>
      <c r="AD378" t="s">
        <v>9072</v>
      </c>
      <c r="AE378" t="s">
        <v>9073</v>
      </c>
    </row>
    <row r="379" spans="1:31" x14ac:dyDescent="0.25">
      <c r="A379" t="s">
        <v>31</v>
      </c>
      <c r="C379" t="s">
        <v>9202</v>
      </c>
      <c r="D379" t="s">
        <v>9211</v>
      </c>
      <c r="E379" t="s">
        <v>34</v>
      </c>
      <c r="F379" t="s">
        <v>66</v>
      </c>
      <c r="G379">
        <v>2021</v>
      </c>
      <c r="H379" t="s">
        <v>36</v>
      </c>
      <c r="I379" t="s">
        <v>9212</v>
      </c>
      <c r="J379" t="s">
        <v>31</v>
      </c>
      <c r="K379" t="s">
        <v>38</v>
      </c>
      <c r="L379" t="s">
        <v>242</v>
      </c>
      <c r="M379" t="s">
        <v>243</v>
      </c>
      <c r="N379" t="s">
        <v>405</v>
      </c>
      <c r="O379" t="s">
        <v>516</v>
      </c>
      <c r="P379" t="s">
        <v>517</v>
      </c>
      <c r="T379">
        <v>38.998743386000001</v>
      </c>
      <c r="U379">
        <v>-77.475029023000005</v>
      </c>
      <c r="V379">
        <f>SUM(W379:X379)+(Y379*0.8)+(Z379*0.4)</f>
        <v>84</v>
      </c>
      <c r="W379">
        <v>84</v>
      </c>
      <c r="X379">
        <v>0</v>
      </c>
      <c r="Y379">
        <v>0</v>
      </c>
      <c r="Z379">
        <v>0</v>
      </c>
      <c r="AA379" t="s">
        <v>43</v>
      </c>
      <c r="AB379">
        <v>84</v>
      </c>
      <c r="AD379" t="s">
        <v>9213</v>
      </c>
      <c r="AE379" t="s">
        <v>9214</v>
      </c>
    </row>
    <row r="380" spans="1:31" x14ac:dyDescent="0.25">
      <c r="A380" t="s">
        <v>31</v>
      </c>
      <c r="B380" t="s">
        <v>11350</v>
      </c>
      <c r="C380" t="s">
        <v>647</v>
      </c>
      <c r="D380" t="s">
        <v>1237</v>
      </c>
      <c r="E380" t="s">
        <v>362</v>
      </c>
      <c r="F380" t="s">
        <v>649</v>
      </c>
      <c r="G380">
        <v>2013</v>
      </c>
      <c r="H380" t="s">
        <v>36</v>
      </c>
      <c r="I380" t="s">
        <v>1238</v>
      </c>
      <c r="J380" t="s">
        <v>31</v>
      </c>
      <c r="K380" t="s">
        <v>38</v>
      </c>
      <c r="L380" t="s">
        <v>133</v>
      </c>
      <c r="M380" t="s">
        <v>134</v>
      </c>
      <c r="N380" t="s">
        <v>1213</v>
      </c>
      <c r="O380" t="s">
        <v>1234</v>
      </c>
      <c r="P380" t="s">
        <v>1214</v>
      </c>
      <c r="T380">
        <v>45.916295093000002</v>
      </c>
      <c r="U380">
        <v>-119.26671630600001</v>
      </c>
      <c r="V380">
        <f>SUM(W380:X380)+(Y380*0.8)+(Z380*0.4)</f>
        <v>84</v>
      </c>
      <c r="W380">
        <v>84</v>
      </c>
      <c r="X380">
        <v>0</v>
      </c>
      <c r="Y380">
        <v>0</v>
      </c>
      <c r="Z380">
        <v>0</v>
      </c>
      <c r="AA380" t="s">
        <v>43</v>
      </c>
      <c r="AB380">
        <v>84</v>
      </c>
      <c r="AD380" t="s">
        <v>1239</v>
      </c>
      <c r="AE380" t="s">
        <v>1240</v>
      </c>
    </row>
    <row r="381" spans="1:31" x14ac:dyDescent="0.25">
      <c r="A381" t="s">
        <v>31</v>
      </c>
      <c r="C381" t="s">
        <v>9546</v>
      </c>
      <c r="D381" t="s">
        <v>9581</v>
      </c>
      <c r="E381" t="s">
        <v>34</v>
      </c>
      <c r="F381" t="s">
        <v>66</v>
      </c>
      <c r="H381" t="s">
        <v>36</v>
      </c>
      <c r="I381" t="s">
        <v>9582</v>
      </c>
      <c r="J381" t="s">
        <v>31</v>
      </c>
      <c r="K381" t="s">
        <v>38</v>
      </c>
      <c r="L381" t="s">
        <v>133</v>
      </c>
      <c r="M381" t="s">
        <v>134</v>
      </c>
      <c r="N381" t="s">
        <v>1213</v>
      </c>
      <c r="O381" t="s">
        <v>1234</v>
      </c>
      <c r="P381" t="s">
        <v>1214</v>
      </c>
      <c r="T381">
        <v>45.921835700999999</v>
      </c>
      <c r="U381">
        <v>-119.260203644</v>
      </c>
      <c r="V381">
        <f>SUM(W381:X381)+(Y381*0.8)+(Z381*0.4)</f>
        <v>84</v>
      </c>
      <c r="W381">
        <v>0</v>
      </c>
      <c r="X381">
        <v>0</v>
      </c>
      <c r="Y381">
        <v>60</v>
      </c>
      <c r="Z381">
        <v>90</v>
      </c>
      <c r="AA381" t="s">
        <v>43</v>
      </c>
      <c r="AB381">
        <v>0</v>
      </c>
      <c r="AD381" t="s">
        <v>9583</v>
      </c>
      <c r="AE381" t="s">
        <v>9584</v>
      </c>
    </row>
    <row r="382" spans="1:31" x14ac:dyDescent="0.25">
      <c r="A382" t="s">
        <v>31</v>
      </c>
      <c r="B382" t="s">
        <v>11350</v>
      </c>
      <c r="C382" t="s">
        <v>7857</v>
      </c>
      <c r="D382" t="s">
        <v>8061</v>
      </c>
      <c r="E382" t="s">
        <v>362</v>
      </c>
      <c r="F382" t="s">
        <v>649</v>
      </c>
      <c r="H382" t="s">
        <v>36</v>
      </c>
      <c r="J382" t="s">
        <v>31</v>
      </c>
      <c r="K382" t="s">
        <v>38</v>
      </c>
      <c r="L382" t="s">
        <v>1433</v>
      </c>
      <c r="M382" t="s">
        <v>1434</v>
      </c>
      <c r="N382" t="s">
        <v>297</v>
      </c>
      <c r="O382" t="s">
        <v>8062</v>
      </c>
      <c r="P382" t="s">
        <v>8063</v>
      </c>
      <c r="T382">
        <v>41.514660999999997</v>
      </c>
      <c r="U382">
        <v>-93.937715999999995</v>
      </c>
      <c r="V382">
        <f>SUM(W382:X382)+(Y382*0.8)+(Z382*0.4)</f>
        <v>84</v>
      </c>
      <c r="W382">
        <v>0</v>
      </c>
      <c r="X382">
        <v>0</v>
      </c>
      <c r="Y382">
        <v>0</v>
      </c>
      <c r="Z382">
        <v>210</v>
      </c>
      <c r="AA382" t="s">
        <v>43</v>
      </c>
      <c r="AB382">
        <v>0</v>
      </c>
      <c r="AD382" t="s">
        <v>8064</v>
      </c>
      <c r="AE382" t="s">
        <v>8065</v>
      </c>
    </row>
    <row r="383" spans="1:31" x14ac:dyDescent="0.25">
      <c r="A383" t="s">
        <v>31</v>
      </c>
      <c r="C383" t="s">
        <v>11168</v>
      </c>
      <c r="D383" t="s">
        <v>11169</v>
      </c>
      <c r="E383" t="s">
        <v>34</v>
      </c>
      <c r="F383" t="s">
        <v>43</v>
      </c>
      <c r="H383" t="s">
        <v>36</v>
      </c>
      <c r="I383" t="s">
        <v>11170</v>
      </c>
      <c r="J383" t="s">
        <v>31</v>
      </c>
      <c r="K383" t="s">
        <v>38</v>
      </c>
      <c r="L383" t="s">
        <v>242</v>
      </c>
      <c r="M383" t="s">
        <v>243</v>
      </c>
      <c r="N383" t="s">
        <v>509</v>
      </c>
      <c r="O383" t="s">
        <v>1290</v>
      </c>
      <c r="P383" t="s">
        <v>1291</v>
      </c>
      <c r="T383">
        <v>38.797934625000003</v>
      </c>
      <c r="U383">
        <v>-77.624163172999999</v>
      </c>
      <c r="V383">
        <f>SUM(W383:X383)+(Y383*0.8)+(Z383*0.4)</f>
        <v>83.600000000000009</v>
      </c>
      <c r="W383">
        <v>0</v>
      </c>
      <c r="X383">
        <v>0</v>
      </c>
      <c r="Y383">
        <v>0</v>
      </c>
      <c r="Z383">
        <v>209</v>
      </c>
      <c r="AA383" t="s">
        <v>43</v>
      </c>
      <c r="AB383">
        <v>0</v>
      </c>
      <c r="AD383" t="s">
        <v>11171</v>
      </c>
      <c r="AE383" t="s">
        <v>11172</v>
      </c>
    </row>
    <row r="384" spans="1:31" x14ac:dyDescent="0.25">
      <c r="A384" t="s">
        <v>31</v>
      </c>
      <c r="C384" t="s">
        <v>1650</v>
      </c>
      <c r="D384" t="s">
        <v>1651</v>
      </c>
      <c r="E384" t="s">
        <v>34</v>
      </c>
      <c r="F384" t="s">
        <v>43</v>
      </c>
      <c r="H384" t="s">
        <v>36</v>
      </c>
      <c r="I384" t="s">
        <v>1652</v>
      </c>
      <c r="J384" t="s">
        <v>31</v>
      </c>
      <c r="K384" t="s">
        <v>38</v>
      </c>
      <c r="L384" t="s">
        <v>1380</v>
      </c>
      <c r="M384" t="s">
        <v>1381</v>
      </c>
      <c r="N384" t="s">
        <v>1653</v>
      </c>
      <c r="O384" t="s">
        <v>1654</v>
      </c>
      <c r="P384" t="s">
        <v>1655</v>
      </c>
      <c r="T384">
        <v>41.884310620000001</v>
      </c>
      <c r="U384">
        <v>-72.743811868999998</v>
      </c>
      <c r="V384">
        <f>SUM(W384:X384)+(Y384*0.8)+(Z384*0.4)</f>
        <v>83.600000000000009</v>
      </c>
      <c r="W384">
        <v>0</v>
      </c>
      <c r="X384">
        <v>0</v>
      </c>
      <c r="Y384">
        <v>0</v>
      </c>
      <c r="Z384">
        <v>209</v>
      </c>
      <c r="AA384" t="s">
        <v>43</v>
      </c>
      <c r="AB384">
        <v>0</v>
      </c>
      <c r="AD384" t="s">
        <v>1656</v>
      </c>
      <c r="AE384" t="s">
        <v>1657</v>
      </c>
    </row>
    <row r="385" spans="1:31" x14ac:dyDescent="0.25">
      <c r="A385" t="s">
        <v>31</v>
      </c>
      <c r="C385" t="s">
        <v>9464</v>
      </c>
      <c r="D385" t="s">
        <v>9465</v>
      </c>
      <c r="E385" t="s">
        <v>34</v>
      </c>
      <c r="F385" t="s">
        <v>43</v>
      </c>
      <c r="H385" t="s">
        <v>36</v>
      </c>
      <c r="I385" t="s">
        <v>3219</v>
      </c>
      <c r="J385" t="s">
        <v>31</v>
      </c>
      <c r="K385" t="s">
        <v>38</v>
      </c>
      <c r="L385" t="s">
        <v>242</v>
      </c>
      <c r="M385" t="s">
        <v>243</v>
      </c>
      <c r="N385" t="s">
        <v>748</v>
      </c>
      <c r="O385" t="s">
        <v>3220</v>
      </c>
      <c r="P385" t="s">
        <v>2551</v>
      </c>
      <c r="T385">
        <v>38.469267471999999</v>
      </c>
      <c r="U385">
        <v>-77.974517145999997</v>
      </c>
      <c r="V385">
        <f>SUM(W385:X385)+(Y385*0.8)+(Z385*0.4)</f>
        <v>83.2</v>
      </c>
      <c r="W385">
        <v>0</v>
      </c>
      <c r="X385">
        <v>0</v>
      </c>
      <c r="Y385">
        <v>104</v>
      </c>
      <c r="Z385">
        <v>0</v>
      </c>
      <c r="AA385" t="s">
        <v>43</v>
      </c>
      <c r="AB385">
        <v>0</v>
      </c>
      <c r="AD385" t="s">
        <v>9466</v>
      </c>
      <c r="AE385" t="s">
        <v>9467</v>
      </c>
    </row>
    <row r="386" spans="1:31" x14ac:dyDescent="0.25">
      <c r="A386" t="s">
        <v>31</v>
      </c>
      <c r="C386" t="s">
        <v>6327</v>
      </c>
      <c r="D386" t="s">
        <v>6335</v>
      </c>
      <c r="E386" t="s">
        <v>34</v>
      </c>
      <c r="F386" t="s">
        <v>66</v>
      </c>
      <c r="H386" t="s">
        <v>36</v>
      </c>
      <c r="I386" t="s">
        <v>6336</v>
      </c>
      <c r="J386" t="s">
        <v>31</v>
      </c>
      <c r="K386" t="s">
        <v>38</v>
      </c>
      <c r="L386" t="s">
        <v>1380</v>
      </c>
      <c r="M386" t="s">
        <v>1381</v>
      </c>
      <c r="N386" t="s">
        <v>6330</v>
      </c>
      <c r="O386" t="s">
        <v>6331</v>
      </c>
      <c r="P386" t="s">
        <v>6332</v>
      </c>
      <c r="Q386" t="s">
        <v>6331</v>
      </c>
      <c r="T386">
        <v>41.619965260999997</v>
      </c>
      <c r="U386">
        <v>-71.946680873000005</v>
      </c>
      <c r="V386">
        <f>SUM(W386:X386)+(Y386*0.8)+(Z386*0.4)</f>
        <v>83.2</v>
      </c>
      <c r="W386">
        <v>0</v>
      </c>
      <c r="X386">
        <v>0</v>
      </c>
      <c r="Y386">
        <v>0</v>
      </c>
      <c r="Z386">
        <v>208</v>
      </c>
      <c r="AA386" t="s">
        <v>43</v>
      </c>
      <c r="AB386">
        <v>0</v>
      </c>
      <c r="AD386" t="s">
        <v>6337</v>
      </c>
      <c r="AE386" t="s">
        <v>6338</v>
      </c>
    </row>
    <row r="387" spans="1:31" x14ac:dyDescent="0.25">
      <c r="A387" t="s">
        <v>31</v>
      </c>
      <c r="C387" t="s">
        <v>3312</v>
      </c>
      <c r="D387" t="s">
        <v>3525</v>
      </c>
      <c r="E387" t="s">
        <v>34</v>
      </c>
      <c r="F387" t="s">
        <v>66</v>
      </c>
      <c r="G387">
        <v>2020</v>
      </c>
      <c r="H387" t="s">
        <v>36</v>
      </c>
      <c r="I387" t="s">
        <v>3526</v>
      </c>
      <c r="J387" t="s">
        <v>31</v>
      </c>
      <c r="K387" t="s">
        <v>38</v>
      </c>
      <c r="L387" t="s">
        <v>68</v>
      </c>
      <c r="M387" t="s">
        <v>69</v>
      </c>
      <c r="N387" t="s">
        <v>712</v>
      </c>
      <c r="O387" t="s">
        <v>713</v>
      </c>
      <c r="P387" t="s">
        <v>714</v>
      </c>
      <c r="T387">
        <v>29.417569500999999</v>
      </c>
      <c r="U387">
        <v>-98.787738902000001</v>
      </c>
      <c r="V387">
        <f>SUM(W387:X387)+(Y387*0.8)+(Z387*0.4)</f>
        <v>82.800000000000011</v>
      </c>
      <c r="W387">
        <v>18</v>
      </c>
      <c r="X387">
        <v>0</v>
      </c>
      <c r="Y387">
        <v>54</v>
      </c>
      <c r="Z387">
        <v>54</v>
      </c>
      <c r="AA387" t="s">
        <v>43</v>
      </c>
      <c r="AB387">
        <v>16.600000000000001</v>
      </c>
      <c r="AD387" t="s">
        <v>3527</v>
      </c>
      <c r="AE387" t="s">
        <v>3528</v>
      </c>
    </row>
    <row r="388" spans="1:31" x14ac:dyDescent="0.25">
      <c r="A388" t="s">
        <v>31</v>
      </c>
      <c r="C388" t="s">
        <v>9546</v>
      </c>
      <c r="D388" t="s">
        <v>9551</v>
      </c>
      <c r="E388" t="s">
        <v>34</v>
      </c>
      <c r="F388" t="s">
        <v>66</v>
      </c>
      <c r="G388">
        <v>2012</v>
      </c>
      <c r="H388" t="s">
        <v>36</v>
      </c>
      <c r="I388" t="s">
        <v>9552</v>
      </c>
      <c r="J388" t="s">
        <v>31</v>
      </c>
      <c r="K388" t="s">
        <v>38</v>
      </c>
      <c r="L388" t="s">
        <v>843</v>
      </c>
      <c r="M388" t="s">
        <v>1644</v>
      </c>
      <c r="N388" t="s">
        <v>3511</v>
      </c>
      <c r="O388" t="s">
        <v>3509</v>
      </c>
      <c r="P388" t="s">
        <v>3512</v>
      </c>
      <c r="T388">
        <v>47.245964999999998</v>
      </c>
      <c r="U388">
        <v>-119.815805</v>
      </c>
      <c r="V388">
        <f>SUM(W388:X388)+(Y388*0.8)+(Z388*0.4)</f>
        <v>82.5</v>
      </c>
      <c r="W388">
        <v>60.3</v>
      </c>
      <c r="X388">
        <v>3</v>
      </c>
      <c r="Y388">
        <v>12</v>
      </c>
      <c r="Z388">
        <v>24</v>
      </c>
      <c r="AA388" t="s">
        <v>43</v>
      </c>
      <c r="AB388">
        <v>60.3</v>
      </c>
      <c r="AC388">
        <v>1.2</v>
      </c>
      <c r="AD388" t="s">
        <v>9553</v>
      </c>
      <c r="AE388" t="s">
        <v>9554</v>
      </c>
    </row>
    <row r="389" spans="1:31" x14ac:dyDescent="0.25">
      <c r="A389" t="s">
        <v>31</v>
      </c>
      <c r="C389" t="s">
        <v>8805</v>
      </c>
      <c r="D389" t="s">
        <v>8806</v>
      </c>
      <c r="E389" t="s">
        <v>34</v>
      </c>
      <c r="F389" t="s">
        <v>43</v>
      </c>
      <c r="H389" t="s">
        <v>36</v>
      </c>
      <c r="I389" t="s">
        <v>8807</v>
      </c>
      <c r="J389" t="s">
        <v>31</v>
      </c>
      <c r="K389" t="s">
        <v>38</v>
      </c>
      <c r="L389" t="s">
        <v>77</v>
      </c>
      <c r="M389" t="s">
        <v>78</v>
      </c>
      <c r="N389" t="s">
        <v>1502</v>
      </c>
      <c r="O389" t="s">
        <v>1503</v>
      </c>
      <c r="P389" t="s">
        <v>8808</v>
      </c>
      <c r="Q389" t="s">
        <v>1503</v>
      </c>
      <c r="S389" t="s">
        <v>8809</v>
      </c>
      <c r="T389">
        <v>41.512306488</v>
      </c>
      <c r="U389">
        <v>-75.558359714000005</v>
      </c>
      <c r="V389">
        <f>SUM(W389:X389)+(Y389*0.8)+(Z389*0.4)</f>
        <v>81.600000000000009</v>
      </c>
      <c r="W389">
        <v>0</v>
      </c>
      <c r="X389">
        <v>0</v>
      </c>
      <c r="Y389">
        <v>0</v>
      </c>
      <c r="Z389">
        <v>204</v>
      </c>
      <c r="AA389" t="s">
        <v>43</v>
      </c>
      <c r="AB389">
        <v>0</v>
      </c>
      <c r="AD389" t="s">
        <v>8810</v>
      </c>
      <c r="AE389" t="s">
        <v>8811</v>
      </c>
    </row>
    <row r="390" spans="1:31" x14ac:dyDescent="0.25">
      <c r="A390" t="s">
        <v>31</v>
      </c>
      <c r="C390" t="s">
        <v>5034</v>
      </c>
      <c r="D390" t="s">
        <v>5038</v>
      </c>
      <c r="E390" t="s">
        <v>34</v>
      </c>
      <c r="F390" t="s">
        <v>66</v>
      </c>
      <c r="G390">
        <v>2025</v>
      </c>
      <c r="H390" t="s">
        <v>36</v>
      </c>
      <c r="I390" t="s">
        <v>5039</v>
      </c>
      <c r="J390" t="s">
        <v>31</v>
      </c>
      <c r="K390" t="s">
        <v>38</v>
      </c>
      <c r="L390" t="s">
        <v>86</v>
      </c>
      <c r="M390" t="s">
        <v>87</v>
      </c>
      <c r="N390" t="s">
        <v>1805</v>
      </c>
      <c r="O390" t="s">
        <v>196</v>
      </c>
      <c r="P390" t="s">
        <v>3328</v>
      </c>
      <c r="Q390" t="s">
        <v>3329</v>
      </c>
      <c r="T390">
        <v>41.804315148000001</v>
      </c>
      <c r="U390">
        <v>-88.243937459999998</v>
      </c>
      <c r="V390">
        <f>SUM(W390:X390)+(Y390*0.8)+(Z390*0.4)</f>
        <v>81.599999999999994</v>
      </c>
      <c r="W390">
        <v>24</v>
      </c>
      <c r="X390">
        <v>0</v>
      </c>
      <c r="Y390">
        <v>72</v>
      </c>
      <c r="Z390">
        <v>0</v>
      </c>
      <c r="AA390" t="s">
        <v>43</v>
      </c>
      <c r="AB390">
        <v>96</v>
      </c>
      <c r="AC390">
        <v>1.1499999999999999</v>
      </c>
      <c r="AD390" t="s">
        <v>5040</v>
      </c>
      <c r="AE390" t="s">
        <v>5041</v>
      </c>
    </row>
    <row r="391" spans="1:31" x14ac:dyDescent="0.25">
      <c r="A391" t="s">
        <v>31</v>
      </c>
      <c r="C391" t="s">
        <v>10652</v>
      </c>
      <c r="D391" t="s">
        <v>10653</v>
      </c>
      <c r="E391" t="s">
        <v>34</v>
      </c>
      <c r="F391" t="s">
        <v>66</v>
      </c>
      <c r="G391">
        <v>2027</v>
      </c>
      <c r="H391" t="s">
        <v>36</v>
      </c>
      <c r="I391" t="s">
        <v>10654</v>
      </c>
      <c r="J391" t="s">
        <v>31</v>
      </c>
      <c r="K391" t="s">
        <v>38</v>
      </c>
      <c r="L391" t="s">
        <v>185</v>
      </c>
      <c r="M391" t="s">
        <v>186</v>
      </c>
      <c r="N391" t="s">
        <v>155</v>
      </c>
      <c r="T391">
        <v>33.724249</v>
      </c>
      <c r="U391">
        <v>-84.866319000000004</v>
      </c>
      <c r="V391">
        <f>SUM(W391:X391)+(Y391*0.8)+(Z391*0.4)</f>
        <v>81.28</v>
      </c>
      <c r="W391">
        <v>0</v>
      </c>
      <c r="X391">
        <v>0</v>
      </c>
      <c r="Y391">
        <v>101.6</v>
      </c>
      <c r="Z391">
        <v>0</v>
      </c>
      <c r="AA391" t="s">
        <v>43</v>
      </c>
      <c r="AB391">
        <v>0</v>
      </c>
      <c r="AD391" t="s">
        <v>10655</v>
      </c>
      <c r="AE391" t="s">
        <v>10656</v>
      </c>
    </row>
    <row r="392" spans="1:31" x14ac:dyDescent="0.25">
      <c r="A392" t="s">
        <v>31</v>
      </c>
      <c r="C392" t="s">
        <v>3312</v>
      </c>
      <c r="D392" t="s">
        <v>3455</v>
      </c>
      <c r="E392" t="s">
        <v>34</v>
      </c>
      <c r="F392" t="s">
        <v>66</v>
      </c>
      <c r="G392">
        <v>2018</v>
      </c>
      <c r="H392" t="s">
        <v>36</v>
      </c>
      <c r="I392" t="s">
        <v>3456</v>
      </c>
      <c r="J392" t="s">
        <v>31</v>
      </c>
      <c r="K392" t="s">
        <v>38</v>
      </c>
      <c r="L392" t="s">
        <v>242</v>
      </c>
      <c r="M392" t="s">
        <v>243</v>
      </c>
      <c r="N392" t="s">
        <v>405</v>
      </c>
      <c r="O392" t="s">
        <v>526</v>
      </c>
      <c r="P392" t="s">
        <v>527</v>
      </c>
      <c r="T392">
        <v>39.024625555</v>
      </c>
      <c r="U392">
        <v>-77.433931896000004</v>
      </c>
      <c r="V392">
        <f>SUM(W392:X392)+(Y392*0.8)+(Z392*0.4)</f>
        <v>81</v>
      </c>
      <c r="W392">
        <v>81</v>
      </c>
      <c r="X392">
        <v>0</v>
      </c>
      <c r="Y392">
        <v>0</v>
      </c>
      <c r="Z392">
        <v>0</v>
      </c>
      <c r="AA392" t="s">
        <v>43</v>
      </c>
      <c r="AB392">
        <v>79.8</v>
      </c>
      <c r="AD392" t="s">
        <v>3457</v>
      </c>
      <c r="AE392" t="s">
        <v>3458</v>
      </c>
    </row>
    <row r="393" spans="1:31" x14ac:dyDescent="0.25">
      <c r="A393" t="s">
        <v>31</v>
      </c>
      <c r="B393" t="s">
        <v>11350</v>
      </c>
      <c r="C393" t="s">
        <v>1430</v>
      </c>
      <c r="D393" t="s">
        <v>1449</v>
      </c>
      <c r="E393" t="s">
        <v>362</v>
      </c>
      <c r="F393" t="s">
        <v>1302</v>
      </c>
      <c r="G393">
        <v>2012</v>
      </c>
      <c r="H393" t="s">
        <v>36</v>
      </c>
      <c r="I393" t="s">
        <v>1450</v>
      </c>
      <c r="J393" t="s">
        <v>31</v>
      </c>
      <c r="K393" t="s">
        <v>38</v>
      </c>
      <c r="L393" t="s">
        <v>133</v>
      </c>
      <c r="M393" t="s">
        <v>134</v>
      </c>
      <c r="N393" t="s">
        <v>1451</v>
      </c>
      <c r="O393" t="s">
        <v>1449</v>
      </c>
      <c r="P393" t="s">
        <v>1452</v>
      </c>
      <c r="T393">
        <v>44.288701154000002</v>
      </c>
      <c r="U393">
        <v>-120.870576771</v>
      </c>
      <c r="V393">
        <f>SUM(W393:X393)+(Y393*0.8)+(Z393*0.4)</f>
        <v>80.650000000000006</v>
      </c>
      <c r="W393">
        <v>80.650000000000006</v>
      </c>
      <c r="X393">
        <v>0</v>
      </c>
      <c r="Y393">
        <v>0</v>
      </c>
      <c r="Z393">
        <v>0</v>
      </c>
      <c r="AA393" t="s">
        <v>43</v>
      </c>
      <c r="AB393">
        <v>80.650000000000006</v>
      </c>
      <c r="AD393" t="s">
        <v>1453</v>
      </c>
      <c r="AE393" t="s">
        <v>1454</v>
      </c>
    </row>
    <row r="394" spans="1:31" x14ac:dyDescent="0.25">
      <c r="A394" t="s">
        <v>31</v>
      </c>
      <c r="C394" t="s">
        <v>3052</v>
      </c>
      <c r="D394" t="s">
        <v>3143</v>
      </c>
      <c r="E394" t="s">
        <v>34</v>
      </c>
      <c r="F394" t="s">
        <v>66</v>
      </c>
      <c r="G394">
        <v>2007</v>
      </c>
      <c r="H394" t="s">
        <v>36</v>
      </c>
      <c r="I394" t="s">
        <v>3144</v>
      </c>
      <c r="J394" t="s">
        <v>31</v>
      </c>
      <c r="K394" t="s">
        <v>38</v>
      </c>
      <c r="L394" t="s">
        <v>172</v>
      </c>
      <c r="M394" t="s">
        <v>173</v>
      </c>
      <c r="N394" t="s">
        <v>780</v>
      </c>
      <c r="O394" t="s">
        <v>781</v>
      </c>
      <c r="P394" t="s">
        <v>3145</v>
      </c>
      <c r="T394">
        <v>37.375092672000001</v>
      </c>
      <c r="U394">
        <v>-121.969819547</v>
      </c>
      <c r="V394">
        <f>SUM(W394:X394)+(Y394*0.8)+(Z394*0.4)</f>
        <v>80.399999999999991</v>
      </c>
      <c r="W394">
        <v>48.6</v>
      </c>
      <c r="X394">
        <v>23</v>
      </c>
      <c r="Y394">
        <v>11</v>
      </c>
      <c r="Z394">
        <v>0</v>
      </c>
      <c r="AA394" t="s">
        <v>43</v>
      </c>
      <c r="AB394">
        <v>60.6</v>
      </c>
      <c r="AD394" t="s">
        <v>3146</v>
      </c>
      <c r="AE394" t="s">
        <v>3147</v>
      </c>
    </row>
    <row r="395" spans="1:31" x14ac:dyDescent="0.25">
      <c r="A395" t="s">
        <v>31</v>
      </c>
      <c r="C395" t="s">
        <v>10208</v>
      </c>
      <c r="D395" t="s">
        <v>10209</v>
      </c>
      <c r="E395" t="s">
        <v>34</v>
      </c>
      <c r="F395" t="s">
        <v>76</v>
      </c>
      <c r="G395">
        <v>2027</v>
      </c>
      <c r="H395" t="s">
        <v>36</v>
      </c>
      <c r="I395" t="s">
        <v>10210</v>
      </c>
      <c r="J395" t="s">
        <v>31</v>
      </c>
      <c r="K395" t="s">
        <v>38</v>
      </c>
      <c r="L395" t="s">
        <v>185</v>
      </c>
      <c r="M395" t="s">
        <v>186</v>
      </c>
      <c r="N395" t="s">
        <v>9131</v>
      </c>
      <c r="O395" t="s">
        <v>8104</v>
      </c>
      <c r="P395" t="s">
        <v>8106</v>
      </c>
      <c r="T395">
        <v>33.517595086999997</v>
      </c>
      <c r="U395">
        <v>-84.609473444000002</v>
      </c>
      <c r="V395">
        <f>SUM(W395:X395)+(Y395*0.8)+(Z395*0.4)</f>
        <v>80</v>
      </c>
      <c r="W395">
        <v>0</v>
      </c>
      <c r="X395">
        <v>0</v>
      </c>
      <c r="Y395">
        <v>0</v>
      </c>
      <c r="Z395">
        <v>200</v>
      </c>
      <c r="AA395" t="s">
        <v>43</v>
      </c>
      <c r="AB395">
        <v>0</v>
      </c>
      <c r="AD395" t="s">
        <v>10211</v>
      </c>
      <c r="AE395" t="s">
        <v>10212</v>
      </c>
    </row>
    <row r="396" spans="1:31" x14ac:dyDescent="0.25">
      <c r="A396" t="s">
        <v>31</v>
      </c>
      <c r="C396" t="s">
        <v>1463</v>
      </c>
      <c r="D396" t="s">
        <v>1485</v>
      </c>
      <c r="E396" t="s">
        <v>34</v>
      </c>
      <c r="F396" t="s">
        <v>43</v>
      </c>
      <c r="G396">
        <v>2027</v>
      </c>
      <c r="H396" t="s">
        <v>411</v>
      </c>
      <c r="J396" t="s">
        <v>31</v>
      </c>
      <c r="K396" t="s">
        <v>38</v>
      </c>
      <c r="L396" t="s">
        <v>353</v>
      </c>
      <c r="M396" t="s">
        <v>354</v>
      </c>
      <c r="N396" t="s">
        <v>355</v>
      </c>
      <c r="O396" t="s">
        <v>356</v>
      </c>
      <c r="P396" t="s">
        <v>1486</v>
      </c>
      <c r="Q396" t="s">
        <v>356</v>
      </c>
      <c r="T396">
        <v>46.959141000000002</v>
      </c>
      <c r="U396">
        <v>-96.844693000000007</v>
      </c>
      <c r="V396">
        <f>SUM(W396:X396)+(Y396*0.8)+(Z396*0.4)</f>
        <v>80</v>
      </c>
      <c r="W396">
        <v>0</v>
      </c>
      <c r="X396">
        <v>0</v>
      </c>
      <c r="Y396">
        <v>0</v>
      </c>
      <c r="Z396">
        <v>200</v>
      </c>
      <c r="AA396" t="s">
        <v>43</v>
      </c>
      <c r="AB396">
        <v>0</v>
      </c>
      <c r="AD396" t="s">
        <v>1487</v>
      </c>
      <c r="AE396" t="s">
        <v>1488</v>
      </c>
    </row>
    <row r="397" spans="1:31" x14ac:dyDescent="0.25">
      <c r="A397" t="s">
        <v>31</v>
      </c>
      <c r="B397" t="s">
        <v>11350</v>
      </c>
      <c r="C397" t="s">
        <v>6116</v>
      </c>
      <c r="D397" t="s">
        <v>6158</v>
      </c>
      <c r="E397" t="s">
        <v>362</v>
      </c>
      <c r="F397" t="s">
        <v>649</v>
      </c>
      <c r="G397">
        <v>2026</v>
      </c>
      <c r="H397" t="s">
        <v>36</v>
      </c>
      <c r="I397" t="s">
        <v>325</v>
      </c>
      <c r="J397" t="s">
        <v>31</v>
      </c>
      <c r="K397" t="s">
        <v>38</v>
      </c>
      <c r="L397" t="s">
        <v>1433</v>
      </c>
      <c r="M397" t="s">
        <v>1434</v>
      </c>
      <c r="N397" t="s">
        <v>1582</v>
      </c>
      <c r="O397" t="s">
        <v>6159</v>
      </c>
      <c r="P397" t="s">
        <v>6160</v>
      </c>
      <c r="T397">
        <v>41.907051635000002</v>
      </c>
      <c r="U397">
        <v>-91.716863089</v>
      </c>
      <c r="V397">
        <f>SUM(W397:X397)+(Y397*0.8)+(Z397*0.4)</f>
        <v>80</v>
      </c>
      <c r="W397">
        <v>0</v>
      </c>
      <c r="X397">
        <v>0</v>
      </c>
      <c r="Y397">
        <v>0</v>
      </c>
      <c r="Z397">
        <v>200</v>
      </c>
      <c r="AA397" t="s">
        <v>43</v>
      </c>
      <c r="AB397">
        <v>0</v>
      </c>
      <c r="AD397" t="s">
        <v>6161</v>
      </c>
      <c r="AE397" t="s">
        <v>6162</v>
      </c>
    </row>
    <row r="398" spans="1:31" x14ac:dyDescent="0.25">
      <c r="A398" t="s">
        <v>31</v>
      </c>
      <c r="C398" t="s">
        <v>1859</v>
      </c>
      <c r="D398" t="s">
        <v>1864</v>
      </c>
      <c r="E398" t="s">
        <v>34</v>
      </c>
      <c r="F398" t="s">
        <v>35</v>
      </c>
      <c r="G398">
        <v>2026</v>
      </c>
      <c r="H398" t="s">
        <v>36</v>
      </c>
      <c r="I398" t="s">
        <v>1865</v>
      </c>
      <c r="J398" t="s">
        <v>31</v>
      </c>
      <c r="K398" t="s">
        <v>38</v>
      </c>
      <c r="L398" t="s">
        <v>242</v>
      </c>
      <c r="M398" t="s">
        <v>243</v>
      </c>
      <c r="N398" t="s">
        <v>405</v>
      </c>
      <c r="O398" t="s">
        <v>516</v>
      </c>
      <c r="P398" t="s">
        <v>527</v>
      </c>
      <c r="T398">
        <v>39.008668989</v>
      </c>
      <c r="U398">
        <v>-77.442256643999997</v>
      </c>
      <c r="V398">
        <f>SUM(W398:X398)+(Y398*0.8)+(Z398*0.4)</f>
        <v>80</v>
      </c>
      <c r="W398">
        <v>0</v>
      </c>
      <c r="X398">
        <v>80</v>
      </c>
      <c r="Y398">
        <v>0</v>
      </c>
      <c r="Z398">
        <v>0</v>
      </c>
      <c r="AA398" t="s">
        <v>43</v>
      </c>
      <c r="AB398">
        <v>80</v>
      </c>
      <c r="AD398" t="s">
        <v>1866</v>
      </c>
      <c r="AE398" t="s">
        <v>1867</v>
      </c>
    </row>
    <row r="399" spans="1:31" x14ac:dyDescent="0.25">
      <c r="A399" t="s">
        <v>31</v>
      </c>
      <c r="C399" t="s">
        <v>4722</v>
      </c>
      <c r="D399" t="s">
        <v>4723</v>
      </c>
      <c r="E399" t="s">
        <v>34</v>
      </c>
      <c r="F399" t="s">
        <v>76</v>
      </c>
      <c r="G399">
        <v>2025</v>
      </c>
      <c r="H399" t="s">
        <v>36</v>
      </c>
      <c r="I399" t="s">
        <v>4724</v>
      </c>
      <c r="J399" t="s">
        <v>31</v>
      </c>
      <c r="K399" t="s">
        <v>38</v>
      </c>
      <c r="L399" t="s">
        <v>68</v>
      </c>
      <c r="M399" t="s">
        <v>69</v>
      </c>
      <c r="N399" t="s">
        <v>4725</v>
      </c>
      <c r="O399" t="s">
        <v>4726</v>
      </c>
      <c r="P399" t="s">
        <v>4727</v>
      </c>
      <c r="T399">
        <v>35.485723972999999</v>
      </c>
      <c r="U399">
        <v>-101.044133082</v>
      </c>
      <c r="V399">
        <f>SUM(W399:X399)+(Y399*0.8)+(Z399*0.4)</f>
        <v>80</v>
      </c>
      <c r="W399">
        <v>0</v>
      </c>
      <c r="X399">
        <v>0</v>
      </c>
      <c r="Y399">
        <v>0</v>
      </c>
      <c r="Z399">
        <v>200</v>
      </c>
      <c r="AA399" t="s">
        <v>43</v>
      </c>
      <c r="AB399">
        <v>0</v>
      </c>
      <c r="AD399" t="s">
        <v>4728</v>
      </c>
      <c r="AE399" t="s">
        <v>4729</v>
      </c>
    </row>
    <row r="400" spans="1:31" x14ac:dyDescent="0.25">
      <c r="A400" t="s">
        <v>31</v>
      </c>
      <c r="B400" t="s">
        <v>11350</v>
      </c>
      <c r="C400" t="s">
        <v>647</v>
      </c>
      <c r="D400" t="s">
        <v>1228</v>
      </c>
      <c r="E400" t="s">
        <v>362</v>
      </c>
      <c r="F400" t="s">
        <v>649</v>
      </c>
      <c r="G400">
        <v>2024</v>
      </c>
      <c r="H400" t="s">
        <v>36</v>
      </c>
      <c r="I400" t="s">
        <v>1229</v>
      </c>
      <c r="J400" t="s">
        <v>31</v>
      </c>
      <c r="K400" t="s">
        <v>38</v>
      </c>
      <c r="L400" t="s">
        <v>133</v>
      </c>
      <c r="M400" t="s">
        <v>134</v>
      </c>
      <c r="N400" t="s">
        <v>1202</v>
      </c>
      <c r="T400">
        <v>45.819531591999997</v>
      </c>
      <c r="U400">
        <v>-119.62875474800001</v>
      </c>
      <c r="V400">
        <f>SUM(W400:X400)+(Y400*0.8)+(Z400*0.4)</f>
        <v>80</v>
      </c>
      <c r="W400">
        <v>80</v>
      </c>
      <c r="X400">
        <v>0</v>
      </c>
      <c r="Y400">
        <v>0</v>
      </c>
      <c r="Z400">
        <v>0</v>
      </c>
      <c r="AA400" t="s">
        <v>43</v>
      </c>
      <c r="AB400">
        <v>80</v>
      </c>
      <c r="AD400" t="s">
        <v>1230</v>
      </c>
      <c r="AE400" t="s">
        <v>1231</v>
      </c>
    </row>
    <row r="401" spans="1:31" x14ac:dyDescent="0.25">
      <c r="A401" t="s">
        <v>31</v>
      </c>
      <c r="B401" t="s">
        <v>11350</v>
      </c>
      <c r="C401" t="s">
        <v>647</v>
      </c>
      <c r="D401" t="s">
        <v>1232</v>
      </c>
      <c r="E401" t="s">
        <v>362</v>
      </c>
      <c r="F401" t="s">
        <v>649</v>
      </c>
      <c r="G401">
        <v>2024</v>
      </c>
      <c r="H401" t="s">
        <v>36</v>
      </c>
      <c r="I401" t="s">
        <v>1233</v>
      </c>
      <c r="J401" t="s">
        <v>31</v>
      </c>
      <c r="K401" t="s">
        <v>38</v>
      </c>
      <c r="L401" t="s">
        <v>133</v>
      </c>
      <c r="M401" t="s">
        <v>134</v>
      </c>
      <c r="N401" t="s">
        <v>1213</v>
      </c>
      <c r="O401" t="s">
        <v>1234</v>
      </c>
      <c r="T401">
        <v>45.882813091000003</v>
      </c>
      <c r="U401">
        <v>-119.34074915399999</v>
      </c>
      <c r="V401">
        <f>SUM(W401:X401)+(Y401*0.8)+(Z401*0.4)</f>
        <v>80</v>
      </c>
      <c r="W401">
        <v>60</v>
      </c>
      <c r="X401">
        <v>20</v>
      </c>
      <c r="Y401">
        <v>0</v>
      </c>
      <c r="Z401">
        <v>0</v>
      </c>
      <c r="AA401" t="s">
        <v>43</v>
      </c>
      <c r="AB401">
        <v>80</v>
      </c>
      <c r="AD401" t="s">
        <v>1235</v>
      </c>
      <c r="AE401" t="s">
        <v>1236</v>
      </c>
    </row>
    <row r="402" spans="1:31" x14ac:dyDescent="0.25">
      <c r="A402" t="s">
        <v>31</v>
      </c>
      <c r="B402" t="s">
        <v>11350</v>
      </c>
      <c r="C402" t="s">
        <v>6116</v>
      </c>
      <c r="D402" t="s">
        <v>5058</v>
      </c>
      <c r="E402" t="s">
        <v>362</v>
      </c>
      <c r="F402" t="s">
        <v>649</v>
      </c>
      <c r="G402">
        <v>2021</v>
      </c>
      <c r="H402" t="s">
        <v>36</v>
      </c>
      <c r="I402" t="s">
        <v>6194</v>
      </c>
      <c r="J402" t="s">
        <v>31</v>
      </c>
      <c r="K402" t="s">
        <v>38</v>
      </c>
      <c r="L402" t="s">
        <v>1883</v>
      </c>
      <c r="M402" t="s">
        <v>1884</v>
      </c>
      <c r="N402" t="s">
        <v>5058</v>
      </c>
      <c r="T402">
        <v>34.913048578000001</v>
      </c>
      <c r="U402">
        <v>-85.748105033000002</v>
      </c>
      <c r="V402">
        <f>SUM(W402:X402)+(Y402*0.8)+(Z402*0.4)</f>
        <v>80</v>
      </c>
      <c r="W402">
        <v>80</v>
      </c>
      <c r="X402">
        <v>0</v>
      </c>
      <c r="Y402">
        <v>0</v>
      </c>
      <c r="Z402">
        <v>0</v>
      </c>
      <c r="AA402" t="s">
        <v>43</v>
      </c>
      <c r="AB402">
        <v>80</v>
      </c>
      <c r="AD402" t="s">
        <v>6195</v>
      </c>
      <c r="AE402" t="s">
        <v>6196</v>
      </c>
    </row>
    <row r="403" spans="1:31" x14ac:dyDescent="0.25">
      <c r="A403" t="s">
        <v>31</v>
      </c>
      <c r="B403" t="s">
        <v>11350</v>
      </c>
      <c r="C403" t="s">
        <v>6116</v>
      </c>
      <c r="D403" t="s">
        <v>6205</v>
      </c>
      <c r="E403" t="s">
        <v>362</v>
      </c>
      <c r="F403" t="s">
        <v>649</v>
      </c>
      <c r="G403">
        <v>2008</v>
      </c>
      <c r="H403" t="s">
        <v>36</v>
      </c>
      <c r="I403" t="s">
        <v>6206</v>
      </c>
      <c r="J403" t="s">
        <v>31</v>
      </c>
      <c r="K403" t="s">
        <v>38</v>
      </c>
      <c r="L403" t="s">
        <v>383</v>
      </c>
      <c r="M403" t="s">
        <v>384</v>
      </c>
      <c r="N403" t="s">
        <v>2289</v>
      </c>
      <c r="O403" t="s">
        <v>2290</v>
      </c>
      <c r="T403">
        <v>35.892478406999999</v>
      </c>
      <c r="U403">
        <v>-81.546908184000003</v>
      </c>
      <c r="V403">
        <f>SUM(W403:X403)+(Y403*0.8)+(Z403*0.4)</f>
        <v>80</v>
      </c>
      <c r="W403">
        <v>50</v>
      </c>
      <c r="X403">
        <v>30</v>
      </c>
      <c r="Y403">
        <v>0</v>
      </c>
      <c r="Z403">
        <v>0</v>
      </c>
      <c r="AA403" t="s">
        <v>43</v>
      </c>
      <c r="AB403">
        <v>80</v>
      </c>
      <c r="AC403">
        <v>1.1000000000000001</v>
      </c>
      <c r="AD403" t="s">
        <v>6207</v>
      </c>
      <c r="AE403" t="s">
        <v>6208</v>
      </c>
    </row>
    <row r="404" spans="1:31" x14ac:dyDescent="0.25">
      <c r="A404" t="s">
        <v>31</v>
      </c>
      <c r="B404" t="s">
        <v>11350</v>
      </c>
      <c r="C404" t="s">
        <v>7857</v>
      </c>
      <c r="D404" t="s">
        <v>7986</v>
      </c>
      <c r="E404" t="s">
        <v>362</v>
      </c>
      <c r="F404" t="s">
        <v>649</v>
      </c>
      <c r="H404" t="s">
        <v>36</v>
      </c>
      <c r="I404" t="s">
        <v>7987</v>
      </c>
      <c r="J404" t="s">
        <v>31</v>
      </c>
      <c r="K404" t="s">
        <v>38</v>
      </c>
      <c r="L404" t="s">
        <v>383</v>
      </c>
      <c r="M404" t="s">
        <v>384</v>
      </c>
      <c r="N404" t="s">
        <v>1441</v>
      </c>
      <c r="O404" t="s">
        <v>7988</v>
      </c>
      <c r="P404" t="s">
        <v>7989</v>
      </c>
      <c r="T404">
        <v>35.734995572000003</v>
      </c>
      <c r="U404">
        <v>-81.200270380999996</v>
      </c>
      <c r="V404">
        <f>SUM(W404:X404)+(Y404*0.8)+(Z404*0.4)</f>
        <v>80</v>
      </c>
      <c r="W404">
        <v>0</v>
      </c>
      <c r="X404">
        <v>0</v>
      </c>
      <c r="Y404">
        <v>100</v>
      </c>
      <c r="Z404">
        <v>0</v>
      </c>
      <c r="AA404" t="s">
        <v>43</v>
      </c>
      <c r="AB404">
        <v>100</v>
      </c>
      <c r="AD404" t="s">
        <v>7990</v>
      </c>
      <c r="AE404" t="s">
        <v>7991</v>
      </c>
    </row>
    <row r="405" spans="1:31" x14ac:dyDescent="0.25">
      <c r="A405" t="s">
        <v>31</v>
      </c>
      <c r="C405" t="s">
        <v>6970</v>
      </c>
      <c r="D405" t="s">
        <v>6998</v>
      </c>
      <c r="E405" t="s">
        <v>34</v>
      </c>
      <c r="F405" t="s">
        <v>43</v>
      </c>
      <c r="H405" t="s">
        <v>36</v>
      </c>
      <c r="I405" t="s">
        <v>6999</v>
      </c>
      <c r="J405" t="s">
        <v>31</v>
      </c>
      <c r="K405" t="s">
        <v>38</v>
      </c>
      <c r="L405" t="s">
        <v>242</v>
      </c>
      <c r="M405" t="s">
        <v>243</v>
      </c>
      <c r="N405" t="s">
        <v>405</v>
      </c>
      <c r="O405" t="s">
        <v>6215</v>
      </c>
      <c r="P405" t="s">
        <v>675</v>
      </c>
      <c r="T405">
        <v>38.948296567</v>
      </c>
      <c r="U405">
        <v>-77.543396020000003</v>
      </c>
      <c r="V405">
        <f>SUM(W405:X405)+(Y405*0.8)+(Z405*0.4)</f>
        <v>80</v>
      </c>
      <c r="W405">
        <v>0</v>
      </c>
      <c r="X405">
        <v>0</v>
      </c>
      <c r="Y405">
        <v>100</v>
      </c>
      <c r="Z405">
        <v>0</v>
      </c>
      <c r="AA405" t="s">
        <v>43</v>
      </c>
      <c r="AB405">
        <v>0</v>
      </c>
      <c r="AD405" t="s">
        <v>7000</v>
      </c>
      <c r="AE405" t="s">
        <v>7001</v>
      </c>
    </row>
    <row r="406" spans="1:31" x14ac:dyDescent="0.25">
      <c r="A406" t="s">
        <v>31</v>
      </c>
      <c r="C406" t="s">
        <v>5034</v>
      </c>
      <c r="D406" t="s">
        <v>5068</v>
      </c>
      <c r="E406" t="s">
        <v>34</v>
      </c>
      <c r="F406" t="s">
        <v>76</v>
      </c>
      <c r="H406" t="s">
        <v>36</v>
      </c>
      <c r="I406" t="s">
        <v>325</v>
      </c>
      <c r="J406" t="s">
        <v>31</v>
      </c>
      <c r="K406" t="s">
        <v>38</v>
      </c>
      <c r="L406" t="s">
        <v>1433</v>
      </c>
      <c r="M406" t="s">
        <v>1434</v>
      </c>
      <c r="N406" t="s">
        <v>3499</v>
      </c>
      <c r="O406" t="s">
        <v>3500</v>
      </c>
      <c r="P406" t="s">
        <v>5069</v>
      </c>
      <c r="T406">
        <v>41.276608445000001</v>
      </c>
      <c r="U406">
        <v>-95.790844574000005</v>
      </c>
      <c r="V406">
        <f>SUM(W406:X406)+(Y406*0.8)+(Z406*0.4)</f>
        <v>80</v>
      </c>
      <c r="W406">
        <v>0</v>
      </c>
      <c r="X406">
        <v>0</v>
      </c>
      <c r="Y406">
        <v>0</v>
      </c>
      <c r="Z406">
        <v>200</v>
      </c>
      <c r="AA406" t="s">
        <v>43</v>
      </c>
      <c r="AB406">
        <v>0</v>
      </c>
      <c r="AD406" t="s">
        <v>5070</v>
      </c>
      <c r="AE406" t="s">
        <v>5071</v>
      </c>
    </row>
    <row r="407" spans="1:31" x14ac:dyDescent="0.25">
      <c r="A407" t="s">
        <v>31</v>
      </c>
      <c r="C407" t="s">
        <v>409</v>
      </c>
      <c r="D407" t="s">
        <v>410</v>
      </c>
      <c r="E407" t="s">
        <v>34</v>
      </c>
      <c r="F407" t="s">
        <v>43</v>
      </c>
      <c r="H407" t="s">
        <v>411</v>
      </c>
      <c r="I407" t="s">
        <v>412</v>
      </c>
      <c r="J407" t="s">
        <v>31</v>
      </c>
      <c r="K407" t="s">
        <v>38</v>
      </c>
      <c r="L407" t="s">
        <v>242</v>
      </c>
      <c r="M407" t="s">
        <v>243</v>
      </c>
      <c r="N407" t="s">
        <v>413</v>
      </c>
      <c r="T407">
        <v>38.321453456</v>
      </c>
      <c r="U407">
        <v>-77.537713789999998</v>
      </c>
      <c r="V407">
        <f>SUM(W407:X407)+(Y407*0.8)+(Z407*0.4)</f>
        <v>80</v>
      </c>
      <c r="W407">
        <v>0</v>
      </c>
      <c r="X407">
        <v>0</v>
      </c>
      <c r="Y407">
        <v>0</v>
      </c>
      <c r="Z407">
        <v>200</v>
      </c>
      <c r="AA407" t="s">
        <v>43</v>
      </c>
      <c r="AB407">
        <v>0</v>
      </c>
      <c r="AD407" t="s">
        <v>414</v>
      </c>
      <c r="AE407" t="s">
        <v>415</v>
      </c>
    </row>
    <row r="408" spans="1:31" x14ac:dyDescent="0.25">
      <c r="A408" t="s">
        <v>31</v>
      </c>
      <c r="B408" t="s">
        <v>11350</v>
      </c>
      <c r="C408" t="s">
        <v>7684</v>
      </c>
      <c r="D408" t="s">
        <v>7750</v>
      </c>
      <c r="E408" t="s">
        <v>362</v>
      </c>
      <c r="F408" t="s">
        <v>7686</v>
      </c>
      <c r="H408" t="s">
        <v>36</v>
      </c>
      <c r="I408" t="s">
        <v>7751</v>
      </c>
      <c r="J408" t="s">
        <v>31</v>
      </c>
      <c r="K408" t="s">
        <v>38</v>
      </c>
      <c r="L408" t="s">
        <v>1433</v>
      </c>
      <c r="M408" t="s">
        <v>1434</v>
      </c>
      <c r="N408" t="s">
        <v>1893</v>
      </c>
      <c r="O408" t="s">
        <v>4978</v>
      </c>
      <c r="P408" t="s">
        <v>7752</v>
      </c>
      <c r="T408">
        <v>41.616623359000002</v>
      </c>
      <c r="U408">
        <v>-90.625054624000001</v>
      </c>
      <c r="V408">
        <f>SUM(W408:X408)+(Y408*0.8)+(Z408*0.4)</f>
        <v>79.680000000000007</v>
      </c>
      <c r="W408">
        <v>0</v>
      </c>
      <c r="X408">
        <v>0</v>
      </c>
      <c r="Y408">
        <v>0</v>
      </c>
      <c r="Z408">
        <v>199.2</v>
      </c>
      <c r="AA408" t="s">
        <v>43</v>
      </c>
      <c r="AB408">
        <v>0</v>
      </c>
      <c r="AD408" t="s">
        <v>7753</v>
      </c>
      <c r="AE408" t="s">
        <v>7754</v>
      </c>
    </row>
    <row r="409" spans="1:31" x14ac:dyDescent="0.25">
      <c r="A409" t="s">
        <v>31</v>
      </c>
      <c r="C409" t="s">
        <v>9585</v>
      </c>
      <c r="D409" t="s">
        <v>7815</v>
      </c>
      <c r="E409" t="s">
        <v>34</v>
      </c>
      <c r="F409" t="s">
        <v>66</v>
      </c>
      <c r="G409">
        <v>2027</v>
      </c>
      <c r="H409" t="s">
        <v>36</v>
      </c>
      <c r="I409" t="s">
        <v>9592</v>
      </c>
      <c r="J409" t="s">
        <v>31</v>
      </c>
      <c r="K409" t="s">
        <v>38</v>
      </c>
      <c r="L409" t="s">
        <v>185</v>
      </c>
      <c r="M409" t="s">
        <v>186</v>
      </c>
      <c r="N409" t="s">
        <v>9593</v>
      </c>
      <c r="O409" t="s">
        <v>7815</v>
      </c>
      <c r="P409" t="s">
        <v>7816</v>
      </c>
      <c r="T409">
        <v>33.657116625999997</v>
      </c>
      <c r="U409">
        <v>-83.679053674000002</v>
      </c>
      <c r="V409">
        <f>SUM(W409:X409)+(Y409*0.8)+(Z409*0.4)</f>
        <v>78.720000000000013</v>
      </c>
      <c r="W409">
        <v>0</v>
      </c>
      <c r="X409">
        <v>0</v>
      </c>
      <c r="Y409">
        <v>0</v>
      </c>
      <c r="Z409">
        <v>196.8</v>
      </c>
      <c r="AA409" t="s">
        <v>43</v>
      </c>
      <c r="AB409">
        <v>0</v>
      </c>
      <c r="AD409" t="s">
        <v>9594</v>
      </c>
      <c r="AE409" t="s">
        <v>9595</v>
      </c>
    </row>
    <row r="410" spans="1:31" x14ac:dyDescent="0.25">
      <c r="A410" t="s">
        <v>31</v>
      </c>
      <c r="C410" t="s">
        <v>9546</v>
      </c>
      <c r="D410" t="s">
        <v>9567</v>
      </c>
      <c r="E410" t="s">
        <v>34</v>
      </c>
      <c r="F410" t="s">
        <v>66</v>
      </c>
      <c r="G410">
        <v>2017</v>
      </c>
      <c r="H410" t="s">
        <v>36</v>
      </c>
      <c r="I410" t="s">
        <v>9568</v>
      </c>
      <c r="J410" t="s">
        <v>31</v>
      </c>
      <c r="K410" t="s">
        <v>38</v>
      </c>
      <c r="L410" t="s">
        <v>242</v>
      </c>
      <c r="M410" t="s">
        <v>243</v>
      </c>
      <c r="N410" t="s">
        <v>405</v>
      </c>
      <c r="O410" t="s">
        <v>516</v>
      </c>
      <c r="P410" t="s">
        <v>517</v>
      </c>
      <c r="T410">
        <v>39.015484856</v>
      </c>
      <c r="U410">
        <v>-77.478285060000005</v>
      </c>
      <c r="V410">
        <f>SUM(W410:X410)+(Y410*0.8)+(Z410*0.4)</f>
        <v>78.599999999999994</v>
      </c>
      <c r="W410">
        <v>31.8</v>
      </c>
      <c r="X410">
        <v>18</v>
      </c>
      <c r="Y410">
        <v>36</v>
      </c>
      <c r="Z410">
        <v>0</v>
      </c>
      <c r="AA410" t="s">
        <v>43</v>
      </c>
      <c r="AB410">
        <v>35.1</v>
      </c>
      <c r="AD410" t="s">
        <v>9569</v>
      </c>
      <c r="AE410" t="s">
        <v>9570</v>
      </c>
    </row>
    <row r="411" spans="1:31" x14ac:dyDescent="0.25">
      <c r="A411" t="s">
        <v>31</v>
      </c>
      <c r="C411" t="s">
        <v>9202</v>
      </c>
      <c r="D411" t="s">
        <v>1308</v>
      </c>
      <c r="E411" t="s">
        <v>34</v>
      </c>
      <c r="F411" t="s">
        <v>43</v>
      </c>
      <c r="G411">
        <v>2026</v>
      </c>
      <c r="H411" t="s">
        <v>36</v>
      </c>
      <c r="I411" t="s">
        <v>9306</v>
      </c>
      <c r="J411" t="s">
        <v>31</v>
      </c>
      <c r="K411" t="s">
        <v>38</v>
      </c>
      <c r="L411" t="s">
        <v>317</v>
      </c>
      <c r="M411" t="s">
        <v>318</v>
      </c>
      <c r="N411" t="s">
        <v>584</v>
      </c>
      <c r="O411" t="s">
        <v>1304</v>
      </c>
      <c r="P411" t="s">
        <v>1305</v>
      </c>
      <c r="S411" t="s">
        <v>6143</v>
      </c>
      <c r="T411">
        <v>40.057232573</v>
      </c>
      <c r="U411">
        <v>-82.755536476000003</v>
      </c>
      <c r="V411">
        <f>SUM(W411:X411)+(Y411*0.8)+(Z411*0.4)</f>
        <v>78</v>
      </c>
      <c r="W411">
        <v>0</v>
      </c>
      <c r="X411">
        <v>78</v>
      </c>
      <c r="Y411">
        <v>0</v>
      </c>
      <c r="Z411">
        <v>0</v>
      </c>
      <c r="AA411" t="s">
        <v>43</v>
      </c>
      <c r="AB411">
        <v>0</v>
      </c>
      <c r="AD411" t="s">
        <v>9307</v>
      </c>
      <c r="AE411" t="s">
        <v>9308</v>
      </c>
    </row>
    <row r="412" spans="1:31" x14ac:dyDescent="0.25">
      <c r="A412" t="s">
        <v>31</v>
      </c>
      <c r="C412" t="s">
        <v>10037</v>
      </c>
      <c r="D412" t="s">
        <v>10089</v>
      </c>
      <c r="E412" t="s">
        <v>34</v>
      </c>
      <c r="F412" t="s">
        <v>76</v>
      </c>
      <c r="G412">
        <v>2024</v>
      </c>
      <c r="H412" t="s">
        <v>36</v>
      </c>
      <c r="I412" t="s">
        <v>10090</v>
      </c>
      <c r="J412" t="s">
        <v>31</v>
      </c>
      <c r="K412" t="s">
        <v>38</v>
      </c>
      <c r="L412" t="s">
        <v>68</v>
      </c>
      <c r="M412" t="s">
        <v>69</v>
      </c>
      <c r="N412" t="s">
        <v>297</v>
      </c>
      <c r="O412" t="s">
        <v>10091</v>
      </c>
      <c r="P412" t="s">
        <v>10092</v>
      </c>
      <c r="T412">
        <v>32.581572280000003</v>
      </c>
      <c r="U412">
        <v>-96.701047287999998</v>
      </c>
      <c r="V412">
        <f>SUM(W412:X412)+(Y412*0.8)+(Z412*0.4)</f>
        <v>78</v>
      </c>
      <c r="W412">
        <v>30</v>
      </c>
      <c r="X412">
        <v>0</v>
      </c>
      <c r="Y412">
        <v>60</v>
      </c>
      <c r="Z412">
        <v>0</v>
      </c>
      <c r="AA412" t="s">
        <v>43</v>
      </c>
      <c r="AB412">
        <v>30</v>
      </c>
      <c r="AD412" t="s">
        <v>10093</v>
      </c>
      <c r="AE412" t="s">
        <v>10094</v>
      </c>
    </row>
    <row r="413" spans="1:31" x14ac:dyDescent="0.25">
      <c r="A413" t="s">
        <v>31</v>
      </c>
      <c r="B413" t="s">
        <v>11350</v>
      </c>
      <c r="C413" t="s">
        <v>647</v>
      </c>
      <c r="D413" t="s">
        <v>1168</v>
      </c>
      <c r="E413" t="s">
        <v>362</v>
      </c>
      <c r="F413" t="s">
        <v>649</v>
      </c>
      <c r="G413">
        <v>2018</v>
      </c>
      <c r="H413" t="s">
        <v>36</v>
      </c>
      <c r="I413" t="s">
        <v>1169</v>
      </c>
      <c r="J413" t="s">
        <v>31</v>
      </c>
      <c r="K413" t="s">
        <v>38</v>
      </c>
      <c r="L413" t="s">
        <v>317</v>
      </c>
      <c r="M413" t="s">
        <v>318</v>
      </c>
      <c r="N413" t="s">
        <v>584</v>
      </c>
      <c r="O413" t="s">
        <v>1170</v>
      </c>
      <c r="P413" t="s">
        <v>1171</v>
      </c>
      <c r="S413" t="s">
        <v>1172</v>
      </c>
      <c r="T413">
        <v>40.094804431</v>
      </c>
      <c r="U413">
        <v>-82.752441579999996</v>
      </c>
      <c r="V413">
        <f>SUM(W413:X413)+(Y413*0.8)+(Z413*0.4)</f>
        <v>77.3</v>
      </c>
      <c r="W413">
        <v>77.3</v>
      </c>
      <c r="X413">
        <v>0</v>
      </c>
      <c r="Y413">
        <v>0</v>
      </c>
      <c r="Z413">
        <v>0</v>
      </c>
      <c r="AA413" t="s">
        <v>43</v>
      </c>
      <c r="AB413">
        <v>77.3</v>
      </c>
      <c r="AD413" t="s">
        <v>1173</v>
      </c>
      <c r="AE413" t="s">
        <v>1174</v>
      </c>
    </row>
    <row r="414" spans="1:31" x14ac:dyDescent="0.25">
      <c r="A414" t="s">
        <v>31</v>
      </c>
      <c r="C414" t="s">
        <v>8486</v>
      </c>
      <c r="D414" t="s">
        <v>8487</v>
      </c>
      <c r="E414" t="s">
        <v>34</v>
      </c>
      <c r="F414" t="s">
        <v>66</v>
      </c>
      <c r="G414">
        <v>2026</v>
      </c>
      <c r="H414" t="s">
        <v>36</v>
      </c>
      <c r="I414" t="s">
        <v>8488</v>
      </c>
      <c r="J414" t="s">
        <v>31</v>
      </c>
      <c r="K414" t="s">
        <v>38</v>
      </c>
      <c r="L414" t="s">
        <v>185</v>
      </c>
      <c r="M414" t="s">
        <v>186</v>
      </c>
      <c r="N414" t="s">
        <v>5058</v>
      </c>
      <c r="O414" t="s">
        <v>8487</v>
      </c>
      <c r="P414" t="s">
        <v>8489</v>
      </c>
      <c r="T414">
        <v>34.239738322000001</v>
      </c>
      <c r="U414">
        <v>-83.549361763999997</v>
      </c>
      <c r="V414">
        <f>SUM(W414:X414)+(Y414*0.8)+(Z414*0.4)</f>
        <v>76.800000000000011</v>
      </c>
      <c r="W414">
        <v>0</v>
      </c>
      <c r="X414">
        <v>0</v>
      </c>
      <c r="Y414">
        <v>96</v>
      </c>
      <c r="Z414">
        <v>0</v>
      </c>
      <c r="AA414" t="s">
        <v>43</v>
      </c>
      <c r="AB414">
        <v>0</v>
      </c>
      <c r="AC414">
        <v>1.1499999999999999</v>
      </c>
      <c r="AD414" t="s">
        <v>8490</v>
      </c>
      <c r="AE414" t="s">
        <v>8491</v>
      </c>
    </row>
    <row r="415" spans="1:31" x14ac:dyDescent="0.25">
      <c r="A415" t="s">
        <v>31</v>
      </c>
      <c r="C415" t="s">
        <v>10876</v>
      </c>
      <c r="D415" t="s">
        <v>1606</v>
      </c>
      <c r="E415" t="s">
        <v>34</v>
      </c>
      <c r="F415" t="s">
        <v>66</v>
      </c>
      <c r="G415">
        <v>2025</v>
      </c>
      <c r="H415" t="s">
        <v>36</v>
      </c>
      <c r="I415" t="s">
        <v>10894</v>
      </c>
      <c r="J415" t="s">
        <v>31</v>
      </c>
      <c r="K415" t="s">
        <v>38</v>
      </c>
      <c r="L415" t="s">
        <v>185</v>
      </c>
      <c r="M415" t="s">
        <v>186</v>
      </c>
      <c r="N415" t="s">
        <v>155</v>
      </c>
      <c r="O415" t="s">
        <v>977</v>
      </c>
      <c r="P415" t="s">
        <v>10895</v>
      </c>
      <c r="T415">
        <v>33.710747683000001</v>
      </c>
      <c r="U415">
        <v>-84.622385152000007</v>
      </c>
      <c r="V415">
        <f>SUM(W415:X415)+(Y415*0.8)+(Z415*0.4)</f>
        <v>76.800000000000011</v>
      </c>
      <c r="W415">
        <v>0</v>
      </c>
      <c r="X415">
        <v>0</v>
      </c>
      <c r="Y415">
        <v>96</v>
      </c>
      <c r="Z415">
        <v>0</v>
      </c>
      <c r="AA415" t="s">
        <v>43</v>
      </c>
      <c r="AB415">
        <v>0</v>
      </c>
      <c r="AD415" t="s">
        <v>10896</v>
      </c>
      <c r="AE415" t="s">
        <v>10897</v>
      </c>
    </row>
    <row r="416" spans="1:31" x14ac:dyDescent="0.25">
      <c r="A416" t="s">
        <v>31</v>
      </c>
      <c r="C416" t="s">
        <v>9029</v>
      </c>
      <c r="D416" t="s">
        <v>9030</v>
      </c>
      <c r="E416" t="s">
        <v>34</v>
      </c>
      <c r="F416" t="s">
        <v>66</v>
      </c>
      <c r="H416" t="s">
        <v>36</v>
      </c>
      <c r="I416" t="s">
        <v>9031</v>
      </c>
      <c r="J416" t="s">
        <v>31</v>
      </c>
      <c r="K416" t="s">
        <v>38</v>
      </c>
      <c r="L416" t="s">
        <v>3818</v>
      </c>
      <c r="M416" t="s">
        <v>3819</v>
      </c>
      <c r="N416" t="s">
        <v>9032</v>
      </c>
      <c r="O416" t="s">
        <v>5056</v>
      </c>
      <c r="P416" t="s">
        <v>9033</v>
      </c>
      <c r="S416" t="s">
        <v>9034</v>
      </c>
      <c r="T416">
        <v>39.148930546999999</v>
      </c>
      <c r="U416">
        <v>-94.641397855999998</v>
      </c>
      <c r="V416">
        <f>SUM(W416:X416)+(Y416*0.8)+(Z416*0.4)</f>
        <v>76.800000000000011</v>
      </c>
      <c r="W416">
        <v>0</v>
      </c>
      <c r="X416">
        <v>0</v>
      </c>
      <c r="Y416">
        <v>0</v>
      </c>
      <c r="Z416">
        <v>192</v>
      </c>
      <c r="AA416" t="s">
        <v>43</v>
      </c>
      <c r="AB416">
        <v>0</v>
      </c>
      <c r="AD416" t="s">
        <v>9035</v>
      </c>
      <c r="AE416" t="s">
        <v>9036</v>
      </c>
    </row>
    <row r="417" spans="1:31" x14ac:dyDescent="0.25">
      <c r="A417" t="s">
        <v>31</v>
      </c>
      <c r="C417" t="s">
        <v>8229</v>
      </c>
      <c r="D417" t="s">
        <v>8230</v>
      </c>
      <c r="E417" t="s">
        <v>34</v>
      </c>
      <c r="F417" t="s">
        <v>66</v>
      </c>
      <c r="H417" t="s">
        <v>36</v>
      </c>
      <c r="I417" t="s">
        <v>8231</v>
      </c>
      <c r="J417" t="s">
        <v>31</v>
      </c>
      <c r="K417" t="s">
        <v>38</v>
      </c>
      <c r="L417" t="s">
        <v>185</v>
      </c>
      <c r="M417" t="s">
        <v>186</v>
      </c>
      <c r="N417" t="s">
        <v>303</v>
      </c>
      <c r="O417" t="s">
        <v>8232</v>
      </c>
      <c r="P417" t="s">
        <v>8233</v>
      </c>
      <c r="T417">
        <v>33.994351498999997</v>
      </c>
      <c r="U417">
        <v>-84.553610613000004</v>
      </c>
      <c r="V417">
        <f>SUM(W417:X417)+(Y417*0.8)+(Z417*0.4)</f>
        <v>76.800000000000011</v>
      </c>
      <c r="W417">
        <v>0</v>
      </c>
      <c r="X417">
        <v>0</v>
      </c>
      <c r="Y417">
        <v>96</v>
      </c>
      <c r="Z417">
        <v>0</v>
      </c>
      <c r="AA417" t="s">
        <v>43</v>
      </c>
      <c r="AB417">
        <v>0</v>
      </c>
      <c r="AD417" t="s">
        <v>8234</v>
      </c>
      <c r="AE417" t="s">
        <v>8235</v>
      </c>
    </row>
    <row r="418" spans="1:31" x14ac:dyDescent="0.25">
      <c r="A418" t="s">
        <v>31</v>
      </c>
      <c r="C418" t="s">
        <v>10876</v>
      </c>
      <c r="D418" t="s">
        <v>10935</v>
      </c>
      <c r="E418" t="s">
        <v>34</v>
      </c>
      <c r="F418" t="s">
        <v>66</v>
      </c>
      <c r="G418">
        <v>2019</v>
      </c>
      <c r="H418" t="s">
        <v>36</v>
      </c>
      <c r="I418" t="s">
        <v>10936</v>
      </c>
      <c r="J418" t="s">
        <v>31</v>
      </c>
      <c r="K418" t="s">
        <v>38</v>
      </c>
      <c r="L418" t="s">
        <v>172</v>
      </c>
      <c r="M418" t="s">
        <v>173</v>
      </c>
      <c r="N418" t="s">
        <v>780</v>
      </c>
      <c r="O418" t="s">
        <v>781</v>
      </c>
      <c r="P418" t="s">
        <v>787</v>
      </c>
      <c r="S418" t="s">
        <v>788</v>
      </c>
      <c r="T418">
        <v>37.363892999999997</v>
      </c>
      <c r="U418">
        <v>-121.947671</v>
      </c>
      <c r="V418">
        <f>SUM(W418:X418)+(Y418*0.8)+(Z418*0.4)</f>
        <v>76.8</v>
      </c>
      <c r="W418">
        <v>76.8</v>
      </c>
      <c r="X418">
        <v>0</v>
      </c>
      <c r="Y418">
        <v>0</v>
      </c>
      <c r="Z418">
        <v>0</v>
      </c>
      <c r="AA418" t="s">
        <v>43</v>
      </c>
      <c r="AB418">
        <v>76.8</v>
      </c>
      <c r="AC418">
        <v>1.2</v>
      </c>
      <c r="AD418" t="s">
        <v>10937</v>
      </c>
      <c r="AE418" t="s">
        <v>10938</v>
      </c>
    </row>
    <row r="419" spans="1:31" x14ac:dyDescent="0.25">
      <c r="A419" t="s">
        <v>31</v>
      </c>
      <c r="C419" t="s">
        <v>10876</v>
      </c>
      <c r="D419" t="s">
        <v>10932</v>
      </c>
      <c r="E419" t="s">
        <v>34</v>
      </c>
      <c r="F419" t="s">
        <v>66</v>
      </c>
      <c r="G419">
        <v>2010</v>
      </c>
      <c r="H419" t="s">
        <v>36</v>
      </c>
      <c r="I419" t="s">
        <v>4298</v>
      </c>
      <c r="J419" t="s">
        <v>31</v>
      </c>
      <c r="K419" t="s">
        <v>38</v>
      </c>
      <c r="L419" t="s">
        <v>172</v>
      </c>
      <c r="M419" t="s">
        <v>173</v>
      </c>
      <c r="N419" t="s">
        <v>780</v>
      </c>
      <c r="O419" t="s">
        <v>781</v>
      </c>
      <c r="P419" t="s">
        <v>3145</v>
      </c>
      <c r="T419">
        <v>37.372549008999997</v>
      </c>
      <c r="U419">
        <v>-121.97363921199999</v>
      </c>
      <c r="V419">
        <f>SUM(W419:X419)+(Y419*0.8)+(Z419*0.4)</f>
        <v>76.8</v>
      </c>
      <c r="W419">
        <v>76.8</v>
      </c>
      <c r="X419">
        <v>0</v>
      </c>
      <c r="Y419">
        <v>0</v>
      </c>
      <c r="Z419">
        <v>0</v>
      </c>
      <c r="AA419" t="s">
        <v>43</v>
      </c>
      <c r="AB419">
        <v>76.8</v>
      </c>
      <c r="AC419">
        <v>1.2</v>
      </c>
      <c r="AD419" t="s">
        <v>10933</v>
      </c>
      <c r="AE419" t="s">
        <v>10934</v>
      </c>
    </row>
    <row r="420" spans="1:31" x14ac:dyDescent="0.25">
      <c r="A420" t="s">
        <v>31</v>
      </c>
      <c r="B420" t="s">
        <v>11350</v>
      </c>
      <c r="C420" t="s">
        <v>647</v>
      </c>
      <c r="D420" t="s">
        <v>900</v>
      </c>
      <c r="E420" t="s">
        <v>362</v>
      </c>
      <c r="F420" t="s">
        <v>649</v>
      </c>
      <c r="G420">
        <v>2025</v>
      </c>
      <c r="H420" t="s">
        <v>36</v>
      </c>
      <c r="I420" t="s">
        <v>901</v>
      </c>
      <c r="J420" t="s">
        <v>31</v>
      </c>
      <c r="K420" t="s">
        <v>38</v>
      </c>
      <c r="L420" t="s">
        <v>242</v>
      </c>
      <c r="M420" t="s">
        <v>243</v>
      </c>
      <c r="N420" t="s">
        <v>405</v>
      </c>
      <c r="O420" t="s">
        <v>674</v>
      </c>
      <c r="P420" t="s">
        <v>675</v>
      </c>
      <c r="T420">
        <v>38.948987113999998</v>
      </c>
      <c r="U420">
        <v>-77.559666741000001</v>
      </c>
      <c r="V420">
        <f>SUM(W420:X420)+(Y420*0.8)+(Z420*0.4)</f>
        <v>76</v>
      </c>
      <c r="W420">
        <v>0</v>
      </c>
      <c r="X420">
        <v>76</v>
      </c>
      <c r="Y420">
        <v>0</v>
      </c>
      <c r="Z420">
        <v>0</v>
      </c>
      <c r="AA420" t="s">
        <v>43</v>
      </c>
      <c r="AB420">
        <v>76</v>
      </c>
      <c r="AD420" t="s">
        <v>902</v>
      </c>
      <c r="AE420" t="s">
        <v>903</v>
      </c>
    </row>
    <row r="421" spans="1:31" x14ac:dyDescent="0.25">
      <c r="A421" t="s">
        <v>31</v>
      </c>
      <c r="C421" t="s">
        <v>8540</v>
      </c>
      <c r="D421" t="s">
        <v>8566</v>
      </c>
      <c r="E421" t="s">
        <v>34</v>
      </c>
      <c r="F421" t="s">
        <v>66</v>
      </c>
      <c r="G421">
        <v>2021</v>
      </c>
      <c r="H421" t="s">
        <v>36</v>
      </c>
      <c r="I421" t="s">
        <v>8567</v>
      </c>
      <c r="J421" t="s">
        <v>31</v>
      </c>
      <c r="K421" t="s">
        <v>38</v>
      </c>
      <c r="L421" t="s">
        <v>620</v>
      </c>
      <c r="M421" t="s">
        <v>621</v>
      </c>
      <c r="N421" t="s">
        <v>622</v>
      </c>
      <c r="O421" t="s">
        <v>623</v>
      </c>
      <c r="P421" t="s">
        <v>8568</v>
      </c>
      <c r="S421" t="s">
        <v>4769</v>
      </c>
      <c r="T421">
        <v>40.574446598999998</v>
      </c>
      <c r="U421">
        <v>-112.04566674100001</v>
      </c>
      <c r="V421">
        <f>SUM(W421:X421)+(Y421*0.8)+(Z421*0.4)</f>
        <v>76</v>
      </c>
      <c r="W421">
        <v>40</v>
      </c>
      <c r="X421">
        <v>20</v>
      </c>
      <c r="Y421">
        <v>20</v>
      </c>
      <c r="Z421">
        <v>0</v>
      </c>
      <c r="AA421" t="s">
        <v>43</v>
      </c>
      <c r="AB421">
        <v>60</v>
      </c>
      <c r="AC421">
        <v>1.18</v>
      </c>
      <c r="AD421" t="s">
        <v>8569</v>
      </c>
      <c r="AE421" t="s">
        <v>8570</v>
      </c>
    </row>
    <row r="422" spans="1:31" x14ac:dyDescent="0.25">
      <c r="A422" t="s">
        <v>31</v>
      </c>
      <c r="B422" t="s">
        <v>11350</v>
      </c>
      <c r="C422" t="s">
        <v>647</v>
      </c>
      <c r="D422" t="s">
        <v>1249</v>
      </c>
      <c r="E422" t="s">
        <v>362</v>
      </c>
      <c r="F422" t="s">
        <v>649</v>
      </c>
      <c r="G422">
        <v>2013</v>
      </c>
      <c r="H422" t="s">
        <v>36</v>
      </c>
      <c r="I422" t="s">
        <v>1250</v>
      </c>
      <c r="J422" t="s">
        <v>31</v>
      </c>
      <c r="K422" t="s">
        <v>38</v>
      </c>
      <c r="L422" t="s">
        <v>133</v>
      </c>
      <c r="M422" t="s">
        <v>134</v>
      </c>
      <c r="N422" t="s">
        <v>1202</v>
      </c>
      <c r="O422" t="s">
        <v>1203</v>
      </c>
      <c r="P422" t="s">
        <v>1204</v>
      </c>
      <c r="T422">
        <v>45.841117105999999</v>
      </c>
      <c r="U422">
        <v>-119.65266481</v>
      </c>
      <c r="V422">
        <f>SUM(W422:X422)+(Y422*0.8)+(Z422*0.4)</f>
        <v>76</v>
      </c>
      <c r="W422">
        <v>76</v>
      </c>
      <c r="X422">
        <v>0</v>
      </c>
      <c r="Y422">
        <v>0</v>
      </c>
      <c r="Z422">
        <v>0</v>
      </c>
      <c r="AA422" t="s">
        <v>43</v>
      </c>
      <c r="AB422">
        <v>76</v>
      </c>
      <c r="AD422" t="s">
        <v>1251</v>
      </c>
      <c r="AE422" t="s">
        <v>1252</v>
      </c>
    </row>
    <row r="423" spans="1:31" x14ac:dyDescent="0.25">
      <c r="A423" t="s">
        <v>31</v>
      </c>
      <c r="C423" t="s">
        <v>9866</v>
      </c>
      <c r="D423" t="s">
        <v>9867</v>
      </c>
      <c r="E423" t="s">
        <v>34</v>
      </c>
      <c r="F423" t="s">
        <v>66</v>
      </c>
      <c r="H423" t="s">
        <v>36</v>
      </c>
      <c r="J423" t="s">
        <v>9868</v>
      </c>
      <c r="K423" t="s">
        <v>9869</v>
      </c>
      <c r="T423">
        <v>38.159903987</v>
      </c>
      <c r="U423">
        <v>-77.512965300999994</v>
      </c>
      <c r="V423">
        <f>SUM(W423:X423)+(Y423*0.8)+(Z423*0.4)</f>
        <v>75.600000000000009</v>
      </c>
      <c r="W423">
        <v>0</v>
      </c>
      <c r="X423">
        <v>0</v>
      </c>
      <c r="Y423">
        <v>0</v>
      </c>
      <c r="Z423">
        <v>189</v>
      </c>
      <c r="AA423" t="s">
        <v>43</v>
      </c>
      <c r="AB423">
        <v>0</v>
      </c>
      <c r="AD423" t="s">
        <v>9870</v>
      </c>
      <c r="AE423" t="s">
        <v>9871</v>
      </c>
    </row>
    <row r="424" spans="1:31" x14ac:dyDescent="0.25">
      <c r="A424" t="s">
        <v>31</v>
      </c>
      <c r="C424" t="s">
        <v>314</v>
      </c>
      <c r="D424" t="s">
        <v>315</v>
      </c>
      <c r="E424" t="s">
        <v>34</v>
      </c>
      <c r="F424" t="s">
        <v>66</v>
      </c>
      <c r="G424">
        <v>2024</v>
      </c>
      <c r="H424" t="s">
        <v>36</v>
      </c>
      <c r="I424" t="s">
        <v>316</v>
      </c>
      <c r="J424" t="s">
        <v>31</v>
      </c>
      <c r="K424" t="s">
        <v>38</v>
      </c>
      <c r="L424" t="s">
        <v>317</v>
      </c>
      <c r="M424" t="s">
        <v>318</v>
      </c>
      <c r="N424" t="s">
        <v>319</v>
      </c>
      <c r="O424" t="s">
        <v>320</v>
      </c>
      <c r="P424" t="s">
        <v>321</v>
      </c>
      <c r="Q424" t="s">
        <v>320</v>
      </c>
      <c r="T424">
        <v>39.912930439</v>
      </c>
      <c r="U424">
        <v>-83.723707270999995</v>
      </c>
      <c r="V424">
        <f>SUM(W424:X424)+(Y424*0.8)+(Z424*0.4)</f>
        <v>75.5</v>
      </c>
      <c r="W424">
        <v>7.5</v>
      </c>
      <c r="X424">
        <v>0</v>
      </c>
      <c r="Y424">
        <v>0</v>
      </c>
      <c r="Z424">
        <v>170</v>
      </c>
      <c r="AA424" t="s">
        <v>43</v>
      </c>
      <c r="AB424">
        <v>7.5</v>
      </c>
      <c r="AD424" t="s">
        <v>322</v>
      </c>
      <c r="AE424" t="s">
        <v>323</v>
      </c>
    </row>
    <row r="425" spans="1:31" x14ac:dyDescent="0.25">
      <c r="A425" t="s">
        <v>31</v>
      </c>
      <c r="C425" t="s">
        <v>2862</v>
      </c>
      <c r="D425" t="s">
        <v>2881</v>
      </c>
      <c r="E425" t="s">
        <v>34</v>
      </c>
      <c r="F425" t="s">
        <v>66</v>
      </c>
      <c r="G425">
        <v>2021</v>
      </c>
      <c r="H425" t="s">
        <v>36</v>
      </c>
      <c r="I425" t="s">
        <v>2882</v>
      </c>
      <c r="J425" t="s">
        <v>31</v>
      </c>
      <c r="K425" t="s">
        <v>38</v>
      </c>
      <c r="L425" t="s">
        <v>242</v>
      </c>
      <c r="M425" t="s">
        <v>243</v>
      </c>
      <c r="N425" t="s">
        <v>405</v>
      </c>
      <c r="O425" t="s">
        <v>1140</v>
      </c>
      <c r="P425" t="s">
        <v>1285</v>
      </c>
      <c r="T425">
        <v>39.043731000000001</v>
      </c>
      <c r="U425">
        <v>-77.538870000000003</v>
      </c>
      <c r="V425">
        <f>SUM(W425:X425)+(Y425*0.8)+(Z425*0.4)</f>
        <v>75</v>
      </c>
      <c r="W425">
        <v>75</v>
      </c>
      <c r="X425">
        <v>0</v>
      </c>
      <c r="Y425">
        <v>0</v>
      </c>
      <c r="Z425">
        <v>0</v>
      </c>
      <c r="AA425" t="s">
        <v>43</v>
      </c>
      <c r="AB425">
        <v>72</v>
      </c>
      <c r="AD425" t="s">
        <v>2883</v>
      </c>
      <c r="AE425" t="s">
        <v>2884</v>
      </c>
    </row>
    <row r="426" spans="1:31" x14ac:dyDescent="0.25">
      <c r="A426" t="s">
        <v>31</v>
      </c>
      <c r="C426" t="s">
        <v>4801</v>
      </c>
      <c r="D426" t="s">
        <v>4911</v>
      </c>
      <c r="E426" t="s">
        <v>34</v>
      </c>
      <c r="F426" t="s">
        <v>66</v>
      </c>
      <c r="G426">
        <v>2026</v>
      </c>
      <c r="H426" t="s">
        <v>36</v>
      </c>
      <c r="I426" t="s">
        <v>4912</v>
      </c>
      <c r="J426" t="s">
        <v>31</v>
      </c>
      <c r="K426" t="s">
        <v>38</v>
      </c>
      <c r="L426" t="s">
        <v>326</v>
      </c>
      <c r="M426" t="s">
        <v>327</v>
      </c>
      <c r="N426" t="s">
        <v>328</v>
      </c>
      <c r="O426" t="s">
        <v>1160</v>
      </c>
      <c r="P426" t="s">
        <v>1165</v>
      </c>
      <c r="T426">
        <v>33.356909000000002</v>
      </c>
      <c r="U426">
        <v>-111.65177</v>
      </c>
      <c r="V426">
        <f>SUM(W426:X426)+(Y426*0.8)+(Z426*0.4)</f>
        <v>74.400000000000006</v>
      </c>
      <c r="W426">
        <v>0</v>
      </c>
      <c r="X426">
        <v>36</v>
      </c>
      <c r="Y426">
        <v>32</v>
      </c>
      <c r="Z426">
        <v>32</v>
      </c>
      <c r="AA426" t="s">
        <v>43</v>
      </c>
      <c r="AB426">
        <v>36</v>
      </c>
      <c r="AD426" t="s">
        <v>4913</v>
      </c>
      <c r="AE426" t="s">
        <v>4914</v>
      </c>
    </row>
    <row r="427" spans="1:31" x14ac:dyDescent="0.25">
      <c r="A427" t="s">
        <v>31</v>
      </c>
      <c r="C427" t="s">
        <v>3849</v>
      </c>
      <c r="D427" t="s">
        <v>4565</v>
      </c>
      <c r="E427" t="s">
        <v>34</v>
      </c>
      <c r="F427" t="s">
        <v>66</v>
      </c>
      <c r="G427">
        <v>2019</v>
      </c>
      <c r="H427" t="s">
        <v>36</v>
      </c>
      <c r="I427" t="s">
        <v>4566</v>
      </c>
      <c r="J427" t="s">
        <v>31</v>
      </c>
      <c r="K427" t="s">
        <v>38</v>
      </c>
      <c r="L427" t="s">
        <v>242</v>
      </c>
      <c r="M427" t="s">
        <v>243</v>
      </c>
      <c r="N427" t="s">
        <v>405</v>
      </c>
      <c r="O427" t="s">
        <v>516</v>
      </c>
      <c r="P427" t="s">
        <v>517</v>
      </c>
      <c r="T427">
        <v>39.009383335000003</v>
      </c>
      <c r="U427">
        <v>-77.457584483999995</v>
      </c>
      <c r="V427">
        <f>SUM(W427:X427)+(Y427*0.8)+(Z427*0.4)</f>
        <v>74</v>
      </c>
      <c r="W427">
        <v>74</v>
      </c>
      <c r="X427">
        <v>0</v>
      </c>
      <c r="Y427">
        <v>0</v>
      </c>
      <c r="Z427">
        <v>0</v>
      </c>
      <c r="AA427" t="s">
        <v>43</v>
      </c>
      <c r="AB427">
        <v>74</v>
      </c>
      <c r="AD427" t="s">
        <v>4567</v>
      </c>
      <c r="AE427" t="s">
        <v>4568</v>
      </c>
    </row>
    <row r="428" spans="1:31" x14ac:dyDescent="0.25">
      <c r="A428" t="s">
        <v>31</v>
      </c>
      <c r="B428" t="s">
        <v>11350</v>
      </c>
      <c r="C428" t="s">
        <v>647</v>
      </c>
      <c r="D428" t="s">
        <v>1200</v>
      </c>
      <c r="E428" t="s">
        <v>362</v>
      </c>
      <c r="F428" t="s">
        <v>649</v>
      </c>
      <c r="G428">
        <v>2011</v>
      </c>
      <c r="H428" t="s">
        <v>36</v>
      </c>
      <c r="I428" t="s">
        <v>1201</v>
      </c>
      <c r="J428" t="s">
        <v>31</v>
      </c>
      <c r="K428" t="s">
        <v>38</v>
      </c>
      <c r="L428" t="s">
        <v>133</v>
      </c>
      <c r="M428" t="s">
        <v>134</v>
      </c>
      <c r="N428" t="s">
        <v>1202</v>
      </c>
      <c r="O428" t="s">
        <v>1203</v>
      </c>
      <c r="P428" t="s">
        <v>1204</v>
      </c>
      <c r="T428">
        <v>45.850953828000002</v>
      </c>
      <c r="U428">
        <v>-119.630631016</v>
      </c>
      <c r="V428">
        <f>SUM(W428:X428)+(Y428*0.8)+(Z428*0.4)</f>
        <v>74</v>
      </c>
      <c r="W428">
        <v>74</v>
      </c>
      <c r="X428">
        <v>0</v>
      </c>
      <c r="Y428">
        <v>0</v>
      </c>
      <c r="Z428">
        <v>0</v>
      </c>
      <c r="AA428" t="s">
        <v>43</v>
      </c>
      <c r="AB428">
        <v>74</v>
      </c>
      <c r="AD428" t="s">
        <v>1205</v>
      </c>
      <c r="AE428" t="s">
        <v>1206</v>
      </c>
    </row>
    <row r="429" spans="1:31" x14ac:dyDescent="0.25">
      <c r="A429" t="s">
        <v>31</v>
      </c>
      <c r="C429" t="s">
        <v>1724</v>
      </c>
      <c r="D429" t="s">
        <v>1740</v>
      </c>
      <c r="E429" t="s">
        <v>34</v>
      </c>
      <c r="F429" t="s">
        <v>66</v>
      </c>
      <c r="G429">
        <v>2027</v>
      </c>
      <c r="H429" t="s">
        <v>36</v>
      </c>
      <c r="I429" t="s">
        <v>1741</v>
      </c>
      <c r="J429" t="s">
        <v>31</v>
      </c>
      <c r="K429" t="s">
        <v>38</v>
      </c>
      <c r="L429" t="s">
        <v>172</v>
      </c>
      <c r="M429" t="s">
        <v>173</v>
      </c>
      <c r="N429" t="s">
        <v>1742</v>
      </c>
      <c r="O429" t="s">
        <v>1743</v>
      </c>
      <c r="P429" t="s">
        <v>1744</v>
      </c>
      <c r="T429">
        <v>38.013502328999998</v>
      </c>
      <c r="U429">
        <v>-121.9098061</v>
      </c>
      <c r="V429">
        <f>SUM(W429:X429)+(Y429*0.8)+(Z429*0.4)</f>
        <v>73.600000000000009</v>
      </c>
      <c r="W429">
        <v>0</v>
      </c>
      <c r="X429">
        <v>0</v>
      </c>
      <c r="Y429">
        <v>92</v>
      </c>
      <c r="Z429">
        <v>0</v>
      </c>
      <c r="AA429" t="s">
        <v>43</v>
      </c>
      <c r="AB429">
        <v>0</v>
      </c>
      <c r="AD429" t="s">
        <v>1745</v>
      </c>
      <c r="AE429" t="s">
        <v>1746</v>
      </c>
    </row>
    <row r="430" spans="1:31" x14ac:dyDescent="0.25">
      <c r="A430" t="s">
        <v>31</v>
      </c>
      <c r="B430" t="s">
        <v>11350</v>
      </c>
      <c r="C430" t="s">
        <v>7684</v>
      </c>
      <c r="D430" t="s">
        <v>7823</v>
      </c>
      <c r="E430" t="s">
        <v>362</v>
      </c>
      <c r="F430" t="s">
        <v>7686</v>
      </c>
      <c r="G430">
        <v>2026</v>
      </c>
      <c r="H430" t="s">
        <v>36</v>
      </c>
      <c r="I430" t="s">
        <v>7824</v>
      </c>
      <c r="J430" t="s">
        <v>31</v>
      </c>
      <c r="K430" t="s">
        <v>38</v>
      </c>
      <c r="L430" t="s">
        <v>68</v>
      </c>
      <c r="M430" t="s">
        <v>69</v>
      </c>
      <c r="N430" t="s">
        <v>7825</v>
      </c>
      <c r="O430" t="s">
        <v>7823</v>
      </c>
      <c r="P430" t="s">
        <v>7826</v>
      </c>
      <c r="T430">
        <v>31.129710107000001</v>
      </c>
      <c r="U430">
        <v>-97.367862049999999</v>
      </c>
      <c r="V430">
        <f>SUM(W430:X430)+(Y430*0.8)+(Z430*0.4)</f>
        <v>73.599999999999994</v>
      </c>
      <c r="W430">
        <v>0</v>
      </c>
      <c r="X430">
        <v>48</v>
      </c>
      <c r="Y430">
        <v>32</v>
      </c>
      <c r="Z430">
        <v>0</v>
      </c>
      <c r="AA430" t="s">
        <v>43</v>
      </c>
      <c r="AB430">
        <v>80</v>
      </c>
      <c r="AD430" t="s">
        <v>7827</v>
      </c>
      <c r="AE430" t="s">
        <v>7828</v>
      </c>
    </row>
    <row r="431" spans="1:31" x14ac:dyDescent="0.25">
      <c r="A431" t="s">
        <v>31</v>
      </c>
      <c r="C431" t="s">
        <v>9202</v>
      </c>
      <c r="D431" t="s">
        <v>9203</v>
      </c>
      <c r="E431" t="s">
        <v>34</v>
      </c>
      <c r="F431" t="s">
        <v>66</v>
      </c>
      <c r="G431">
        <v>2018</v>
      </c>
      <c r="H431" t="s">
        <v>36</v>
      </c>
      <c r="I431" t="s">
        <v>9204</v>
      </c>
      <c r="J431" t="s">
        <v>31</v>
      </c>
      <c r="K431" t="s">
        <v>38</v>
      </c>
      <c r="L431" t="s">
        <v>242</v>
      </c>
      <c r="M431" t="s">
        <v>243</v>
      </c>
      <c r="N431" t="s">
        <v>405</v>
      </c>
      <c r="O431" t="s">
        <v>526</v>
      </c>
      <c r="P431" t="s">
        <v>527</v>
      </c>
      <c r="T431">
        <v>38.999764999999996</v>
      </c>
      <c r="U431">
        <v>-77.449870000000004</v>
      </c>
      <c r="V431">
        <f>SUM(W431:X431)+(Y431*0.8)+(Z431*0.4)</f>
        <v>72.400000000000006</v>
      </c>
      <c r="W431">
        <v>32</v>
      </c>
      <c r="X431">
        <v>22</v>
      </c>
      <c r="Y431">
        <v>23</v>
      </c>
      <c r="Z431">
        <v>0</v>
      </c>
      <c r="AA431" t="s">
        <v>43</v>
      </c>
      <c r="AB431">
        <v>43.8</v>
      </c>
      <c r="AD431" t="s">
        <v>9205</v>
      </c>
      <c r="AE431" t="s">
        <v>9206</v>
      </c>
    </row>
    <row r="432" spans="1:31" x14ac:dyDescent="0.25">
      <c r="A432" t="s">
        <v>31</v>
      </c>
      <c r="C432" t="s">
        <v>9202</v>
      </c>
      <c r="D432" t="s">
        <v>9309</v>
      </c>
      <c r="E432" t="s">
        <v>34</v>
      </c>
      <c r="F432" t="s">
        <v>76</v>
      </c>
      <c r="G432">
        <v>2027</v>
      </c>
      <c r="H432" t="s">
        <v>36</v>
      </c>
      <c r="I432" t="s">
        <v>9310</v>
      </c>
      <c r="J432" t="s">
        <v>31</v>
      </c>
      <c r="K432" t="s">
        <v>38</v>
      </c>
      <c r="L432" t="s">
        <v>317</v>
      </c>
      <c r="M432" t="s">
        <v>318</v>
      </c>
      <c r="N432" t="s">
        <v>584</v>
      </c>
      <c r="O432" t="s">
        <v>1170</v>
      </c>
      <c r="P432" t="s">
        <v>1171</v>
      </c>
      <c r="T432">
        <v>40.074646514999998</v>
      </c>
      <c r="U432">
        <v>-82.770422685</v>
      </c>
      <c r="V432">
        <f>SUM(W432:X432)+(Y432*0.8)+(Z432*0.4)</f>
        <v>72</v>
      </c>
      <c r="W432">
        <v>0</v>
      </c>
      <c r="X432">
        <v>0</v>
      </c>
      <c r="Y432">
        <v>0</v>
      </c>
      <c r="Z432">
        <v>180</v>
      </c>
      <c r="AA432" t="s">
        <v>43</v>
      </c>
      <c r="AB432">
        <v>0</v>
      </c>
      <c r="AD432" t="s">
        <v>9311</v>
      </c>
      <c r="AE432" t="s">
        <v>9312</v>
      </c>
    </row>
    <row r="433" spans="1:31" x14ac:dyDescent="0.25">
      <c r="A433" t="s">
        <v>31</v>
      </c>
      <c r="C433" t="s">
        <v>4114</v>
      </c>
      <c r="D433" t="s">
        <v>4115</v>
      </c>
      <c r="E433" t="s">
        <v>34</v>
      </c>
      <c r="F433" t="s">
        <v>76</v>
      </c>
      <c r="G433">
        <v>2027</v>
      </c>
      <c r="H433" t="s">
        <v>36</v>
      </c>
      <c r="I433" t="s">
        <v>4116</v>
      </c>
      <c r="J433" t="s">
        <v>31</v>
      </c>
      <c r="K433" t="s">
        <v>38</v>
      </c>
      <c r="L433" t="s">
        <v>143</v>
      </c>
      <c r="M433" t="s">
        <v>144</v>
      </c>
      <c r="N433" t="s">
        <v>1002</v>
      </c>
      <c r="O433" t="s">
        <v>4115</v>
      </c>
      <c r="P433" t="s">
        <v>4117</v>
      </c>
      <c r="T433">
        <v>41.705183120000001</v>
      </c>
      <c r="U433">
        <v>-87.518887003000003</v>
      </c>
      <c r="V433">
        <f>SUM(W433:X433)+(Y433*0.8)+(Z433*0.4)</f>
        <v>72</v>
      </c>
      <c r="W433">
        <v>0</v>
      </c>
      <c r="X433">
        <v>0</v>
      </c>
      <c r="Y433">
        <v>0</v>
      </c>
      <c r="Z433">
        <v>180</v>
      </c>
      <c r="AA433" t="s">
        <v>43</v>
      </c>
      <c r="AB433">
        <v>0</v>
      </c>
      <c r="AD433" t="s">
        <v>4118</v>
      </c>
      <c r="AE433" t="s">
        <v>4119</v>
      </c>
    </row>
    <row r="434" spans="1:31" x14ac:dyDescent="0.25">
      <c r="A434" t="s">
        <v>31</v>
      </c>
      <c r="C434" t="s">
        <v>4998</v>
      </c>
      <c r="D434" t="s">
        <v>4999</v>
      </c>
      <c r="E434" t="s">
        <v>34</v>
      </c>
      <c r="F434" t="s">
        <v>66</v>
      </c>
      <c r="G434">
        <v>2026</v>
      </c>
      <c r="H434" t="s">
        <v>36</v>
      </c>
      <c r="I434" t="s">
        <v>5000</v>
      </c>
      <c r="J434" t="s">
        <v>31</v>
      </c>
      <c r="K434" t="s">
        <v>38</v>
      </c>
      <c r="L434" t="s">
        <v>242</v>
      </c>
      <c r="M434" t="s">
        <v>243</v>
      </c>
      <c r="N434" t="s">
        <v>405</v>
      </c>
      <c r="O434" t="s">
        <v>867</v>
      </c>
      <c r="P434" t="s">
        <v>527</v>
      </c>
      <c r="T434">
        <v>39.022080770000002</v>
      </c>
      <c r="U434">
        <v>-77.415034409</v>
      </c>
      <c r="V434">
        <f>SUM(W434:X434)+(Y434*0.8)+(Z434*0.4)</f>
        <v>72</v>
      </c>
      <c r="W434">
        <v>0</v>
      </c>
      <c r="X434">
        <v>72</v>
      </c>
      <c r="Y434">
        <v>0</v>
      </c>
      <c r="Z434">
        <v>0</v>
      </c>
      <c r="AA434" t="s">
        <v>43</v>
      </c>
      <c r="AB434">
        <v>36</v>
      </c>
      <c r="AD434" t="s">
        <v>5001</v>
      </c>
      <c r="AE434" t="s">
        <v>5002</v>
      </c>
    </row>
    <row r="435" spans="1:31" x14ac:dyDescent="0.25">
      <c r="A435" t="s">
        <v>31</v>
      </c>
      <c r="B435" t="s">
        <v>11350</v>
      </c>
      <c r="C435" t="s">
        <v>7857</v>
      </c>
      <c r="D435" t="s">
        <v>977</v>
      </c>
      <c r="E435" t="s">
        <v>362</v>
      </c>
      <c r="F435" t="s">
        <v>649</v>
      </c>
      <c r="G435">
        <v>2025</v>
      </c>
      <c r="H435" t="s">
        <v>36</v>
      </c>
      <c r="I435" t="s">
        <v>7913</v>
      </c>
      <c r="J435" t="s">
        <v>31</v>
      </c>
      <c r="K435" t="s">
        <v>38</v>
      </c>
      <c r="L435" t="s">
        <v>185</v>
      </c>
      <c r="M435" t="s">
        <v>186</v>
      </c>
      <c r="N435" t="s">
        <v>155</v>
      </c>
      <c r="T435">
        <v>33.730861042999997</v>
      </c>
      <c r="U435">
        <v>-84.623414819999994</v>
      </c>
      <c r="V435">
        <f>SUM(W435:X435)+(Y435*0.8)+(Z435*0.4)</f>
        <v>72</v>
      </c>
      <c r="W435">
        <v>40</v>
      </c>
      <c r="X435">
        <v>0</v>
      </c>
      <c r="Y435">
        <v>40</v>
      </c>
      <c r="Z435">
        <v>0</v>
      </c>
      <c r="AA435" t="s">
        <v>43</v>
      </c>
      <c r="AB435">
        <v>80</v>
      </c>
      <c r="AC435">
        <v>1.1200000000000001</v>
      </c>
      <c r="AD435" t="s">
        <v>7914</v>
      </c>
      <c r="AE435" t="s">
        <v>7915</v>
      </c>
    </row>
    <row r="436" spans="1:31" x14ac:dyDescent="0.25">
      <c r="A436" t="s">
        <v>31</v>
      </c>
      <c r="C436" t="s">
        <v>4998</v>
      </c>
      <c r="D436" t="s">
        <v>5029</v>
      </c>
      <c r="E436" t="s">
        <v>34</v>
      </c>
      <c r="F436" t="s">
        <v>66</v>
      </c>
      <c r="G436">
        <v>2025</v>
      </c>
      <c r="H436" t="s">
        <v>36</v>
      </c>
      <c r="I436" t="s">
        <v>5030</v>
      </c>
      <c r="J436" t="s">
        <v>31</v>
      </c>
      <c r="K436" t="s">
        <v>38</v>
      </c>
      <c r="L436" t="s">
        <v>172</v>
      </c>
      <c r="M436" t="s">
        <v>173</v>
      </c>
      <c r="N436" t="s">
        <v>780</v>
      </c>
      <c r="O436" t="s">
        <v>781</v>
      </c>
      <c r="P436" t="s">
        <v>5031</v>
      </c>
      <c r="T436">
        <v>37.384515145000002</v>
      </c>
      <c r="U436">
        <v>-121.965690162</v>
      </c>
      <c r="V436">
        <f>SUM(W436:X436)+(Y436*0.8)+(Z436*0.4)</f>
        <v>72</v>
      </c>
      <c r="W436">
        <v>36</v>
      </c>
      <c r="X436">
        <v>36</v>
      </c>
      <c r="Y436">
        <v>0</v>
      </c>
      <c r="Z436">
        <v>0</v>
      </c>
      <c r="AA436" t="s">
        <v>43</v>
      </c>
      <c r="AB436">
        <v>0</v>
      </c>
      <c r="AC436">
        <v>1.25</v>
      </c>
      <c r="AD436" t="s">
        <v>5032</v>
      </c>
      <c r="AE436" t="s">
        <v>5033</v>
      </c>
    </row>
    <row r="437" spans="1:31" x14ac:dyDescent="0.25">
      <c r="A437" t="s">
        <v>31</v>
      </c>
      <c r="C437" t="s">
        <v>506</v>
      </c>
      <c r="D437" t="s">
        <v>524</v>
      </c>
      <c r="E437" t="s">
        <v>34</v>
      </c>
      <c r="F437" t="s">
        <v>66</v>
      </c>
      <c r="G437">
        <v>2025</v>
      </c>
      <c r="H437" t="s">
        <v>36</v>
      </c>
      <c r="I437" t="s">
        <v>525</v>
      </c>
      <c r="J437" t="s">
        <v>31</v>
      </c>
      <c r="K437" t="s">
        <v>38</v>
      </c>
      <c r="L437" t="s">
        <v>242</v>
      </c>
      <c r="M437" t="s">
        <v>243</v>
      </c>
      <c r="N437" t="s">
        <v>405</v>
      </c>
      <c r="O437" t="s">
        <v>526</v>
      </c>
      <c r="P437" t="s">
        <v>527</v>
      </c>
      <c r="T437">
        <v>38.988614591999998</v>
      </c>
      <c r="U437">
        <v>-77.440910349000006</v>
      </c>
      <c r="V437">
        <f>SUM(W437:X437)+(Y437*0.8)+(Z437*0.4)</f>
        <v>72</v>
      </c>
      <c r="W437">
        <v>0</v>
      </c>
      <c r="X437">
        <v>72</v>
      </c>
      <c r="Y437">
        <v>0</v>
      </c>
      <c r="Z437">
        <v>0</v>
      </c>
      <c r="AA437" t="s">
        <v>43</v>
      </c>
      <c r="AB437">
        <v>72</v>
      </c>
      <c r="AD437" t="s">
        <v>528</v>
      </c>
      <c r="AE437" t="s">
        <v>529</v>
      </c>
    </row>
    <row r="438" spans="1:31" x14ac:dyDescent="0.25">
      <c r="A438" t="s">
        <v>31</v>
      </c>
      <c r="C438" t="s">
        <v>506</v>
      </c>
      <c r="D438" t="s">
        <v>558</v>
      </c>
      <c r="E438" t="s">
        <v>34</v>
      </c>
      <c r="F438" t="s">
        <v>66</v>
      </c>
      <c r="G438">
        <v>2025</v>
      </c>
      <c r="H438" t="s">
        <v>36</v>
      </c>
      <c r="I438" t="s">
        <v>559</v>
      </c>
      <c r="J438" t="s">
        <v>31</v>
      </c>
      <c r="K438" t="s">
        <v>38</v>
      </c>
      <c r="L438" t="s">
        <v>133</v>
      </c>
      <c r="M438" t="s">
        <v>134</v>
      </c>
      <c r="N438" t="s">
        <v>419</v>
      </c>
      <c r="O438" t="s">
        <v>420</v>
      </c>
      <c r="P438" t="s">
        <v>421</v>
      </c>
      <c r="T438">
        <v>45.553561360000003</v>
      </c>
      <c r="U438">
        <v>-122.95185220899999</v>
      </c>
      <c r="V438">
        <f>SUM(W438:X438)+(Y438*0.8)+(Z438*0.4)</f>
        <v>72</v>
      </c>
      <c r="W438">
        <v>24</v>
      </c>
      <c r="X438">
        <v>48</v>
      </c>
      <c r="Y438">
        <v>0</v>
      </c>
      <c r="Z438">
        <v>0</v>
      </c>
      <c r="AA438" t="s">
        <v>43</v>
      </c>
      <c r="AB438">
        <v>72</v>
      </c>
      <c r="AD438" t="s">
        <v>560</v>
      </c>
      <c r="AE438" t="s">
        <v>561</v>
      </c>
    </row>
    <row r="439" spans="1:31" x14ac:dyDescent="0.25">
      <c r="A439" t="s">
        <v>31</v>
      </c>
      <c r="C439" t="s">
        <v>506</v>
      </c>
      <c r="D439" t="s">
        <v>600</v>
      </c>
      <c r="E439" t="s">
        <v>34</v>
      </c>
      <c r="F439" t="s">
        <v>76</v>
      </c>
      <c r="G439">
        <v>2025</v>
      </c>
      <c r="H439" t="s">
        <v>36</v>
      </c>
      <c r="I439" t="s">
        <v>601</v>
      </c>
      <c r="J439" t="s">
        <v>31</v>
      </c>
      <c r="K439" t="s">
        <v>38</v>
      </c>
      <c r="L439" t="s">
        <v>326</v>
      </c>
      <c r="M439" t="s">
        <v>327</v>
      </c>
      <c r="N439" t="s">
        <v>328</v>
      </c>
      <c r="O439" t="s">
        <v>596</v>
      </c>
      <c r="P439" t="s">
        <v>602</v>
      </c>
      <c r="T439">
        <v>33.266245310999999</v>
      </c>
      <c r="U439">
        <v>-111.88629922299999</v>
      </c>
      <c r="V439">
        <f>SUM(W439:X439)+(Y439*0.8)+(Z439*0.4)</f>
        <v>72</v>
      </c>
      <c r="W439">
        <v>0</v>
      </c>
      <c r="X439">
        <v>72</v>
      </c>
      <c r="Y439">
        <v>0</v>
      </c>
      <c r="Z439">
        <v>0</v>
      </c>
      <c r="AA439" t="s">
        <v>43</v>
      </c>
      <c r="AB439">
        <v>72</v>
      </c>
      <c r="AD439" t="s">
        <v>603</v>
      </c>
      <c r="AE439" t="s">
        <v>604</v>
      </c>
    </row>
    <row r="440" spans="1:31" x14ac:dyDescent="0.25">
      <c r="A440" t="s">
        <v>31</v>
      </c>
      <c r="C440" t="s">
        <v>9202</v>
      </c>
      <c r="D440" t="s">
        <v>9229</v>
      </c>
      <c r="E440" t="s">
        <v>34</v>
      </c>
      <c r="F440" t="s">
        <v>66</v>
      </c>
      <c r="G440">
        <v>2024</v>
      </c>
      <c r="H440" t="s">
        <v>36</v>
      </c>
      <c r="I440" t="s">
        <v>9230</v>
      </c>
      <c r="J440" t="s">
        <v>31</v>
      </c>
      <c r="K440" t="s">
        <v>38</v>
      </c>
      <c r="L440" t="s">
        <v>185</v>
      </c>
      <c r="M440" t="s">
        <v>186</v>
      </c>
      <c r="N440" t="s">
        <v>187</v>
      </c>
      <c r="O440" t="s">
        <v>1606</v>
      </c>
      <c r="P440" t="s">
        <v>4414</v>
      </c>
      <c r="S440" t="s">
        <v>9231</v>
      </c>
      <c r="T440">
        <v>33.782762810000001</v>
      </c>
      <c r="U440">
        <v>-84.422169522000004</v>
      </c>
      <c r="V440">
        <f>SUM(W440:X440)+(Y440*0.8)+(Z440*0.4)</f>
        <v>72</v>
      </c>
      <c r="W440">
        <v>72</v>
      </c>
      <c r="X440">
        <v>0</v>
      </c>
      <c r="Y440">
        <v>0</v>
      </c>
      <c r="Z440">
        <v>0</v>
      </c>
      <c r="AA440" t="s">
        <v>43</v>
      </c>
      <c r="AB440">
        <v>72</v>
      </c>
      <c r="AD440" t="s">
        <v>9232</v>
      </c>
      <c r="AE440" t="s">
        <v>9233</v>
      </c>
    </row>
    <row r="441" spans="1:31" x14ac:dyDescent="0.25">
      <c r="A441" t="s">
        <v>31</v>
      </c>
      <c r="C441" t="s">
        <v>9202</v>
      </c>
      <c r="D441" t="s">
        <v>9234</v>
      </c>
      <c r="E441" t="s">
        <v>34</v>
      </c>
      <c r="F441" t="s">
        <v>66</v>
      </c>
      <c r="G441">
        <v>2024</v>
      </c>
      <c r="H441" t="s">
        <v>36</v>
      </c>
      <c r="I441" t="s">
        <v>9235</v>
      </c>
      <c r="J441" t="s">
        <v>31</v>
      </c>
      <c r="K441" t="s">
        <v>38</v>
      </c>
      <c r="L441" t="s">
        <v>185</v>
      </c>
      <c r="M441" t="s">
        <v>186</v>
      </c>
      <c r="N441" t="s">
        <v>187</v>
      </c>
      <c r="O441" t="s">
        <v>1606</v>
      </c>
      <c r="P441" t="s">
        <v>4414</v>
      </c>
      <c r="S441" t="s">
        <v>9231</v>
      </c>
      <c r="T441">
        <v>33.782680980999999</v>
      </c>
      <c r="U441">
        <v>-84.420324151000003</v>
      </c>
      <c r="V441">
        <f>SUM(W441:X441)+(Y441*0.8)+(Z441*0.4)</f>
        <v>72</v>
      </c>
      <c r="W441">
        <v>72</v>
      </c>
      <c r="X441">
        <v>0</v>
      </c>
      <c r="Y441">
        <v>0</v>
      </c>
      <c r="Z441">
        <v>0</v>
      </c>
      <c r="AA441" t="s">
        <v>43</v>
      </c>
      <c r="AB441">
        <v>72</v>
      </c>
      <c r="AD441" t="s">
        <v>9236</v>
      </c>
      <c r="AE441" t="s">
        <v>9237</v>
      </c>
    </row>
    <row r="442" spans="1:31" x14ac:dyDescent="0.25">
      <c r="A442" t="s">
        <v>31</v>
      </c>
      <c r="C442" t="s">
        <v>506</v>
      </c>
      <c r="D442" t="s">
        <v>575</v>
      </c>
      <c r="E442" t="s">
        <v>34</v>
      </c>
      <c r="F442" t="s">
        <v>66</v>
      </c>
      <c r="G442">
        <v>2022</v>
      </c>
      <c r="H442" t="s">
        <v>36</v>
      </c>
      <c r="I442" t="s">
        <v>576</v>
      </c>
      <c r="J442" t="s">
        <v>31</v>
      </c>
      <c r="K442" t="s">
        <v>38</v>
      </c>
      <c r="L442" t="s">
        <v>86</v>
      </c>
      <c r="M442" t="s">
        <v>87</v>
      </c>
      <c r="N442" t="s">
        <v>88</v>
      </c>
      <c r="O442" t="s">
        <v>577</v>
      </c>
      <c r="P442" t="s">
        <v>578</v>
      </c>
      <c r="Q442" t="s">
        <v>579</v>
      </c>
      <c r="T442">
        <v>41.913616830000002</v>
      </c>
      <c r="U442">
        <v>-87.917322533000004</v>
      </c>
      <c r="V442">
        <f>SUM(W442:X442)+(Y442*0.8)+(Z442*0.4)</f>
        <v>72</v>
      </c>
      <c r="W442">
        <v>72</v>
      </c>
      <c r="X442">
        <v>0</v>
      </c>
      <c r="Y442">
        <v>0</v>
      </c>
      <c r="Z442">
        <v>0</v>
      </c>
      <c r="AA442" t="s">
        <v>43</v>
      </c>
      <c r="AB442">
        <v>72</v>
      </c>
      <c r="AD442" t="s">
        <v>580</v>
      </c>
      <c r="AE442" t="s">
        <v>581</v>
      </c>
    </row>
    <row r="443" spans="1:31" x14ac:dyDescent="0.25">
      <c r="A443" t="s">
        <v>31</v>
      </c>
      <c r="C443" t="s">
        <v>9202</v>
      </c>
      <c r="D443" t="s">
        <v>9225</v>
      </c>
      <c r="E443" t="s">
        <v>34</v>
      </c>
      <c r="F443" t="s">
        <v>66</v>
      </c>
      <c r="G443">
        <v>2021</v>
      </c>
      <c r="H443" t="s">
        <v>36</v>
      </c>
      <c r="I443" t="s">
        <v>9226</v>
      </c>
      <c r="J443" t="s">
        <v>31</v>
      </c>
      <c r="K443" t="s">
        <v>38</v>
      </c>
      <c r="L443" t="s">
        <v>185</v>
      </c>
      <c r="M443" t="s">
        <v>186</v>
      </c>
      <c r="N443" t="s">
        <v>187</v>
      </c>
      <c r="O443" t="s">
        <v>1606</v>
      </c>
      <c r="P443" t="s">
        <v>4414</v>
      </c>
      <c r="Q443" t="s">
        <v>9221</v>
      </c>
      <c r="S443" t="s">
        <v>9222</v>
      </c>
      <c r="T443">
        <v>33.777306494999998</v>
      </c>
      <c r="U443">
        <v>-84.419549974000006</v>
      </c>
      <c r="V443">
        <f>SUM(W443:X443)+(Y443*0.8)+(Z443*0.4)</f>
        <v>72</v>
      </c>
      <c r="W443">
        <v>49.2</v>
      </c>
      <c r="X443">
        <v>22.8</v>
      </c>
      <c r="Y443">
        <v>0</v>
      </c>
      <c r="Z443">
        <v>0</v>
      </c>
      <c r="AA443" t="s">
        <v>43</v>
      </c>
      <c r="AB443">
        <v>72</v>
      </c>
      <c r="AC443">
        <v>1.2</v>
      </c>
      <c r="AD443" t="s">
        <v>9227</v>
      </c>
      <c r="AE443" t="s">
        <v>9228</v>
      </c>
    </row>
    <row r="444" spans="1:31" x14ac:dyDescent="0.25">
      <c r="A444" t="s">
        <v>31</v>
      </c>
      <c r="C444" t="s">
        <v>8571</v>
      </c>
      <c r="D444" t="s">
        <v>8619</v>
      </c>
      <c r="E444" t="s">
        <v>34</v>
      </c>
      <c r="F444" t="s">
        <v>66</v>
      </c>
      <c r="G444">
        <v>2021</v>
      </c>
      <c r="H444" t="s">
        <v>36</v>
      </c>
      <c r="I444" t="s">
        <v>8620</v>
      </c>
      <c r="J444" t="s">
        <v>31</v>
      </c>
      <c r="K444" t="s">
        <v>38</v>
      </c>
      <c r="L444" t="s">
        <v>86</v>
      </c>
      <c r="M444" t="s">
        <v>87</v>
      </c>
      <c r="N444" t="s">
        <v>2215</v>
      </c>
      <c r="O444" t="s">
        <v>8621</v>
      </c>
      <c r="P444" t="s">
        <v>8622</v>
      </c>
      <c r="Q444" t="s">
        <v>3397</v>
      </c>
      <c r="T444">
        <v>41.988169999999997</v>
      </c>
      <c r="U444">
        <v>-88.007329999999996</v>
      </c>
      <c r="V444">
        <f>SUM(W444:X444)+(Y444*0.8)+(Z444*0.4)</f>
        <v>72</v>
      </c>
      <c r="W444">
        <v>72</v>
      </c>
      <c r="X444">
        <v>0</v>
      </c>
      <c r="Y444">
        <v>0</v>
      </c>
      <c r="Z444">
        <v>0</v>
      </c>
      <c r="AA444" t="s">
        <v>43</v>
      </c>
      <c r="AB444">
        <v>72</v>
      </c>
      <c r="AD444" t="s">
        <v>8623</v>
      </c>
      <c r="AE444" t="s">
        <v>8624</v>
      </c>
    </row>
    <row r="445" spans="1:31" x14ac:dyDescent="0.25">
      <c r="A445" t="s">
        <v>31</v>
      </c>
      <c r="B445" t="s">
        <v>11350</v>
      </c>
      <c r="C445" t="s">
        <v>7684</v>
      </c>
      <c r="D445" t="s">
        <v>7715</v>
      </c>
      <c r="E445" t="s">
        <v>362</v>
      </c>
      <c r="F445" t="s">
        <v>7686</v>
      </c>
      <c r="G445">
        <v>2012</v>
      </c>
      <c r="H445" t="s">
        <v>36</v>
      </c>
      <c r="I445" t="s">
        <v>7716</v>
      </c>
      <c r="J445" t="s">
        <v>31</v>
      </c>
      <c r="K445" t="s">
        <v>38</v>
      </c>
      <c r="L445" t="s">
        <v>383</v>
      </c>
      <c r="M445" t="s">
        <v>384</v>
      </c>
      <c r="N445" t="s">
        <v>3706</v>
      </c>
      <c r="O445" t="s">
        <v>7715</v>
      </c>
      <c r="P445" t="s">
        <v>7717</v>
      </c>
      <c r="T445">
        <v>35.316215</v>
      </c>
      <c r="U445">
        <v>-81.825153</v>
      </c>
      <c r="V445">
        <f>SUM(W445:X445)+(Y445*0.8)+(Z445*0.4)</f>
        <v>72</v>
      </c>
      <c r="W445">
        <v>72</v>
      </c>
      <c r="X445">
        <v>0</v>
      </c>
      <c r="Y445">
        <v>0</v>
      </c>
      <c r="Z445">
        <v>0</v>
      </c>
      <c r="AA445" t="s">
        <v>43</v>
      </c>
      <c r="AB445">
        <v>72</v>
      </c>
      <c r="AD445" t="s">
        <v>7718</v>
      </c>
      <c r="AE445" t="s">
        <v>7719</v>
      </c>
    </row>
    <row r="446" spans="1:31" x14ac:dyDescent="0.25">
      <c r="A446" t="s">
        <v>31</v>
      </c>
      <c r="B446" t="s">
        <v>11350</v>
      </c>
      <c r="C446" t="s">
        <v>7857</v>
      </c>
      <c r="D446" t="s">
        <v>8171</v>
      </c>
      <c r="E446" t="s">
        <v>362</v>
      </c>
      <c r="F446" t="s">
        <v>649</v>
      </c>
      <c r="G446">
        <v>2008</v>
      </c>
      <c r="H446" t="s">
        <v>36</v>
      </c>
      <c r="I446" t="s">
        <v>8172</v>
      </c>
      <c r="J446" t="s">
        <v>31</v>
      </c>
      <c r="K446" t="s">
        <v>38</v>
      </c>
      <c r="L446" t="s">
        <v>68</v>
      </c>
      <c r="M446" t="s">
        <v>69</v>
      </c>
      <c r="N446" t="s">
        <v>712</v>
      </c>
      <c r="O446" t="s">
        <v>713</v>
      </c>
      <c r="P446" t="s">
        <v>3517</v>
      </c>
      <c r="T446">
        <v>29.479704185999999</v>
      </c>
      <c r="U446">
        <v>-98.692767515</v>
      </c>
      <c r="V446">
        <f>SUM(W446:X446)+(Y446*0.8)+(Z446*0.4)</f>
        <v>72</v>
      </c>
      <c r="W446">
        <v>72</v>
      </c>
      <c r="X446">
        <v>0</v>
      </c>
      <c r="Y446">
        <v>0</v>
      </c>
      <c r="Z446">
        <v>0</v>
      </c>
      <c r="AA446" t="s">
        <v>43</v>
      </c>
      <c r="AB446">
        <v>72</v>
      </c>
      <c r="AD446" t="s">
        <v>8173</v>
      </c>
      <c r="AE446" t="s">
        <v>8174</v>
      </c>
    </row>
    <row r="447" spans="1:31" x14ac:dyDescent="0.25">
      <c r="A447" t="s">
        <v>31</v>
      </c>
      <c r="C447" t="s">
        <v>9202</v>
      </c>
      <c r="D447" t="s">
        <v>9219</v>
      </c>
      <c r="E447" t="s">
        <v>34</v>
      </c>
      <c r="F447" t="s">
        <v>66</v>
      </c>
      <c r="G447">
        <v>2007</v>
      </c>
      <c r="H447" t="s">
        <v>36</v>
      </c>
      <c r="I447" t="s">
        <v>9220</v>
      </c>
      <c r="J447" t="s">
        <v>31</v>
      </c>
      <c r="K447" t="s">
        <v>38</v>
      </c>
      <c r="L447" t="s">
        <v>185</v>
      </c>
      <c r="M447" t="s">
        <v>186</v>
      </c>
      <c r="N447" t="s">
        <v>187</v>
      </c>
      <c r="O447" t="s">
        <v>1606</v>
      </c>
      <c r="P447" t="s">
        <v>4414</v>
      </c>
      <c r="Q447" t="s">
        <v>9221</v>
      </c>
      <c r="S447" t="s">
        <v>9222</v>
      </c>
      <c r="T447">
        <v>33.777577000000001</v>
      </c>
      <c r="U447">
        <v>-84.421012000000005</v>
      </c>
      <c r="V447">
        <f>SUM(W447:X447)+(Y447*0.8)+(Z447*0.4)</f>
        <v>72</v>
      </c>
      <c r="W447">
        <v>72</v>
      </c>
      <c r="X447">
        <v>0</v>
      </c>
      <c r="Y447">
        <v>0</v>
      </c>
      <c r="Z447">
        <v>0</v>
      </c>
      <c r="AA447" t="s">
        <v>43</v>
      </c>
      <c r="AB447">
        <v>70</v>
      </c>
      <c r="AD447" t="s">
        <v>9223</v>
      </c>
      <c r="AE447" t="s">
        <v>9224</v>
      </c>
    </row>
    <row r="448" spans="1:31" x14ac:dyDescent="0.25">
      <c r="A448" t="s">
        <v>31</v>
      </c>
      <c r="C448" t="s">
        <v>11203</v>
      </c>
      <c r="D448" t="s">
        <v>11204</v>
      </c>
      <c r="E448" t="s">
        <v>34</v>
      </c>
      <c r="F448" t="s">
        <v>43</v>
      </c>
      <c r="H448" t="s">
        <v>36</v>
      </c>
      <c r="I448" t="s">
        <v>1501</v>
      </c>
      <c r="J448" t="s">
        <v>31</v>
      </c>
      <c r="K448" t="s">
        <v>38</v>
      </c>
      <c r="L448" t="s">
        <v>77</v>
      </c>
      <c r="M448" t="s">
        <v>78</v>
      </c>
      <c r="N448" t="s">
        <v>1502</v>
      </c>
      <c r="O448" t="s">
        <v>1503</v>
      </c>
      <c r="P448" t="s">
        <v>7073</v>
      </c>
      <c r="Q448" t="s">
        <v>1503</v>
      </c>
      <c r="T448">
        <v>41.518428511000003</v>
      </c>
      <c r="U448">
        <v>-75.565336133000002</v>
      </c>
      <c r="V448">
        <f>SUM(W448:X448)+(Y448*0.8)+(Z448*0.4)</f>
        <v>72</v>
      </c>
      <c r="W448">
        <v>0</v>
      </c>
      <c r="X448">
        <v>0</v>
      </c>
      <c r="Y448">
        <v>0</v>
      </c>
      <c r="Z448">
        <v>180</v>
      </c>
      <c r="AA448" t="s">
        <v>43</v>
      </c>
      <c r="AB448">
        <v>0</v>
      </c>
      <c r="AD448" t="s">
        <v>11205</v>
      </c>
      <c r="AE448" t="s">
        <v>11206</v>
      </c>
    </row>
    <row r="449" spans="1:31" x14ac:dyDescent="0.25">
      <c r="A449" t="s">
        <v>31</v>
      </c>
      <c r="B449" t="s">
        <v>11350</v>
      </c>
      <c r="C449" t="s">
        <v>647</v>
      </c>
      <c r="D449" t="s">
        <v>992</v>
      </c>
      <c r="E449" t="s">
        <v>362</v>
      </c>
      <c r="F449" t="s">
        <v>649</v>
      </c>
      <c r="G449">
        <v>2017</v>
      </c>
      <c r="H449" t="s">
        <v>36</v>
      </c>
      <c r="I449" t="s">
        <v>993</v>
      </c>
      <c r="J449" t="s">
        <v>31</v>
      </c>
      <c r="K449" t="s">
        <v>38</v>
      </c>
      <c r="L449" t="s">
        <v>317</v>
      </c>
      <c r="M449" t="s">
        <v>318</v>
      </c>
      <c r="N449" t="s">
        <v>665</v>
      </c>
      <c r="O449" t="s">
        <v>666</v>
      </c>
      <c r="P449" t="s">
        <v>667</v>
      </c>
      <c r="T449">
        <v>40.061243693000002</v>
      </c>
      <c r="U449">
        <v>-83.135195416000002</v>
      </c>
      <c r="V449">
        <f>SUM(W449:X449)+(Y449*0.8)+(Z449*0.4)</f>
        <v>70.599999999999994</v>
      </c>
      <c r="W449">
        <v>70.599999999999994</v>
      </c>
      <c r="X449">
        <v>0</v>
      </c>
      <c r="Y449">
        <v>0</v>
      </c>
      <c r="Z449">
        <v>0</v>
      </c>
      <c r="AA449" t="s">
        <v>43</v>
      </c>
      <c r="AB449">
        <v>70.599999999999994</v>
      </c>
      <c r="AD449" t="s">
        <v>994</v>
      </c>
      <c r="AE449" t="s">
        <v>995</v>
      </c>
    </row>
    <row r="450" spans="1:31" x14ac:dyDescent="0.25">
      <c r="A450" t="s">
        <v>31</v>
      </c>
      <c r="C450" t="s">
        <v>8798</v>
      </c>
      <c r="D450" t="s">
        <v>8799</v>
      </c>
      <c r="E450" t="s">
        <v>34</v>
      </c>
      <c r="F450" t="s">
        <v>66</v>
      </c>
      <c r="H450" t="s">
        <v>36</v>
      </c>
      <c r="I450" t="s">
        <v>8800</v>
      </c>
      <c r="J450" t="s">
        <v>31</v>
      </c>
      <c r="K450" t="s">
        <v>38</v>
      </c>
      <c r="L450" t="s">
        <v>202</v>
      </c>
      <c r="M450" t="s">
        <v>203</v>
      </c>
      <c r="N450" t="s">
        <v>204</v>
      </c>
      <c r="O450" t="s">
        <v>8801</v>
      </c>
      <c r="P450" t="s">
        <v>8802</v>
      </c>
      <c r="T450">
        <v>26.694295792999998</v>
      </c>
      <c r="U450">
        <v>-80.372212919000006</v>
      </c>
      <c r="V450">
        <f>SUM(W450:X450)+(Y450*0.8)+(Z450*0.4)</f>
        <v>70.56</v>
      </c>
      <c r="W450">
        <v>0</v>
      </c>
      <c r="X450">
        <v>0</v>
      </c>
      <c r="Y450">
        <v>0</v>
      </c>
      <c r="Z450">
        <v>176.4</v>
      </c>
      <c r="AA450" t="s">
        <v>43</v>
      </c>
      <c r="AB450">
        <v>0</v>
      </c>
      <c r="AD450" t="s">
        <v>8803</v>
      </c>
      <c r="AE450" t="s">
        <v>8804</v>
      </c>
    </row>
    <row r="451" spans="1:31" x14ac:dyDescent="0.25">
      <c r="A451" t="s">
        <v>31</v>
      </c>
      <c r="C451" t="s">
        <v>10011</v>
      </c>
      <c r="D451" t="s">
        <v>10016</v>
      </c>
      <c r="E451" t="s">
        <v>34</v>
      </c>
      <c r="F451" t="s">
        <v>43</v>
      </c>
      <c r="H451" t="s">
        <v>36</v>
      </c>
      <c r="I451" t="s">
        <v>10017</v>
      </c>
      <c r="J451" t="s">
        <v>31</v>
      </c>
      <c r="K451" t="s">
        <v>38</v>
      </c>
      <c r="L451" t="s">
        <v>242</v>
      </c>
      <c r="M451" t="s">
        <v>243</v>
      </c>
      <c r="N451" t="s">
        <v>244</v>
      </c>
      <c r="O451" t="s">
        <v>320</v>
      </c>
      <c r="P451" t="s">
        <v>10018</v>
      </c>
      <c r="T451">
        <v>38.802314336000002</v>
      </c>
      <c r="U451">
        <v>-77.142393771000002</v>
      </c>
      <c r="V451">
        <f>SUM(W451:X451)+(Y451*0.8)+(Z451*0.4)</f>
        <v>70.400000000000006</v>
      </c>
      <c r="W451">
        <v>0</v>
      </c>
      <c r="X451">
        <v>0</v>
      </c>
      <c r="Y451">
        <v>0</v>
      </c>
      <c r="Z451">
        <v>176</v>
      </c>
      <c r="AA451" t="s">
        <v>43</v>
      </c>
      <c r="AB451">
        <v>0</v>
      </c>
      <c r="AD451" t="s">
        <v>10019</v>
      </c>
      <c r="AE451" t="s">
        <v>10020</v>
      </c>
    </row>
    <row r="452" spans="1:31" x14ac:dyDescent="0.25">
      <c r="A452" t="s">
        <v>31</v>
      </c>
      <c r="C452" t="s">
        <v>10876</v>
      </c>
      <c r="D452" t="s">
        <v>496</v>
      </c>
      <c r="E452" t="s">
        <v>34</v>
      </c>
      <c r="F452" t="s">
        <v>76</v>
      </c>
      <c r="G452">
        <v>2028</v>
      </c>
      <c r="H452" t="s">
        <v>36</v>
      </c>
      <c r="I452" t="s">
        <v>325</v>
      </c>
      <c r="J452" t="s">
        <v>31</v>
      </c>
      <c r="K452" t="s">
        <v>38</v>
      </c>
      <c r="L452" t="s">
        <v>185</v>
      </c>
      <c r="M452" t="s">
        <v>186</v>
      </c>
      <c r="N452" t="s">
        <v>187</v>
      </c>
      <c r="O452" t="s">
        <v>1606</v>
      </c>
      <c r="P452" t="s">
        <v>4045</v>
      </c>
      <c r="T452">
        <v>33.708493437999998</v>
      </c>
      <c r="U452">
        <v>-84.584614744000007</v>
      </c>
      <c r="V452">
        <f>SUM(W452:X452)+(Y452*0.8)+(Z452*0.4)</f>
        <v>70.08</v>
      </c>
      <c r="W452">
        <v>0</v>
      </c>
      <c r="X452">
        <v>0</v>
      </c>
      <c r="Y452">
        <v>87.6</v>
      </c>
      <c r="Z452">
        <v>0</v>
      </c>
      <c r="AA452" t="s">
        <v>43</v>
      </c>
      <c r="AB452">
        <v>0</v>
      </c>
      <c r="AD452" t="s">
        <v>10961</v>
      </c>
      <c r="AE452" t="s">
        <v>10962</v>
      </c>
    </row>
    <row r="453" spans="1:31" x14ac:dyDescent="0.25">
      <c r="A453" t="s">
        <v>31</v>
      </c>
      <c r="C453" t="s">
        <v>9119</v>
      </c>
      <c r="D453" t="s">
        <v>9120</v>
      </c>
      <c r="E453" t="s">
        <v>34</v>
      </c>
      <c r="F453" t="s">
        <v>66</v>
      </c>
      <c r="G453">
        <v>2028</v>
      </c>
      <c r="H453" t="s">
        <v>36</v>
      </c>
      <c r="J453" t="s">
        <v>31</v>
      </c>
      <c r="K453" t="s">
        <v>38</v>
      </c>
      <c r="L453" t="s">
        <v>185</v>
      </c>
      <c r="M453" t="s">
        <v>186</v>
      </c>
      <c r="N453" t="s">
        <v>5973</v>
      </c>
      <c r="P453" t="s">
        <v>9121</v>
      </c>
      <c r="T453">
        <v>32.982619999999997</v>
      </c>
      <c r="U453">
        <v>-85.014525000000006</v>
      </c>
      <c r="V453">
        <f>SUM(W453:X453)+(Y453*0.8)+(Z453*0.4)</f>
        <v>70.08</v>
      </c>
      <c r="W453">
        <v>0</v>
      </c>
      <c r="X453">
        <v>0</v>
      </c>
      <c r="Y453">
        <v>0</v>
      </c>
      <c r="Z453">
        <v>175.2</v>
      </c>
      <c r="AA453" t="s">
        <v>43</v>
      </c>
      <c r="AB453">
        <v>0</v>
      </c>
      <c r="AD453" t="s">
        <v>9122</v>
      </c>
      <c r="AE453" t="s">
        <v>9123</v>
      </c>
    </row>
    <row r="454" spans="1:31" x14ac:dyDescent="0.25">
      <c r="A454" t="s">
        <v>31</v>
      </c>
      <c r="C454" t="s">
        <v>3223</v>
      </c>
      <c r="D454" t="s">
        <v>3224</v>
      </c>
      <c r="E454" t="s">
        <v>34</v>
      </c>
      <c r="F454" t="s">
        <v>66</v>
      </c>
      <c r="G454">
        <v>2030</v>
      </c>
      <c r="H454" t="s">
        <v>36</v>
      </c>
      <c r="I454" t="s">
        <v>3225</v>
      </c>
      <c r="J454" t="s">
        <v>31</v>
      </c>
      <c r="K454" t="s">
        <v>38</v>
      </c>
      <c r="L454" t="s">
        <v>133</v>
      </c>
      <c r="M454" t="s">
        <v>134</v>
      </c>
      <c r="N454" t="s">
        <v>419</v>
      </c>
      <c r="O454" t="s">
        <v>3226</v>
      </c>
      <c r="P454" t="s">
        <v>3227</v>
      </c>
      <c r="T454">
        <v>45.515878104999999</v>
      </c>
      <c r="U454">
        <v>-123.07966026299999</v>
      </c>
      <c r="V454">
        <f>SUM(W454:X454)+(Y454*0.8)+(Z454*0.4)</f>
        <v>70</v>
      </c>
      <c r="W454">
        <v>0</v>
      </c>
      <c r="X454">
        <v>50</v>
      </c>
      <c r="Y454">
        <v>0</v>
      </c>
      <c r="Z454">
        <v>50</v>
      </c>
      <c r="AA454" t="s">
        <v>43</v>
      </c>
      <c r="AB454">
        <v>0</v>
      </c>
      <c r="AC454">
        <v>1.3</v>
      </c>
      <c r="AD454" t="s">
        <v>3228</v>
      </c>
      <c r="AE454" t="s">
        <v>3229</v>
      </c>
    </row>
    <row r="455" spans="1:31" x14ac:dyDescent="0.25">
      <c r="A455" t="s">
        <v>31</v>
      </c>
      <c r="C455" t="s">
        <v>3849</v>
      </c>
      <c r="D455" t="s">
        <v>4561</v>
      </c>
      <c r="E455" t="s">
        <v>34</v>
      </c>
      <c r="F455" t="s">
        <v>66</v>
      </c>
      <c r="G455">
        <v>2019</v>
      </c>
      <c r="H455" t="s">
        <v>36</v>
      </c>
      <c r="I455" t="s">
        <v>4562</v>
      </c>
      <c r="J455" t="s">
        <v>31</v>
      </c>
      <c r="K455" t="s">
        <v>38</v>
      </c>
      <c r="L455" t="s">
        <v>242</v>
      </c>
      <c r="M455" t="s">
        <v>243</v>
      </c>
      <c r="N455" t="s">
        <v>405</v>
      </c>
      <c r="O455" t="s">
        <v>516</v>
      </c>
      <c r="P455" t="s">
        <v>517</v>
      </c>
      <c r="T455">
        <v>39.005962212999997</v>
      </c>
      <c r="U455">
        <v>-77.467927247999995</v>
      </c>
      <c r="V455">
        <f>SUM(W455:X455)+(Y455*0.8)+(Z455*0.4)</f>
        <v>70</v>
      </c>
      <c r="W455">
        <v>70</v>
      </c>
      <c r="X455">
        <v>0</v>
      </c>
      <c r="Y455">
        <v>0</v>
      </c>
      <c r="Z455">
        <v>0</v>
      </c>
      <c r="AA455" t="s">
        <v>43</v>
      </c>
      <c r="AB455">
        <v>70</v>
      </c>
      <c r="AD455" t="s">
        <v>4563</v>
      </c>
      <c r="AE455" t="s">
        <v>4564</v>
      </c>
    </row>
    <row r="456" spans="1:31" x14ac:dyDescent="0.25">
      <c r="A456" t="s">
        <v>31</v>
      </c>
      <c r="B456" t="s">
        <v>11350</v>
      </c>
      <c r="C456" t="s">
        <v>6116</v>
      </c>
      <c r="D456" t="s">
        <v>6150</v>
      </c>
      <c r="E456" t="s">
        <v>362</v>
      </c>
      <c r="F456" t="s">
        <v>649</v>
      </c>
      <c r="G456">
        <v>2008</v>
      </c>
      <c r="H456" t="s">
        <v>36</v>
      </c>
      <c r="I456" t="s">
        <v>6151</v>
      </c>
      <c r="J456" t="s">
        <v>31</v>
      </c>
      <c r="K456" t="s">
        <v>38</v>
      </c>
      <c r="L456" t="s">
        <v>185</v>
      </c>
      <c r="M456" t="s">
        <v>186</v>
      </c>
      <c r="N456" t="s">
        <v>155</v>
      </c>
      <c r="T456">
        <v>33.750030000000002</v>
      </c>
      <c r="U456">
        <v>-84.585255000000004</v>
      </c>
      <c r="V456">
        <f>SUM(W456:X456)+(Y456*0.8)+(Z456*0.4)</f>
        <v>70</v>
      </c>
      <c r="W456">
        <v>70</v>
      </c>
      <c r="X456">
        <v>0</v>
      </c>
      <c r="Y456">
        <v>0</v>
      </c>
      <c r="Z456">
        <v>0</v>
      </c>
      <c r="AA456" t="s">
        <v>43</v>
      </c>
      <c r="AB456">
        <v>70</v>
      </c>
      <c r="AC456">
        <v>1.1200000000000001</v>
      </c>
      <c r="AD456" t="s">
        <v>6152</v>
      </c>
      <c r="AE456" t="s">
        <v>6153</v>
      </c>
    </row>
    <row r="457" spans="1:31" x14ac:dyDescent="0.25">
      <c r="A457" t="s">
        <v>31</v>
      </c>
      <c r="C457" t="s">
        <v>9106</v>
      </c>
      <c r="D457" t="s">
        <v>9107</v>
      </c>
      <c r="E457" t="s">
        <v>34</v>
      </c>
      <c r="F457" t="s">
        <v>66</v>
      </c>
      <c r="G457">
        <v>2029</v>
      </c>
      <c r="H457" t="s">
        <v>36</v>
      </c>
      <c r="I457" t="s">
        <v>9108</v>
      </c>
      <c r="J457" t="s">
        <v>31</v>
      </c>
      <c r="K457" t="s">
        <v>38</v>
      </c>
      <c r="L457" t="s">
        <v>185</v>
      </c>
      <c r="M457" t="s">
        <v>186</v>
      </c>
      <c r="N457" t="s">
        <v>9109</v>
      </c>
      <c r="P457" t="s">
        <v>9110</v>
      </c>
      <c r="T457">
        <v>33.453555000000001</v>
      </c>
      <c r="U457">
        <v>-82.399583000000007</v>
      </c>
      <c r="V457">
        <f>SUM(W457:X457)+(Y457*0.8)+(Z457*0.4)</f>
        <v>69.600000000000009</v>
      </c>
      <c r="W457">
        <v>0</v>
      </c>
      <c r="X457">
        <v>0</v>
      </c>
      <c r="Y457">
        <v>0</v>
      </c>
      <c r="Z457">
        <v>174</v>
      </c>
      <c r="AA457" t="s">
        <v>43</v>
      </c>
      <c r="AB457">
        <v>0</v>
      </c>
      <c r="AD457" t="s">
        <v>9111</v>
      </c>
      <c r="AE457" t="s">
        <v>9112</v>
      </c>
    </row>
    <row r="458" spans="1:31" x14ac:dyDescent="0.25">
      <c r="A458" t="s">
        <v>31</v>
      </c>
      <c r="C458" t="s">
        <v>5181</v>
      </c>
      <c r="D458" t="s">
        <v>5234</v>
      </c>
      <c r="E458" t="s">
        <v>34</v>
      </c>
      <c r="F458" t="s">
        <v>43</v>
      </c>
      <c r="G458">
        <v>2027</v>
      </c>
      <c r="H458" t="s">
        <v>36</v>
      </c>
      <c r="I458" t="s">
        <v>5235</v>
      </c>
      <c r="J458" t="s">
        <v>31</v>
      </c>
      <c r="K458" t="s">
        <v>38</v>
      </c>
      <c r="L458" t="s">
        <v>68</v>
      </c>
      <c r="M458" t="s">
        <v>69</v>
      </c>
      <c r="N458" t="s">
        <v>297</v>
      </c>
      <c r="O458" t="s">
        <v>2116</v>
      </c>
      <c r="P458" t="s">
        <v>3861</v>
      </c>
      <c r="T458">
        <v>32.821192945</v>
      </c>
      <c r="U458">
        <v>-96.858632916000005</v>
      </c>
      <c r="V458">
        <f>SUM(W458:X458)+(Y458*0.8)+(Z458*0.4)</f>
        <v>69.215999999999994</v>
      </c>
      <c r="W458">
        <v>0</v>
      </c>
      <c r="X458">
        <v>0</v>
      </c>
      <c r="Y458">
        <v>86.52</v>
      </c>
      <c r="Z458">
        <v>0</v>
      </c>
      <c r="AA458" t="s">
        <v>43</v>
      </c>
      <c r="AB458">
        <v>0</v>
      </c>
      <c r="AD458" t="s">
        <v>5236</v>
      </c>
      <c r="AE458" t="s">
        <v>5237</v>
      </c>
    </row>
    <row r="459" spans="1:31" x14ac:dyDescent="0.25">
      <c r="A459" t="s">
        <v>31</v>
      </c>
      <c r="C459" t="s">
        <v>8540</v>
      </c>
      <c r="D459" t="s">
        <v>8562</v>
      </c>
      <c r="E459" t="s">
        <v>34</v>
      </c>
      <c r="F459" t="s">
        <v>66</v>
      </c>
      <c r="G459">
        <v>2025</v>
      </c>
      <c r="H459" t="s">
        <v>36</v>
      </c>
      <c r="I459" t="s">
        <v>8563</v>
      </c>
      <c r="J459" t="s">
        <v>31</v>
      </c>
      <c r="K459" t="s">
        <v>38</v>
      </c>
      <c r="L459" t="s">
        <v>1457</v>
      </c>
      <c r="M459" t="s">
        <v>1458</v>
      </c>
      <c r="N459" t="s">
        <v>2821</v>
      </c>
      <c r="O459" t="s">
        <v>2822</v>
      </c>
      <c r="P459" t="s">
        <v>2823</v>
      </c>
      <c r="T459">
        <v>39.527897490000001</v>
      </c>
      <c r="U459">
        <v>-119.488925137</v>
      </c>
      <c r="V459">
        <f>SUM(W459:X459)+(Y459*0.8)+(Z459*0.4)</f>
        <v>68</v>
      </c>
      <c r="W459">
        <v>60</v>
      </c>
      <c r="X459">
        <v>0</v>
      </c>
      <c r="Y459">
        <v>10</v>
      </c>
      <c r="Z459">
        <v>0</v>
      </c>
      <c r="AA459" t="s">
        <v>43</v>
      </c>
      <c r="AB459">
        <v>33.5</v>
      </c>
      <c r="AD459" t="s">
        <v>8564</v>
      </c>
      <c r="AE459" t="s">
        <v>8565</v>
      </c>
    </row>
    <row r="460" spans="1:31" x14ac:dyDescent="0.25">
      <c r="A460" t="s">
        <v>31</v>
      </c>
      <c r="B460" t="s">
        <v>11350</v>
      </c>
      <c r="C460" t="s">
        <v>6116</v>
      </c>
      <c r="D460" t="s">
        <v>6260</v>
      </c>
      <c r="E460" t="s">
        <v>362</v>
      </c>
      <c r="F460" t="s">
        <v>649</v>
      </c>
      <c r="G460">
        <v>2024</v>
      </c>
      <c r="H460" t="s">
        <v>36</v>
      </c>
      <c r="I460" t="s">
        <v>6261</v>
      </c>
      <c r="J460" t="s">
        <v>31</v>
      </c>
      <c r="K460" t="s">
        <v>38</v>
      </c>
      <c r="L460" t="s">
        <v>133</v>
      </c>
      <c r="M460" t="s">
        <v>134</v>
      </c>
      <c r="N460" t="s">
        <v>6262</v>
      </c>
      <c r="O460" t="s">
        <v>6263</v>
      </c>
      <c r="P460" t="s">
        <v>6264</v>
      </c>
      <c r="T460">
        <v>45.624804816000001</v>
      </c>
      <c r="U460">
        <v>-121.206323625</v>
      </c>
      <c r="V460">
        <f>SUM(W460:X460)+(Y460*0.8)+(Z460*0.4)</f>
        <v>68</v>
      </c>
      <c r="W460">
        <v>68</v>
      </c>
      <c r="X460">
        <v>0</v>
      </c>
      <c r="Y460">
        <v>0</v>
      </c>
      <c r="Z460">
        <v>0</v>
      </c>
      <c r="AA460" t="s">
        <v>43</v>
      </c>
      <c r="AB460">
        <v>68</v>
      </c>
      <c r="AD460" t="s">
        <v>6265</v>
      </c>
      <c r="AE460" t="s">
        <v>6266</v>
      </c>
    </row>
    <row r="461" spans="1:31" x14ac:dyDescent="0.25">
      <c r="A461" t="s">
        <v>31</v>
      </c>
      <c r="C461" t="s">
        <v>9202</v>
      </c>
      <c r="D461" t="s">
        <v>9333</v>
      </c>
      <c r="E461" t="s">
        <v>34</v>
      </c>
      <c r="F461" t="s">
        <v>66</v>
      </c>
      <c r="G461">
        <v>2009</v>
      </c>
      <c r="H461" t="s">
        <v>36</v>
      </c>
      <c r="I461" t="s">
        <v>9334</v>
      </c>
      <c r="J461" t="s">
        <v>31</v>
      </c>
      <c r="K461" t="s">
        <v>38</v>
      </c>
      <c r="L461" t="s">
        <v>39</v>
      </c>
      <c r="M461" t="s">
        <v>40</v>
      </c>
      <c r="N461" t="s">
        <v>253</v>
      </c>
      <c r="O461" t="s">
        <v>2155</v>
      </c>
      <c r="P461" t="s">
        <v>2156</v>
      </c>
      <c r="T461">
        <v>40.557203000000001</v>
      </c>
      <c r="U461">
        <v>-74.484200000000001</v>
      </c>
      <c r="V461">
        <f>SUM(W461:X461)+(Y461*0.8)+(Z461*0.4)</f>
        <v>68</v>
      </c>
      <c r="W461">
        <v>68</v>
      </c>
      <c r="X461">
        <v>0</v>
      </c>
      <c r="Y461">
        <v>0</v>
      </c>
      <c r="Z461">
        <v>0</v>
      </c>
      <c r="AA461" t="s">
        <v>43</v>
      </c>
      <c r="AB461">
        <v>68</v>
      </c>
      <c r="AD461" t="s">
        <v>9335</v>
      </c>
      <c r="AE461" t="s">
        <v>9336</v>
      </c>
    </row>
    <row r="462" spans="1:31" x14ac:dyDescent="0.25">
      <c r="A462" t="s">
        <v>31</v>
      </c>
      <c r="C462" t="s">
        <v>9886</v>
      </c>
      <c r="D462" t="s">
        <v>9951</v>
      </c>
      <c r="E462" t="s">
        <v>34</v>
      </c>
      <c r="F462" t="s">
        <v>66</v>
      </c>
      <c r="G462">
        <v>2025</v>
      </c>
      <c r="H462" t="s">
        <v>36</v>
      </c>
      <c r="I462" t="s">
        <v>404</v>
      </c>
      <c r="J462" t="s">
        <v>31</v>
      </c>
      <c r="K462" t="s">
        <v>38</v>
      </c>
      <c r="L462" t="s">
        <v>242</v>
      </c>
      <c r="M462" t="s">
        <v>243</v>
      </c>
      <c r="N462" t="s">
        <v>405</v>
      </c>
      <c r="O462" t="s">
        <v>1140</v>
      </c>
      <c r="P462" t="s">
        <v>1285</v>
      </c>
      <c r="T462">
        <v>39.081565785999999</v>
      </c>
      <c r="U462">
        <v>-77.565574802</v>
      </c>
      <c r="V462">
        <f>SUM(W462:X462)+(Y462*0.8)+(Z462*0.4)</f>
        <v>67.2</v>
      </c>
      <c r="W462">
        <v>0</v>
      </c>
      <c r="X462">
        <v>48</v>
      </c>
      <c r="Y462">
        <v>24</v>
      </c>
      <c r="Z462">
        <v>0</v>
      </c>
      <c r="AA462" t="s">
        <v>43</v>
      </c>
      <c r="AB462">
        <v>72</v>
      </c>
      <c r="AD462" t="s">
        <v>9952</v>
      </c>
      <c r="AE462" t="s">
        <v>9953</v>
      </c>
    </row>
    <row r="463" spans="1:31" x14ac:dyDescent="0.25">
      <c r="A463" t="s">
        <v>31</v>
      </c>
      <c r="C463" t="s">
        <v>3312</v>
      </c>
      <c r="D463" t="s">
        <v>3429</v>
      </c>
      <c r="E463" t="s">
        <v>34</v>
      </c>
      <c r="F463" t="s">
        <v>66</v>
      </c>
      <c r="G463">
        <v>2026</v>
      </c>
      <c r="H463" t="s">
        <v>36</v>
      </c>
      <c r="I463" t="s">
        <v>3430</v>
      </c>
      <c r="J463" t="s">
        <v>31</v>
      </c>
      <c r="K463" t="s">
        <v>38</v>
      </c>
      <c r="L463" t="s">
        <v>68</v>
      </c>
      <c r="M463" t="s">
        <v>69</v>
      </c>
      <c r="N463" t="s">
        <v>540</v>
      </c>
      <c r="O463" t="s">
        <v>2134</v>
      </c>
      <c r="S463" t="s">
        <v>3431</v>
      </c>
      <c r="T463">
        <v>32.901995403000001</v>
      </c>
      <c r="U463">
        <v>-97.393955892999998</v>
      </c>
      <c r="V463">
        <f>SUM(W463:X463)+(Y463*0.8)+(Z463*0.4)</f>
        <v>66.680000000000007</v>
      </c>
      <c r="W463">
        <v>0</v>
      </c>
      <c r="X463">
        <v>0</v>
      </c>
      <c r="Y463">
        <v>66.7</v>
      </c>
      <c r="Z463">
        <v>33.299999999999997</v>
      </c>
      <c r="AA463" t="s">
        <v>43</v>
      </c>
      <c r="AB463">
        <v>0</v>
      </c>
      <c r="AD463" t="s">
        <v>3432</v>
      </c>
      <c r="AE463" t="s">
        <v>3433</v>
      </c>
    </row>
    <row r="464" spans="1:31" x14ac:dyDescent="0.25">
      <c r="A464" t="s">
        <v>31</v>
      </c>
      <c r="B464" t="s">
        <v>11350</v>
      </c>
      <c r="C464" t="s">
        <v>7857</v>
      </c>
      <c r="D464" t="s">
        <v>8156</v>
      </c>
      <c r="E464" t="s">
        <v>362</v>
      </c>
      <c r="F464" t="s">
        <v>649</v>
      </c>
      <c r="G464">
        <v>2028</v>
      </c>
      <c r="H464" t="s">
        <v>36</v>
      </c>
      <c r="I464" t="s">
        <v>8157</v>
      </c>
      <c r="J464" t="s">
        <v>31</v>
      </c>
      <c r="K464" t="s">
        <v>38</v>
      </c>
      <c r="L464" t="s">
        <v>172</v>
      </c>
      <c r="M464" t="s">
        <v>173</v>
      </c>
      <c r="N464" t="s">
        <v>780</v>
      </c>
      <c r="O464" t="s">
        <v>2067</v>
      </c>
      <c r="P464" t="s">
        <v>2068</v>
      </c>
      <c r="S464" t="s">
        <v>8158</v>
      </c>
      <c r="T464">
        <v>37.425014003000001</v>
      </c>
      <c r="U464">
        <v>-121.928572483</v>
      </c>
      <c r="V464">
        <f>SUM(W464:X464)+(Y464*0.8)+(Z464*0.4)</f>
        <v>66</v>
      </c>
      <c r="W464">
        <v>0</v>
      </c>
      <c r="X464">
        <v>0</v>
      </c>
      <c r="Y464">
        <v>82.5</v>
      </c>
      <c r="Z464">
        <v>0</v>
      </c>
      <c r="AA464" t="s">
        <v>43</v>
      </c>
      <c r="AB464">
        <v>82.5</v>
      </c>
      <c r="AC464">
        <v>1.2</v>
      </c>
      <c r="AD464" t="s">
        <v>8159</v>
      </c>
      <c r="AE464" t="s">
        <v>8160</v>
      </c>
    </row>
    <row r="465" spans="1:31" x14ac:dyDescent="0.25">
      <c r="A465" t="s">
        <v>31</v>
      </c>
      <c r="C465" t="s">
        <v>4006</v>
      </c>
      <c r="D465" t="s">
        <v>4007</v>
      </c>
      <c r="E465" t="s">
        <v>34</v>
      </c>
      <c r="F465" t="s">
        <v>76</v>
      </c>
      <c r="G465">
        <v>2024</v>
      </c>
      <c r="H465" t="s">
        <v>36</v>
      </c>
      <c r="I465" t="s">
        <v>4008</v>
      </c>
      <c r="J465" t="s">
        <v>31</v>
      </c>
      <c r="K465" t="s">
        <v>38</v>
      </c>
      <c r="L465" t="s">
        <v>68</v>
      </c>
      <c r="M465" t="s">
        <v>69</v>
      </c>
      <c r="N465" t="s">
        <v>2009</v>
      </c>
      <c r="O465" t="s">
        <v>2007</v>
      </c>
      <c r="P465" t="s">
        <v>4009</v>
      </c>
      <c r="T465">
        <v>33.953367888000002</v>
      </c>
      <c r="U465">
        <v>-98.524705046999998</v>
      </c>
      <c r="V465">
        <f>SUM(W465:X465)+(Y465*0.8)+(Z465*0.4)</f>
        <v>66</v>
      </c>
      <c r="W465">
        <v>6</v>
      </c>
      <c r="X465">
        <v>0</v>
      </c>
      <c r="Y465">
        <v>0</v>
      </c>
      <c r="Z465">
        <v>150</v>
      </c>
      <c r="AA465" t="s">
        <v>43</v>
      </c>
      <c r="AB465">
        <v>0</v>
      </c>
      <c r="AD465" t="s">
        <v>4010</v>
      </c>
      <c r="AE465" t="s">
        <v>4011</v>
      </c>
    </row>
    <row r="466" spans="1:31" x14ac:dyDescent="0.25">
      <c r="A466" t="s">
        <v>31</v>
      </c>
      <c r="C466" t="s">
        <v>10740</v>
      </c>
      <c r="D466" t="s">
        <v>10741</v>
      </c>
      <c r="E466" t="s">
        <v>34</v>
      </c>
      <c r="F466" t="s">
        <v>66</v>
      </c>
      <c r="H466" t="s">
        <v>36</v>
      </c>
      <c r="I466" t="s">
        <v>10742</v>
      </c>
      <c r="J466" t="s">
        <v>31</v>
      </c>
      <c r="K466" t="s">
        <v>38</v>
      </c>
      <c r="L466" t="s">
        <v>185</v>
      </c>
      <c r="M466" t="s">
        <v>186</v>
      </c>
      <c r="N466" t="s">
        <v>963</v>
      </c>
      <c r="O466" t="s">
        <v>961</v>
      </c>
      <c r="P466" t="s">
        <v>964</v>
      </c>
      <c r="T466">
        <v>33.654474127</v>
      </c>
      <c r="U466">
        <v>-83.820613729000002</v>
      </c>
      <c r="V466">
        <f>SUM(W466:X466)+(Y466*0.8)+(Z466*0.4)</f>
        <v>65.28</v>
      </c>
      <c r="W466">
        <v>0</v>
      </c>
      <c r="X466">
        <v>0</v>
      </c>
      <c r="Y466">
        <v>0</v>
      </c>
      <c r="Z466">
        <v>163.19999999999999</v>
      </c>
      <c r="AA466" t="s">
        <v>43</v>
      </c>
      <c r="AB466">
        <v>0</v>
      </c>
      <c r="AD466" t="s">
        <v>10743</v>
      </c>
      <c r="AE466" t="s">
        <v>10744</v>
      </c>
    </row>
    <row r="467" spans="1:31" x14ac:dyDescent="0.25">
      <c r="A467" t="s">
        <v>31</v>
      </c>
      <c r="C467" t="s">
        <v>9124</v>
      </c>
      <c r="D467" t="s">
        <v>9136</v>
      </c>
      <c r="E467" t="s">
        <v>34</v>
      </c>
      <c r="F467" t="s">
        <v>66</v>
      </c>
      <c r="H467" t="s">
        <v>36</v>
      </c>
      <c r="I467" t="s">
        <v>9137</v>
      </c>
      <c r="J467" t="s">
        <v>31</v>
      </c>
      <c r="K467" t="s">
        <v>38</v>
      </c>
      <c r="L467" t="s">
        <v>242</v>
      </c>
      <c r="M467" t="s">
        <v>243</v>
      </c>
      <c r="N467" t="s">
        <v>405</v>
      </c>
      <c r="O467" t="s">
        <v>526</v>
      </c>
      <c r="P467" t="s">
        <v>527</v>
      </c>
      <c r="T467">
        <v>38.962148265000003</v>
      </c>
      <c r="U467">
        <v>-77.498574529999999</v>
      </c>
      <c r="V467">
        <f>SUM(W467:X467)+(Y467*0.8)+(Z467*0.4)</f>
        <v>64.8</v>
      </c>
      <c r="W467">
        <v>0</v>
      </c>
      <c r="X467">
        <v>0</v>
      </c>
      <c r="Y467">
        <v>0</v>
      </c>
      <c r="Z467">
        <v>162</v>
      </c>
      <c r="AA467" t="s">
        <v>43</v>
      </c>
      <c r="AB467">
        <v>0</v>
      </c>
      <c r="AD467" t="s">
        <v>9138</v>
      </c>
      <c r="AE467" t="s">
        <v>9139</v>
      </c>
    </row>
    <row r="468" spans="1:31" x14ac:dyDescent="0.25">
      <c r="A468" t="s">
        <v>31</v>
      </c>
      <c r="C468" t="s">
        <v>10876</v>
      </c>
      <c r="D468" t="s">
        <v>10939</v>
      </c>
      <c r="E468" t="s">
        <v>34</v>
      </c>
      <c r="F468" t="s">
        <v>66</v>
      </c>
      <c r="G468">
        <v>2025</v>
      </c>
      <c r="H468" t="s">
        <v>36</v>
      </c>
      <c r="I468" t="s">
        <v>10940</v>
      </c>
      <c r="J468" t="s">
        <v>31</v>
      </c>
      <c r="K468" t="s">
        <v>38</v>
      </c>
      <c r="L468" t="s">
        <v>172</v>
      </c>
      <c r="M468" t="s">
        <v>173</v>
      </c>
      <c r="N468" t="s">
        <v>780</v>
      </c>
      <c r="O468" t="s">
        <v>781</v>
      </c>
      <c r="P468" t="s">
        <v>3145</v>
      </c>
      <c r="T468">
        <v>37.370755484</v>
      </c>
      <c r="U468">
        <v>-121.974762192</v>
      </c>
      <c r="V468">
        <f>SUM(W468:X468)+(Y468*0.8)+(Z468*0.4)</f>
        <v>64</v>
      </c>
      <c r="W468">
        <v>64</v>
      </c>
      <c r="X468">
        <v>0</v>
      </c>
      <c r="Y468">
        <v>0</v>
      </c>
      <c r="Z468">
        <v>0</v>
      </c>
      <c r="AA468" t="s">
        <v>43</v>
      </c>
      <c r="AB468">
        <v>62</v>
      </c>
      <c r="AD468" t="s">
        <v>10941</v>
      </c>
      <c r="AE468" t="s">
        <v>10942</v>
      </c>
    </row>
    <row r="469" spans="1:31" x14ac:dyDescent="0.25">
      <c r="A469" t="s">
        <v>31</v>
      </c>
      <c r="B469" t="s">
        <v>11350</v>
      </c>
      <c r="C469" t="s">
        <v>7857</v>
      </c>
      <c r="D469" t="s">
        <v>8104</v>
      </c>
      <c r="E469" t="s">
        <v>362</v>
      </c>
      <c r="F469" t="s">
        <v>649</v>
      </c>
      <c r="G469">
        <v>2025</v>
      </c>
      <c r="H469" t="s">
        <v>36</v>
      </c>
      <c r="I469" t="s">
        <v>8105</v>
      </c>
      <c r="J469" t="s">
        <v>31</v>
      </c>
      <c r="K469" t="s">
        <v>38</v>
      </c>
      <c r="L469" t="s">
        <v>185</v>
      </c>
      <c r="M469" t="s">
        <v>186</v>
      </c>
      <c r="N469" t="s">
        <v>187</v>
      </c>
      <c r="O469" t="s">
        <v>8104</v>
      </c>
      <c r="P469" t="s">
        <v>8106</v>
      </c>
      <c r="T469">
        <v>33.524605979</v>
      </c>
      <c r="U469">
        <v>-84.629163061</v>
      </c>
      <c r="V469">
        <f>SUM(W469:X469)+(Y469*0.8)+(Z469*0.4)</f>
        <v>64</v>
      </c>
      <c r="W469">
        <v>20</v>
      </c>
      <c r="X469">
        <v>20</v>
      </c>
      <c r="Y469">
        <v>0</v>
      </c>
      <c r="Z469">
        <v>60</v>
      </c>
      <c r="AA469" t="s">
        <v>43</v>
      </c>
      <c r="AB469">
        <v>40</v>
      </c>
      <c r="AC469">
        <v>1.1200000000000001</v>
      </c>
      <c r="AD469" t="s">
        <v>8107</v>
      </c>
      <c r="AE469" t="s">
        <v>8108</v>
      </c>
    </row>
    <row r="470" spans="1:31" x14ac:dyDescent="0.25">
      <c r="A470" t="s">
        <v>31</v>
      </c>
      <c r="C470" t="s">
        <v>3692</v>
      </c>
      <c r="D470" t="s">
        <v>3616</v>
      </c>
      <c r="E470" t="s">
        <v>34</v>
      </c>
      <c r="F470" t="s">
        <v>66</v>
      </c>
      <c r="H470" t="s">
        <v>36</v>
      </c>
      <c r="I470" t="s">
        <v>3699</v>
      </c>
      <c r="J470" t="s">
        <v>31</v>
      </c>
      <c r="K470" t="s">
        <v>38</v>
      </c>
      <c r="L470" t="s">
        <v>2437</v>
      </c>
      <c r="M470" t="s">
        <v>2438</v>
      </c>
      <c r="N470" t="s">
        <v>3618</v>
      </c>
      <c r="O470" t="s">
        <v>3616</v>
      </c>
      <c r="P470" t="s">
        <v>3700</v>
      </c>
      <c r="T470">
        <v>35.015812648000001</v>
      </c>
      <c r="U470">
        <v>-81.884917692000002</v>
      </c>
      <c r="V470">
        <f>SUM(W470:X470)+(Y470*0.8)+(Z470*0.4)</f>
        <v>64</v>
      </c>
      <c r="W470">
        <v>0</v>
      </c>
      <c r="X470">
        <v>0</v>
      </c>
      <c r="Y470">
        <v>60</v>
      </c>
      <c r="Z470">
        <v>40</v>
      </c>
      <c r="AA470" t="s">
        <v>43</v>
      </c>
      <c r="AB470">
        <v>0</v>
      </c>
      <c r="AD470" t="s">
        <v>3701</v>
      </c>
      <c r="AE470" t="s">
        <v>3702</v>
      </c>
    </row>
    <row r="471" spans="1:31" x14ac:dyDescent="0.25">
      <c r="A471" t="s">
        <v>31</v>
      </c>
      <c r="C471" t="s">
        <v>2862</v>
      </c>
      <c r="D471" t="s">
        <v>2905</v>
      </c>
      <c r="E471" t="s">
        <v>34</v>
      </c>
      <c r="F471" t="s">
        <v>66</v>
      </c>
      <c r="H471" t="s">
        <v>36</v>
      </c>
      <c r="I471" t="s">
        <v>2906</v>
      </c>
      <c r="J471" t="s">
        <v>31</v>
      </c>
      <c r="K471" t="s">
        <v>38</v>
      </c>
      <c r="L471" t="s">
        <v>383</v>
      </c>
      <c r="M471" t="s">
        <v>384</v>
      </c>
      <c r="N471" t="s">
        <v>2907</v>
      </c>
      <c r="O471" t="s">
        <v>2905</v>
      </c>
      <c r="P471" t="s">
        <v>2908</v>
      </c>
      <c r="T471">
        <v>35.777080646999998</v>
      </c>
      <c r="U471">
        <v>-80.977006016000004</v>
      </c>
      <c r="V471">
        <f>SUM(W471:X471)+(Y471*0.8)+(Z471*0.4)</f>
        <v>64</v>
      </c>
      <c r="W471">
        <v>0</v>
      </c>
      <c r="X471">
        <v>0</v>
      </c>
      <c r="Y471">
        <v>0</v>
      </c>
      <c r="Z471">
        <v>160</v>
      </c>
      <c r="AA471" t="s">
        <v>43</v>
      </c>
      <c r="AB471">
        <v>0</v>
      </c>
      <c r="AD471" t="s">
        <v>2909</v>
      </c>
      <c r="AE471" t="s">
        <v>2910</v>
      </c>
    </row>
    <row r="472" spans="1:31" x14ac:dyDescent="0.25">
      <c r="A472" t="s">
        <v>31</v>
      </c>
      <c r="C472" t="s">
        <v>9106</v>
      </c>
      <c r="D472" t="s">
        <v>9113</v>
      </c>
      <c r="E472" t="s">
        <v>34</v>
      </c>
      <c r="F472" t="s">
        <v>66</v>
      </c>
      <c r="G472">
        <v>2027</v>
      </c>
      <c r="H472" t="s">
        <v>36</v>
      </c>
      <c r="I472" t="s">
        <v>9114</v>
      </c>
      <c r="J472" t="s">
        <v>31</v>
      </c>
      <c r="K472" t="s">
        <v>38</v>
      </c>
      <c r="L472" t="s">
        <v>185</v>
      </c>
      <c r="M472" t="s">
        <v>186</v>
      </c>
      <c r="N472" t="s">
        <v>9115</v>
      </c>
      <c r="O472" t="s">
        <v>1290</v>
      </c>
      <c r="P472" t="s">
        <v>9116</v>
      </c>
      <c r="T472">
        <v>34.225341356999998</v>
      </c>
      <c r="U472">
        <v>-83.780692721999998</v>
      </c>
      <c r="V472">
        <f>SUM(W472:X472)+(Y472*0.8)+(Z472*0.4)</f>
        <v>62.400000000000006</v>
      </c>
      <c r="W472">
        <v>0</v>
      </c>
      <c r="X472">
        <v>0</v>
      </c>
      <c r="Y472">
        <v>0</v>
      </c>
      <c r="Z472">
        <v>156</v>
      </c>
      <c r="AA472" t="s">
        <v>43</v>
      </c>
      <c r="AB472">
        <v>0</v>
      </c>
      <c r="AD472" t="s">
        <v>9117</v>
      </c>
      <c r="AE472" t="s">
        <v>9118</v>
      </c>
    </row>
    <row r="473" spans="1:31" x14ac:dyDescent="0.25">
      <c r="A473" t="s">
        <v>31</v>
      </c>
      <c r="C473" t="s">
        <v>3312</v>
      </c>
      <c r="D473" t="s">
        <v>3509</v>
      </c>
      <c r="E473" t="s">
        <v>34</v>
      </c>
      <c r="F473" t="s">
        <v>66</v>
      </c>
      <c r="G473">
        <v>2025</v>
      </c>
      <c r="H473" t="s">
        <v>36</v>
      </c>
      <c r="I473" t="s">
        <v>3510</v>
      </c>
      <c r="J473" t="s">
        <v>31</v>
      </c>
      <c r="K473" t="s">
        <v>38</v>
      </c>
      <c r="L473" t="s">
        <v>843</v>
      </c>
      <c r="M473" t="s">
        <v>1644</v>
      </c>
      <c r="N473" t="s">
        <v>3511</v>
      </c>
      <c r="O473" t="s">
        <v>3509</v>
      </c>
      <c r="P473" t="s">
        <v>3512</v>
      </c>
      <c r="T473">
        <v>47.242721000000003</v>
      </c>
      <c r="U473">
        <v>-119.870231</v>
      </c>
      <c r="V473">
        <f>SUM(W473:X473)+(Y473*0.8)+(Z473*0.4)</f>
        <v>61.72</v>
      </c>
      <c r="W473">
        <v>29.6</v>
      </c>
      <c r="X473">
        <v>0</v>
      </c>
      <c r="Y473">
        <v>29.6</v>
      </c>
      <c r="Z473">
        <v>21.1</v>
      </c>
      <c r="AA473" t="s">
        <v>43</v>
      </c>
      <c r="AB473">
        <v>28</v>
      </c>
      <c r="AD473" t="s">
        <v>3513</v>
      </c>
      <c r="AE473" t="s">
        <v>3514</v>
      </c>
    </row>
    <row r="474" spans="1:31" x14ac:dyDescent="0.25">
      <c r="A474" t="s">
        <v>31</v>
      </c>
      <c r="B474" t="s">
        <v>11350</v>
      </c>
      <c r="C474" t="s">
        <v>7857</v>
      </c>
      <c r="D474" t="s">
        <v>7992</v>
      </c>
      <c r="E474" t="s">
        <v>362</v>
      </c>
      <c r="F474" t="s">
        <v>649</v>
      </c>
      <c r="G474">
        <v>2026</v>
      </c>
      <c r="H474" t="s">
        <v>36</v>
      </c>
      <c r="I474" t="s">
        <v>7993</v>
      </c>
      <c r="J474" t="s">
        <v>31</v>
      </c>
      <c r="K474" t="s">
        <v>38</v>
      </c>
      <c r="L474" t="s">
        <v>843</v>
      </c>
      <c r="M474" t="s">
        <v>1644</v>
      </c>
      <c r="N474" t="s">
        <v>7994</v>
      </c>
      <c r="P474" t="s">
        <v>7995</v>
      </c>
      <c r="T474">
        <v>47.359770662999999</v>
      </c>
      <c r="U474">
        <v>-120.159083924</v>
      </c>
      <c r="V474">
        <f>SUM(W474:X474)+(Y474*0.8)+(Z474*0.4)</f>
        <v>61.600000000000009</v>
      </c>
      <c r="W474">
        <v>0</v>
      </c>
      <c r="X474">
        <v>28</v>
      </c>
      <c r="Y474">
        <v>28</v>
      </c>
      <c r="Z474">
        <v>28</v>
      </c>
      <c r="AA474" t="s">
        <v>43</v>
      </c>
      <c r="AB474">
        <v>56</v>
      </c>
      <c r="AD474" t="s">
        <v>7996</v>
      </c>
      <c r="AE474" t="s">
        <v>7997</v>
      </c>
    </row>
    <row r="475" spans="1:31" x14ac:dyDescent="0.25">
      <c r="A475" t="s">
        <v>31</v>
      </c>
      <c r="B475" t="s">
        <v>11350</v>
      </c>
      <c r="C475" t="s">
        <v>7857</v>
      </c>
      <c r="D475" t="s">
        <v>7971</v>
      </c>
      <c r="E475" t="s">
        <v>362</v>
      </c>
      <c r="F475" t="s">
        <v>649</v>
      </c>
      <c r="G475">
        <v>2023</v>
      </c>
      <c r="H475" t="s">
        <v>36</v>
      </c>
      <c r="I475" t="s">
        <v>7972</v>
      </c>
      <c r="J475" t="s">
        <v>31</v>
      </c>
      <c r="K475" t="s">
        <v>38</v>
      </c>
      <c r="L475" t="s">
        <v>86</v>
      </c>
      <c r="M475" t="s">
        <v>87</v>
      </c>
      <c r="N475" t="s">
        <v>88</v>
      </c>
      <c r="O475" t="s">
        <v>7973</v>
      </c>
      <c r="P475" t="s">
        <v>7974</v>
      </c>
      <c r="Q475" t="s">
        <v>7975</v>
      </c>
      <c r="T475">
        <v>42.076498829000002</v>
      </c>
      <c r="U475">
        <v>-88.133886899999993</v>
      </c>
      <c r="V475">
        <f>SUM(W475:X475)+(Y475*0.8)+(Z475*0.4)</f>
        <v>61.52</v>
      </c>
      <c r="W475">
        <v>0</v>
      </c>
      <c r="X475">
        <v>28.4</v>
      </c>
      <c r="Y475">
        <v>17.399999999999999</v>
      </c>
      <c r="Z475">
        <v>48</v>
      </c>
      <c r="AA475" t="s">
        <v>43</v>
      </c>
      <c r="AB475">
        <v>45.8</v>
      </c>
      <c r="AD475" t="s">
        <v>7976</v>
      </c>
      <c r="AE475" t="s">
        <v>7977</v>
      </c>
    </row>
    <row r="476" spans="1:31" x14ac:dyDescent="0.25">
      <c r="A476" t="s">
        <v>31</v>
      </c>
      <c r="B476" t="s">
        <v>11350</v>
      </c>
      <c r="C476" t="s">
        <v>647</v>
      </c>
      <c r="D476" t="s">
        <v>766</v>
      </c>
      <c r="E476" t="s">
        <v>362</v>
      </c>
      <c r="F476" t="s">
        <v>649</v>
      </c>
      <c r="G476">
        <v>2016</v>
      </c>
      <c r="H476" t="s">
        <v>36</v>
      </c>
      <c r="I476" t="s">
        <v>767</v>
      </c>
      <c r="J476" t="s">
        <v>31</v>
      </c>
      <c r="K476" t="s">
        <v>38</v>
      </c>
      <c r="L476" t="s">
        <v>242</v>
      </c>
      <c r="M476" t="s">
        <v>243</v>
      </c>
      <c r="N476" t="s">
        <v>405</v>
      </c>
      <c r="O476" t="s">
        <v>768</v>
      </c>
      <c r="P476" t="s">
        <v>769</v>
      </c>
      <c r="S476" t="s">
        <v>770</v>
      </c>
      <c r="T476">
        <v>38.917456958000002</v>
      </c>
      <c r="U476">
        <v>-77.494926821999996</v>
      </c>
      <c r="V476">
        <f>SUM(W476:X476)+(Y476*0.8)+(Z476*0.4)</f>
        <v>61.5</v>
      </c>
      <c r="W476">
        <v>61.5</v>
      </c>
      <c r="X476">
        <v>0</v>
      </c>
      <c r="Y476">
        <v>0</v>
      </c>
      <c r="Z476">
        <v>0</v>
      </c>
      <c r="AA476" t="s">
        <v>43</v>
      </c>
      <c r="AB476">
        <v>61.5</v>
      </c>
      <c r="AD476" t="s">
        <v>771</v>
      </c>
      <c r="AE476" t="s">
        <v>772</v>
      </c>
    </row>
    <row r="477" spans="1:31" x14ac:dyDescent="0.25">
      <c r="A477" t="s">
        <v>31</v>
      </c>
      <c r="B477" t="s">
        <v>11350</v>
      </c>
      <c r="C477" t="s">
        <v>7857</v>
      </c>
      <c r="D477" t="s">
        <v>8147</v>
      </c>
      <c r="E477" t="s">
        <v>362</v>
      </c>
      <c r="F477" t="s">
        <v>649</v>
      </c>
      <c r="G477">
        <v>2026</v>
      </c>
      <c r="H477" t="s">
        <v>36</v>
      </c>
      <c r="I477" t="s">
        <v>8148</v>
      </c>
      <c r="J477" t="s">
        <v>31</v>
      </c>
      <c r="K477" t="s">
        <v>38</v>
      </c>
      <c r="L477" t="s">
        <v>68</v>
      </c>
      <c r="M477" t="s">
        <v>69</v>
      </c>
      <c r="N477" t="s">
        <v>712</v>
      </c>
      <c r="O477" t="s">
        <v>713</v>
      </c>
      <c r="P477" t="s">
        <v>3517</v>
      </c>
      <c r="S477" t="s">
        <v>8144</v>
      </c>
      <c r="T477">
        <v>29.471096380999999</v>
      </c>
      <c r="U477">
        <v>-98.700180051999993</v>
      </c>
      <c r="V477">
        <f>SUM(W477:X477)+(Y477*0.8)+(Z477*0.4)</f>
        <v>61.25</v>
      </c>
      <c r="W477">
        <v>0</v>
      </c>
      <c r="X477">
        <v>61.25</v>
      </c>
      <c r="Y477">
        <v>0</v>
      </c>
      <c r="Z477">
        <v>0</v>
      </c>
      <c r="AA477" t="s">
        <v>43</v>
      </c>
      <c r="AB477">
        <v>61.25</v>
      </c>
      <c r="AD477" t="s">
        <v>8149</v>
      </c>
      <c r="AE477" t="s">
        <v>8150</v>
      </c>
    </row>
    <row r="478" spans="1:31" x14ac:dyDescent="0.25">
      <c r="A478" t="s">
        <v>31</v>
      </c>
      <c r="C478" t="s">
        <v>9202</v>
      </c>
      <c r="D478" t="s">
        <v>9265</v>
      </c>
      <c r="E478" t="s">
        <v>34</v>
      </c>
      <c r="F478" t="s">
        <v>35</v>
      </c>
      <c r="G478">
        <v>2008</v>
      </c>
      <c r="H478" t="s">
        <v>36</v>
      </c>
      <c r="I478" t="s">
        <v>9266</v>
      </c>
      <c r="J478" t="s">
        <v>31</v>
      </c>
      <c r="K478" t="s">
        <v>38</v>
      </c>
      <c r="L478" t="s">
        <v>39</v>
      </c>
      <c r="M478" t="s">
        <v>40</v>
      </c>
      <c r="N478" t="s">
        <v>9267</v>
      </c>
      <c r="O478" t="s">
        <v>9265</v>
      </c>
      <c r="P478" t="s">
        <v>9268</v>
      </c>
      <c r="Q478" t="s">
        <v>9269</v>
      </c>
      <c r="T478">
        <v>40.275905350000002</v>
      </c>
      <c r="U478">
        <v>-74.547931341999998</v>
      </c>
      <c r="V478">
        <f>SUM(W478:X478)+(Y478*0.8)+(Z478*0.4)</f>
        <v>61.2</v>
      </c>
      <c r="W478">
        <v>20</v>
      </c>
      <c r="X478">
        <v>18</v>
      </c>
      <c r="Y478">
        <v>29</v>
      </c>
      <c r="Z478">
        <v>0</v>
      </c>
      <c r="AA478" t="s">
        <v>43</v>
      </c>
      <c r="AB478">
        <v>67</v>
      </c>
      <c r="AC478">
        <v>0</v>
      </c>
      <c r="AD478" t="s">
        <v>9270</v>
      </c>
      <c r="AE478" t="s">
        <v>9271</v>
      </c>
    </row>
    <row r="479" spans="1:31" x14ac:dyDescent="0.25">
      <c r="A479" t="s">
        <v>31</v>
      </c>
      <c r="C479" t="s">
        <v>2989</v>
      </c>
      <c r="D479" t="s">
        <v>2995</v>
      </c>
      <c r="E479" t="s">
        <v>34</v>
      </c>
      <c r="F479" t="s">
        <v>76</v>
      </c>
      <c r="G479">
        <v>2025</v>
      </c>
      <c r="H479" t="s">
        <v>36</v>
      </c>
      <c r="I479" t="s">
        <v>2996</v>
      </c>
      <c r="J479" t="s">
        <v>31</v>
      </c>
      <c r="K479" t="s">
        <v>38</v>
      </c>
      <c r="L479" t="s">
        <v>242</v>
      </c>
      <c r="M479" t="s">
        <v>243</v>
      </c>
      <c r="N479" t="s">
        <v>509</v>
      </c>
      <c r="O479" t="s">
        <v>510</v>
      </c>
      <c r="P479" t="s">
        <v>511</v>
      </c>
      <c r="T479">
        <v>38.776641988999998</v>
      </c>
      <c r="U479">
        <v>-77.555596770999998</v>
      </c>
      <c r="V479">
        <f>SUM(W479:X479)+(Y479*0.8)+(Z479*0.4)</f>
        <v>61</v>
      </c>
      <c r="W479">
        <v>0</v>
      </c>
      <c r="X479">
        <v>61</v>
      </c>
      <c r="Y479">
        <v>0</v>
      </c>
      <c r="Z479">
        <v>0</v>
      </c>
      <c r="AA479" t="s">
        <v>43</v>
      </c>
      <c r="AB479">
        <v>61</v>
      </c>
      <c r="AD479" t="s">
        <v>2997</v>
      </c>
      <c r="AE479" t="s">
        <v>2998</v>
      </c>
    </row>
    <row r="480" spans="1:31" x14ac:dyDescent="0.25">
      <c r="A480" t="s">
        <v>31</v>
      </c>
      <c r="B480" t="s">
        <v>11350</v>
      </c>
      <c r="C480" t="s">
        <v>647</v>
      </c>
      <c r="D480" t="s">
        <v>846</v>
      </c>
      <c r="E480" t="s">
        <v>362</v>
      </c>
      <c r="F480" t="s">
        <v>649</v>
      </c>
      <c r="G480">
        <v>2025</v>
      </c>
      <c r="H480" t="s">
        <v>36</v>
      </c>
      <c r="I480" t="s">
        <v>847</v>
      </c>
      <c r="J480" t="s">
        <v>31</v>
      </c>
      <c r="K480" t="s">
        <v>38</v>
      </c>
      <c r="L480" t="s">
        <v>242</v>
      </c>
      <c r="M480" t="s">
        <v>243</v>
      </c>
      <c r="N480" t="s">
        <v>244</v>
      </c>
      <c r="O480" t="s">
        <v>848</v>
      </c>
      <c r="P480" t="s">
        <v>246</v>
      </c>
      <c r="T480">
        <v>38.922090984</v>
      </c>
      <c r="U480">
        <v>-77.426349754</v>
      </c>
      <c r="V480">
        <f>SUM(W480:X480)+(Y480*0.8)+(Z480*0.4)</f>
        <v>61</v>
      </c>
      <c r="W480">
        <v>46</v>
      </c>
      <c r="X480">
        <v>15</v>
      </c>
      <c r="Y480">
        <v>0</v>
      </c>
      <c r="Z480">
        <v>0</v>
      </c>
      <c r="AA480" t="s">
        <v>43</v>
      </c>
      <c r="AB480">
        <v>61</v>
      </c>
      <c r="AD480" t="s">
        <v>849</v>
      </c>
      <c r="AE480" t="s">
        <v>850</v>
      </c>
    </row>
    <row r="481" spans="1:31" x14ac:dyDescent="0.25">
      <c r="A481" t="s">
        <v>31</v>
      </c>
      <c r="B481" t="s">
        <v>11350</v>
      </c>
      <c r="C481" t="s">
        <v>6116</v>
      </c>
      <c r="D481" t="s">
        <v>6219</v>
      </c>
      <c r="E481" t="s">
        <v>362</v>
      </c>
      <c r="F481" t="s">
        <v>649</v>
      </c>
      <c r="G481">
        <v>2019</v>
      </c>
      <c r="H481" t="s">
        <v>36</v>
      </c>
      <c r="I481" t="s">
        <v>6220</v>
      </c>
      <c r="J481" t="s">
        <v>31</v>
      </c>
      <c r="K481" t="s">
        <v>38</v>
      </c>
      <c r="L481" t="s">
        <v>242</v>
      </c>
      <c r="M481" t="s">
        <v>243</v>
      </c>
      <c r="N481" t="s">
        <v>405</v>
      </c>
      <c r="T481">
        <v>39.052719543000002</v>
      </c>
      <c r="U481">
        <v>-77.539455492000002</v>
      </c>
      <c r="V481">
        <f>SUM(W481:X481)+(Y481*0.8)+(Z481*0.4)</f>
        <v>60.2</v>
      </c>
      <c r="W481">
        <v>26.2</v>
      </c>
      <c r="X481">
        <v>34</v>
      </c>
      <c r="Y481">
        <v>0</v>
      </c>
      <c r="Z481">
        <v>0</v>
      </c>
      <c r="AA481" t="s">
        <v>43</v>
      </c>
      <c r="AB481">
        <v>60.2</v>
      </c>
      <c r="AD481" t="s">
        <v>6221</v>
      </c>
      <c r="AE481" t="s">
        <v>6222</v>
      </c>
    </row>
    <row r="482" spans="1:31" x14ac:dyDescent="0.25">
      <c r="A482" t="s">
        <v>31</v>
      </c>
      <c r="C482" t="s">
        <v>3312</v>
      </c>
      <c r="D482" t="s">
        <v>3313</v>
      </c>
      <c r="E482" t="s">
        <v>34</v>
      </c>
      <c r="F482" t="s">
        <v>76</v>
      </c>
      <c r="G482">
        <v>2026</v>
      </c>
      <c r="H482" t="s">
        <v>36</v>
      </c>
      <c r="I482" t="s">
        <v>3314</v>
      </c>
      <c r="J482" t="s">
        <v>31</v>
      </c>
      <c r="K482" t="s">
        <v>38</v>
      </c>
      <c r="L482" t="s">
        <v>242</v>
      </c>
      <c r="M482" t="s">
        <v>243</v>
      </c>
      <c r="N482" t="s">
        <v>405</v>
      </c>
      <c r="O482" t="s">
        <v>516</v>
      </c>
      <c r="P482" t="s">
        <v>517</v>
      </c>
      <c r="T482">
        <v>39.019780922999999</v>
      </c>
      <c r="U482">
        <v>-77.450387101999993</v>
      </c>
      <c r="V482">
        <f>SUM(W482:X482)+(Y482*0.8)+(Z482*0.4)</f>
        <v>60</v>
      </c>
      <c r="W482">
        <v>0</v>
      </c>
      <c r="X482">
        <v>60</v>
      </c>
      <c r="Y482">
        <v>0</v>
      </c>
      <c r="Z482">
        <v>0</v>
      </c>
      <c r="AA482" t="s">
        <v>43</v>
      </c>
      <c r="AB482">
        <v>45</v>
      </c>
      <c r="AD482" t="s">
        <v>3315</v>
      </c>
      <c r="AE482" t="s">
        <v>3316</v>
      </c>
    </row>
    <row r="483" spans="1:31" x14ac:dyDescent="0.25">
      <c r="A483" t="s">
        <v>31</v>
      </c>
      <c r="B483" t="s">
        <v>11350</v>
      </c>
      <c r="C483" t="s">
        <v>6116</v>
      </c>
      <c r="D483" t="s">
        <v>6244</v>
      </c>
      <c r="E483" t="s">
        <v>362</v>
      </c>
      <c r="F483" t="s">
        <v>649</v>
      </c>
      <c r="G483">
        <v>2025</v>
      </c>
      <c r="H483" t="s">
        <v>36</v>
      </c>
      <c r="I483" t="s">
        <v>6245</v>
      </c>
      <c r="J483" t="s">
        <v>31</v>
      </c>
      <c r="K483" t="s">
        <v>38</v>
      </c>
      <c r="L483" t="s">
        <v>326</v>
      </c>
      <c r="M483" t="s">
        <v>327</v>
      </c>
      <c r="N483" t="s">
        <v>328</v>
      </c>
      <c r="O483" t="s">
        <v>1160</v>
      </c>
      <c r="P483" t="s">
        <v>1165</v>
      </c>
      <c r="T483">
        <v>33.354014878999998</v>
      </c>
      <c r="U483">
        <v>-111.67541353</v>
      </c>
      <c r="V483">
        <f>SUM(W483:X483)+(Y483*0.8)+(Z483*0.4)</f>
        <v>60</v>
      </c>
      <c r="W483">
        <v>30</v>
      </c>
      <c r="X483">
        <v>30</v>
      </c>
      <c r="Y483">
        <v>0</v>
      </c>
      <c r="Z483">
        <v>0</v>
      </c>
      <c r="AA483" t="s">
        <v>43</v>
      </c>
      <c r="AB483">
        <v>60</v>
      </c>
      <c r="AD483" t="s">
        <v>6246</v>
      </c>
      <c r="AE483" t="s">
        <v>6247</v>
      </c>
    </row>
    <row r="484" spans="1:31" x14ac:dyDescent="0.25">
      <c r="A484" t="s">
        <v>31</v>
      </c>
      <c r="C484" t="s">
        <v>506</v>
      </c>
      <c r="D484" t="s">
        <v>538</v>
      </c>
      <c r="E484" t="s">
        <v>34</v>
      </c>
      <c r="F484" t="s">
        <v>66</v>
      </c>
      <c r="G484">
        <v>2025</v>
      </c>
      <c r="H484" t="s">
        <v>36</v>
      </c>
      <c r="I484" t="s">
        <v>539</v>
      </c>
      <c r="J484" t="s">
        <v>31</v>
      </c>
      <c r="K484" t="s">
        <v>38</v>
      </c>
      <c r="L484" t="s">
        <v>68</v>
      </c>
      <c r="M484" t="s">
        <v>69</v>
      </c>
      <c r="N484" t="s">
        <v>540</v>
      </c>
      <c r="O484" t="s">
        <v>541</v>
      </c>
      <c r="P484" t="s">
        <v>542</v>
      </c>
      <c r="T484">
        <v>32.550273193000002</v>
      </c>
      <c r="U484">
        <v>-97.074827816999999</v>
      </c>
      <c r="V484">
        <f>SUM(W484:X484)+(Y484*0.8)+(Z484*0.4)</f>
        <v>60</v>
      </c>
      <c r="W484">
        <v>0</v>
      </c>
      <c r="X484">
        <v>60</v>
      </c>
      <c r="Y484">
        <v>0</v>
      </c>
      <c r="Z484">
        <v>0</v>
      </c>
      <c r="AA484" t="s">
        <v>43</v>
      </c>
      <c r="AB484">
        <v>30</v>
      </c>
      <c r="AD484" t="s">
        <v>543</v>
      </c>
      <c r="AE484" t="s">
        <v>544</v>
      </c>
    </row>
    <row r="485" spans="1:31" x14ac:dyDescent="0.25">
      <c r="A485" t="s">
        <v>31</v>
      </c>
      <c r="C485" t="s">
        <v>506</v>
      </c>
      <c r="D485" t="s">
        <v>594</v>
      </c>
      <c r="E485" t="s">
        <v>34</v>
      </c>
      <c r="F485" t="s">
        <v>66</v>
      </c>
      <c r="G485">
        <v>2025</v>
      </c>
      <c r="H485" t="s">
        <v>36</v>
      </c>
      <c r="I485" t="s">
        <v>595</v>
      </c>
      <c r="J485" t="s">
        <v>31</v>
      </c>
      <c r="K485" t="s">
        <v>38</v>
      </c>
      <c r="L485" t="s">
        <v>326</v>
      </c>
      <c r="M485" t="s">
        <v>327</v>
      </c>
      <c r="N485" t="s">
        <v>328</v>
      </c>
      <c r="O485" t="s">
        <v>596</v>
      </c>
      <c r="P485" t="s">
        <v>597</v>
      </c>
      <c r="T485">
        <v>33.269039089000003</v>
      </c>
      <c r="U485">
        <v>-111.888210839</v>
      </c>
      <c r="V485">
        <f>SUM(W485:X485)+(Y485*0.8)+(Z485*0.4)</f>
        <v>60</v>
      </c>
      <c r="W485">
        <v>60</v>
      </c>
      <c r="X485">
        <v>0</v>
      </c>
      <c r="Y485">
        <v>0</v>
      </c>
      <c r="Z485">
        <v>0</v>
      </c>
      <c r="AA485" t="s">
        <v>43</v>
      </c>
      <c r="AB485">
        <v>60</v>
      </c>
      <c r="AD485" t="s">
        <v>598</v>
      </c>
      <c r="AE485" t="s">
        <v>599</v>
      </c>
    </row>
    <row r="486" spans="1:31" x14ac:dyDescent="0.25">
      <c r="A486" t="s">
        <v>31</v>
      </c>
      <c r="C486" t="s">
        <v>8540</v>
      </c>
      <c r="D486" t="s">
        <v>3904</v>
      </c>
      <c r="E486" t="s">
        <v>34</v>
      </c>
      <c r="F486" t="s">
        <v>66</v>
      </c>
      <c r="G486">
        <v>2023</v>
      </c>
      <c r="H486" t="s">
        <v>36</v>
      </c>
      <c r="I486" t="s">
        <v>8552</v>
      </c>
      <c r="J486" t="s">
        <v>31</v>
      </c>
      <c r="K486" t="s">
        <v>38</v>
      </c>
      <c r="L486" t="s">
        <v>1457</v>
      </c>
      <c r="M486" t="s">
        <v>1458</v>
      </c>
      <c r="N486" t="s">
        <v>319</v>
      </c>
      <c r="O486" t="s">
        <v>5843</v>
      </c>
      <c r="S486" t="s">
        <v>8553</v>
      </c>
      <c r="T486">
        <v>36.271432832999999</v>
      </c>
      <c r="U486">
        <v>-115.04843104699999</v>
      </c>
      <c r="V486">
        <f>SUM(W486:X486)+(Y486*0.8)+(Z486*0.4)</f>
        <v>60</v>
      </c>
      <c r="W486">
        <v>60</v>
      </c>
      <c r="X486">
        <v>0</v>
      </c>
      <c r="Y486">
        <v>0</v>
      </c>
      <c r="Z486">
        <v>0</v>
      </c>
      <c r="AA486" t="s">
        <v>43</v>
      </c>
      <c r="AB486">
        <v>18.5</v>
      </c>
      <c r="AC486">
        <v>1.3</v>
      </c>
      <c r="AD486" t="s">
        <v>8554</v>
      </c>
      <c r="AE486" t="s">
        <v>8555</v>
      </c>
    </row>
    <row r="487" spans="1:31" x14ac:dyDescent="0.25">
      <c r="A487" t="s">
        <v>31</v>
      </c>
      <c r="C487" t="s">
        <v>3849</v>
      </c>
      <c r="D487" t="s">
        <v>4611</v>
      </c>
      <c r="E487" t="s">
        <v>34</v>
      </c>
      <c r="F487" t="s">
        <v>66</v>
      </c>
      <c r="G487">
        <v>2020</v>
      </c>
      <c r="H487" t="s">
        <v>36</v>
      </c>
      <c r="I487" t="s">
        <v>4612</v>
      </c>
      <c r="J487" t="s">
        <v>31</v>
      </c>
      <c r="K487" t="s">
        <v>38</v>
      </c>
      <c r="L487" t="s">
        <v>133</v>
      </c>
      <c r="M487" t="s">
        <v>134</v>
      </c>
      <c r="N487" t="s">
        <v>419</v>
      </c>
      <c r="O487" t="s">
        <v>420</v>
      </c>
      <c r="P487" t="s">
        <v>421</v>
      </c>
      <c r="S487" t="s">
        <v>4613</v>
      </c>
      <c r="T487">
        <v>45.568182294000003</v>
      </c>
      <c r="U487">
        <v>-122.916996576</v>
      </c>
      <c r="V487">
        <f>SUM(W487:X487)+(Y487*0.8)+(Z487*0.4)</f>
        <v>60</v>
      </c>
      <c r="W487">
        <v>60</v>
      </c>
      <c r="X487">
        <v>0</v>
      </c>
      <c r="Y487">
        <v>0</v>
      </c>
      <c r="Z487">
        <v>0</v>
      </c>
      <c r="AA487" t="s">
        <v>43</v>
      </c>
      <c r="AB487">
        <v>30</v>
      </c>
      <c r="AD487" t="s">
        <v>4614</v>
      </c>
      <c r="AE487" t="s">
        <v>4615</v>
      </c>
    </row>
    <row r="488" spans="1:31" x14ac:dyDescent="0.25">
      <c r="A488" t="s">
        <v>31</v>
      </c>
      <c r="C488" t="s">
        <v>506</v>
      </c>
      <c r="D488" t="s">
        <v>514</v>
      </c>
      <c r="E488" t="s">
        <v>34</v>
      </c>
      <c r="F488" t="s">
        <v>66</v>
      </c>
      <c r="G488">
        <v>2019</v>
      </c>
      <c r="H488" t="s">
        <v>36</v>
      </c>
      <c r="I488" t="s">
        <v>515</v>
      </c>
      <c r="J488" t="s">
        <v>31</v>
      </c>
      <c r="K488" t="s">
        <v>38</v>
      </c>
      <c r="L488" t="s">
        <v>242</v>
      </c>
      <c r="M488" t="s">
        <v>243</v>
      </c>
      <c r="N488" t="s">
        <v>405</v>
      </c>
      <c r="O488" t="s">
        <v>516</v>
      </c>
      <c r="P488" t="s">
        <v>517</v>
      </c>
      <c r="T488">
        <v>39.013583742000002</v>
      </c>
      <c r="U488">
        <v>-77.470548350000001</v>
      </c>
      <c r="V488">
        <f>SUM(W488:X488)+(Y488*0.8)+(Z488*0.4)</f>
        <v>60</v>
      </c>
      <c r="W488">
        <v>60</v>
      </c>
      <c r="X488">
        <v>0</v>
      </c>
      <c r="Y488">
        <v>0</v>
      </c>
      <c r="Z488">
        <v>0</v>
      </c>
      <c r="AA488" t="s">
        <v>43</v>
      </c>
      <c r="AB488">
        <v>60</v>
      </c>
      <c r="AC488">
        <v>1.1499999999999999</v>
      </c>
      <c r="AD488" t="s">
        <v>518</v>
      </c>
      <c r="AE488" t="s">
        <v>519</v>
      </c>
    </row>
    <row r="489" spans="1:31" x14ac:dyDescent="0.25">
      <c r="A489" t="s">
        <v>31</v>
      </c>
      <c r="B489" t="s">
        <v>11350</v>
      </c>
      <c r="C489" t="s">
        <v>647</v>
      </c>
      <c r="D489" t="s">
        <v>839</v>
      </c>
      <c r="E489" t="s">
        <v>362</v>
      </c>
      <c r="F489" t="s">
        <v>649</v>
      </c>
      <c r="G489">
        <v>2016</v>
      </c>
      <c r="H489" t="s">
        <v>36</v>
      </c>
      <c r="I489" t="s">
        <v>840</v>
      </c>
      <c r="J489" t="s">
        <v>31</v>
      </c>
      <c r="K489" t="s">
        <v>38</v>
      </c>
      <c r="L489" t="s">
        <v>317</v>
      </c>
      <c r="M489" t="s">
        <v>318</v>
      </c>
      <c r="N489" t="s">
        <v>665</v>
      </c>
      <c r="O489" t="s">
        <v>841</v>
      </c>
      <c r="P489" t="s">
        <v>842</v>
      </c>
      <c r="Q489" t="s">
        <v>843</v>
      </c>
      <c r="T489">
        <v>40.102878216000001</v>
      </c>
      <c r="U489">
        <v>-83.199715959000002</v>
      </c>
      <c r="V489">
        <f>SUM(W489:X489)+(Y489*0.8)+(Z489*0.4)</f>
        <v>60</v>
      </c>
      <c r="W489">
        <v>60</v>
      </c>
      <c r="X489">
        <v>0</v>
      </c>
      <c r="Y489">
        <v>0</v>
      </c>
      <c r="Z489">
        <v>0</v>
      </c>
      <c r="AA489" t="s">
        <v>43</v>
      </c>
      <c r="AB489">
        <v>60</v>
      </c>
      <c r="AD489" t="s">
        <v>844</v>
      </c>
      <c r="AE489" t="s">
        <v>845</v>
      </c>
    </row>
    <row r="490" spans="1:31" x14ac:dyDescent="0.25">
      <c r="A490" t="s">
        <v>31</v>
      </c>
      <c r="C490" t="s">
        <v>3312</v>
      </c>
      <c r="D490" t="s">
        <v>3408</v>
      </c>
      <c r="E490" t="s">
        <v>34</v>
      </c>
      <c r="F490" t="s">
        <v>35</v>
      </c>
      <c r="G490">
        <v>2012</v>
      </c>
      <c r="H490" t="s">
        <v>36</v>
      </c>
      <c r="I490" t="s">
        <v>3409</v>
      </c>
      <c r="J490" t="s">
        <v>31</v>
      </c>
      <c r="K490" t="s">
        <v>38</v>
      </c>
      <c r="L490" t="s">
        <v>68</v>
      </c>
      <c r="M490" t="s">
        <v>69</v>
      </c>
      <c r="N490" t="s">
        <v>2377</v>
      </c>
      <c r="O490" t="s">
        <v>3410</v>
      </c>
      <c r="P490" t="s">
        <v>3411</v>
      </c>
      <c r="T490">
        <v>32.991688000000003</v>
      </c>
      <c r="U490">
        <v>-96.930143000000001</v>
      </c>
      <c r="V490">
        <f>SUM(W490:X490)+(Y490*0.8)+(Z490*0.4)</f>
        <v>60</v>
      </c>
      <c r="W490">
        <v>60</v>
      </c>
      <c r="X490">
        <v>0</v>
      </c>
      <c r="Y490">
        <v>0</v>
      </c>
      <c r="Z490">
        <v>0</v>
      </c>
      <c r="AA490" t="s">
        <v>43</v>
      </c>
      <c r="AB490">
        <v>60</v>
      </c>
      <c r="AD490" t="s">
        <v>3412</v>
      </c>
      <c r="AE490" t="s">
        <v>3413</v>
      </c>
    </row>
    <row r="491" spans="1:31" x14ac:dyDescent="0.25">
      <c r="A491" t="s">
        <v>31</v>
      </c>
      <c r="C491" t="s">
        <v>11203</v>
      </c>
      <c r="D491" t="s">
        <v>11207</v>
      </c>
      <c r="E491" t="s">
        <v>34</v>
      </c>
      <c r="F491" t="s">
        <v>66</v>
      </c>
      <c r="H491" t="s">
        <v>36</v>
      </c>
      <c r="I491" t="s">
        <v>11208</v>
      </c>
      <c r="J491" t="s">
        <v>31</v>
      </c>
      <c r="K491" t="s">
        <v>38</v>
      </c>
      <c r="L491" t="s">
        <v>1918</v>
      </c>
      <c r="M491" t="s">
        <v>1919</v>
      </c>
      <c r="N491" t="s">
        <v>11209</v>
      </c>
      <c r="P491" t="s">
        <v>11210</v>
      </c>
      <c r="T491">
        <v>38.393612814000001</v>
      </c>
      <c r="U491">
        <v>-85.408183085999994</v>
      </c>
      <c r="V491">
        <f>SUM(W491:X491)+(Y491*0.8)+(Z491*0.4)</f>
        <v>60</v>
      </c>
      <c r="W491">
        <v>0</v>
      </c>
      <c r="X491">
        <v>0</v>
      </c>
      <c r="Y491">
        <v>0</v>
      </c>
      <c r="Z491">
        <v>150</v>
      </c>
      <c r="AA491" t="s">
        <v>43</v>
      </c>
      <c r="AB491">
        <v>0</v>
      </c>
      <c r="AD491" t="s">
        <v>11211</v>
      </c>
      <c r="AE491" t="s">
        <v>11212</v>
      </c>
    </row>
    <row r="492" spans="1:31" x14ac:dyDescent="0.25">
      <c r="A492" t="s">
        <v>31</v>
      </c>
      <c r="C492" t="s">
        <v>1859</v>
      </c>
      <c r="D492" t="s">
        <v>1868</v>
      </c>
      <c r="E492" t="s">
        <v>34</v>
      </c>
      <c r="F492" t="s">
        <v>66</v>
      </c>
      <c r="H492" t="s">
        <v>36</v>
      </c>
      <c r="I492" t="s">
        <v>1869</v>
      </c>
      <c r="J492" t="s">
        <v>31</v>
      </c>
      <c r="K492" t="s">
        <v>38</v>
      </c>
      <c r="L492" t="s">
        <v>242</v>
      </c>
      <c r="M492" t="s">
        <v>243</v>
      </c>
      <c r="N492" t="s">
        <v>509</v>
      </c>
      <c r="O492" t="s">
        <v>1290</v>
      </c>
      <c r="P492" t="s">
        <v>1291</v>
      </c>
      <c r="T492">
        <v>38.802460652000001</v>
      </c>
      <c r="U492">
        <v>-77.617692147</v>
      </c>
      <c r="V492">
        <f>SUM(W492:X492)+(Y492*0.8)+(Z492*0.4)</f>
        <v>59.2</v>
      </c>
      <c r="W492">
        <v>0</v>
      </c>
      <c r="X492">
        <v>0</v>
      </c>
      <c r="Y492">
        <v>74</v>
      </c>
      <c r="Z492">
        <v>0</v>
      </c>
      <c r="AA492" t="s">
        <v>43</v>
      </c>
      <c r="AB492">
        <v>0</v>
      </c>
      <c r="AD492" t="s">
        <v>1870</v>
      </c>
      <c r="AE492" t="s">
        <v>1871</v>
      </c>
    </row>
    <row r="493" spans="1:31" x14ac:dyDescent="0.25">
      <c r="A493" t="s">
        <v>31</v>
      </c>
      <c r="C493" t="s">
        <v>5765</v>
      </c>
      <c r="D493" t="s">
        <v>5775</v>
      </c>
      <c r="E493" t="s">
        <v>34</v>
      </c>
      <c r="F493" t="s">
        <v>66</v>
      </c>
      <c r="G493">
        <v>2023</v>
      </c>
      <c r="H493" t="s">
        <v>36</v>
      </c>
      <c r="I493" t="s">
        <v>5776</v>
      </c>
      <c r="J493" t="s">
        <v>31</v>
      </c>
      <c r="K493" t="s">
        <v>38</v>
      </c>
      <c r="L493" t="s">
        <v>185</v>
      </c>
      <c r="M493" t="s">
        <v>186</v>
      </c>
      <c r="N493" t="s">
        <v>155</v>
      </c>
      <c r="T493">
        <v>33.730882715</v>
      </c>
      <c r="U493">
        <v>-84.615742767</v>
      </c>
      <c r="V493">
        <f>SUM(W493:X493)+(Y493*0.8)+(Z493*0.4)</f>
        <v>58.5</v>
      </c>
      <c r="W493">
        <v>58.5</v>
      </c>
      <c r="X493">
        <v>0</v>
      </c>
      <c r="Y493">
        <v>0</v>
      </c>
      <c r="Z493">
        <v>0</v>
      </c>
      <c r="AA493" t="s">
        <v>43</v>
      </c>
      <c r="AB493">
        <v>47.25</v>
      </c>
      <c r="AC493">
        <v>1.4</v>
      </c>
      <c r="AD493" t="s">
        <v>5777</v>
      </c>
      <c r="AE493" t="s">
        <v>5778</v>
      </c>
    </row>
    <row r="494" spans="1:31" x14ac:dyDescent="0.25">
      <c r="A494" t="s">
        <v>31</v>
      </c>
      <c r="C494" t="s">
        <v>8323</v>
      </c>
      <c r="D494" t="s">
        <v>8335</v>
      </c>
      <c r="E494" t="s">
        <v>34</v>
      </c>
      <c r="F494" t="s">
        <v>66</v>
      </c>
      <c r="H494" t="s">
        <v>36</v>
      </c>
      <c r="I494" t="s">
        <v>8336</v>
      </c>
      <c r="J494" t="s">
        <v>31</v>
      </c>
      <c r="K494" t="s">
        <v>38</v>
      </c>
      <c r="L494" t="s">
        <v>1380</v>
      </c>
      <c r="M494" t="s">
        <v>1381</v>
      </c>
      <c r="N494" t="s">
        <v>8337</v>
      </c>
      <c r="O494" t="s">
        <v>8338</v>
      </c>
      <c r="P494" t="s">
        <v>8339</v>
      </c>
      <c r="Q494" t="s">
        <v>8338</v>
      </c>
      <c r="T494">
        <v>41.321971935000001</v>
      </c>
      <c r="U494">
        <v>-72.165320449999996</v>
      </c>
      <c r="V494">
        <f>SUM(W494:X494)+(Y494*0.8)+(Z494*0.4)</f>
        <v>58</v>
      </c>
      <c r="W494">
        <v>0</v>
      </c>
      <c r="X494">
        <v>0</v>
      </c>
      <c r="Y494">
        <v>0</v>
      </c>
      <c r="Z494">
        <v>145</v>
      </c>
      <c r="AA494" t="s">
        <v>43</v>
      </c>
      <c r="AB494">
        <v>0</v>
      </c>
      <c r="AD494" t="s">
        <v>8340</v>
      </c>
      <c r="AE494" t="s">
        <v>8341</v>
      </c>
    </row>
    <row r="495" spans="1:31" x14ac:dyDescent="0.25">
      <c r="A495" t="s">
        <v>31</v>
      </c>
      <c r="B495" t="s">
        <v>11350</v>
      </c>
      <c r="C495" t="s">
        <v>6116</v>
      </c>
      <c r="D495" t="s">
        <v>6272</v>
      </c>
      <c r="E495" t="s">
        <v>362</v>
      </c>
      <c r="F495" t="s">
        <v>43</v>
      </c>
      <c r="H495" t="s">
        <v>36</v>
      </c>
      <c r="I495" t="s">
        <v>6273</v>
      </c>
      <c r="J495" t="s">
        <v>31</v>
      </c>
      <c r="K495" t="s">
        <v>38</v>
      </c>
      <c r="L495" t="s">
        <v>1733</v>
      </c>
      <c r="M495" t="s">
        <v>1734</v>
      </c>
      <c r="N495" t="s">
        <v>6274</v>
      </c>
      <c r="O495" t="s">
        <v>6275</v>
      </c>
      <c r="P495" t="s">
        <v>6276</v>
      </c>
      <c r="S495" t="s">
        <v>6277</v>
      </c>
      <c r="T495">
        <v>35.108877</v>
      </c>
      <c r="U495">
        <v>-90.216323000000003</v>
      </c>
      <c r="V495">
        <f>SUM(W495:X495)+(Y495*0.8)+(Z495*0.4)</f>
        <v>58</v>
      </c>
      <c r="W495">
        <v>0</v>
      </c>
      <c r="X495">
        <v>0</v>
      </c>
      <c r="Y495">
        <v>0</v>
      </c>
      <c r="Z495">
        <v>145</v>
      </c>
      <c r="AA495" t="s">
        <v>43</v>
      </c>
      <c r="AB495">
        <v>0</v>
      </c>
      <c r="AD495" t="s">
        <v>6278</v>
      </c>
      <c r="AE495" t="s">
        <v>6279</v>
      </c>
    </row>
    <row r="496" spans="1:31" x14ac:dyDescent="0.25">
      <c r="A496" t="s">
        <v>31</v>
      </c>
      <c r="C496" t="s">
        <v>3202</v>
      </c>
      <c r="D496" t="s">
        <v>3207</v>
      </c>
      <c r="E496" t="s">
        <v>34</v>
      </c>
      <c r="F496" t="s">
        <v>66</v>
      </c>
      <c r="G496">
        <v>2024</v>
      </c>
      <c r="H496" t="s">
        <v>36</v>
      </c>
      <c r="I496" t="s">
        <v>3208</v>
      </c>
      <c r="J496" t="s">
        <v>31</v>
      </c>
      <c r="K496" t="s">
        <v>38</v>
      </c>
      <c r="L496" t="s">
        <v>242</v>
      </c>
      <c r="M496" t="s">
        <v>243</v>
      </c>
      <c r="N496" t="s">
        <v>405</v>
      </c>
      <c r="O496" t="s">
        <v>526</v>
      </c>
      <c r="P496" t="s">
        <v>527</v>
      </c>
      <c r="T496">
        <v>39.040524775000002</v>
      </c>
      <c r="U496">
        <v>-77.433253956000001</v>
      </c>
      <c r="V496">
        <f>SUM(W496:X496)+(Y496*0.8)+(Z496*0.4)</f>
        <v>57.6</v>
      </c>
      <c r="W496">
        <v>0</v>
      </c>
      <c r="X496">
        <v>0</v>
      </c>
      <c r="Y496">
        <v>72</v>
      </c>
      <c r="Z496">
        <v>0</v>
      </c>
      <c r="AA496" t="s">
        <v>43</v>
      </c>
      <c r="AB496">
        <v>72</v>
      </c>
      <c r="AD496" t="s">
        <v>3209</v>
      </c>
      <c r="AE496" t="s">
        <v>3210</v>
      </c>
    </row>
    <row r="497" spans="1:31" x14ac:dyDescent="0.25">
      <c r="A497" t="s">
        <v>31</v>
      </c>
      <c r="B497" t="s">
        <v>11350</v>
      </c>
      <c r="C497" t="s">
        <v>7857</v>
      </c>
      <c r="D497" t="s">
        <v>8116</v>
      </c>
      <c r="E497" t="s">
        <v>362</v>
      </c>
      <c r="F497" t="s">
        <v>649</v>
      </c>
      <c r="G497">
        <v>2011</v>
      </c>
      <c r="H497" t="s">
        <v>36</v>
      </c>
      <c r="I497" t="s">
        <v>8117</v>
      </c>
      <c r="J497" t="s">
        <v>31</v>
      </c>
      <c r="K497" t="s">
        <v>38</v>
      </c>
      <c r="L497" t="s">
        <v>1433</v>
      </c>
      <c r="M497" t="s">
        <v>1434</v>
      </c>
      <c r="N497" t="s">
        <v>1711</v>
      </c>
      <c r="O497" t="s">
        <v>7868</v>
      </c>
      <c r="P497" t="s">
        <v>8118</v>
      </c>
      <c r="T497">
        <v>41.540204639000002</v>
      </c>
      <c r="U497">
        <v>-93.827116939999996</v>
      </c>
      <c r="V497">
        <f>SUM(W497:X497)+(Y497*0.8)+(Z497*0.4)</f>
        <v>57.6</v>
      </c>
      <c r="W497">
        <v>57.6</v>
      </c>
      <c r="X497">
        <v>0</v>
      </c>
      <c r="Y497">
        <v>0</v>
      </c>
      <c r="Z497">
        <v>0</v>
      </c>
      <c r="AA497" t="s">
        <v>43</v>
      </c>
      <c r="AB497">
        <v>57.6</v>
      </c>
      <c r="AC497">
        <v>1.169</v>
      </c>
      <c r="AD497" t="s">
        <v>8119</v>
      </c>
      <c r="AE497" t="s">
        <v>8120</v>
      </c>
    </row>
    <row r="498" spans="1:31" x14ac:dyDescent="0.25">
      <c r="A498" t="s">
        <v>31</v>
      </c>
      <c r="C498" t="s">
        <v>6062</v>
      </c>
      <c r="D498" t="s">
        <v>6071</v>
      </c>
      <c r="E498" t="s">
        <v>34</v>
      </c>
      <c r="F498" t="s">
        <v>66</v>
      </c>
      <c r="H498" t="s">
        <v>36</v>
      </c>
      <c r="I498" t="s">
        <v>6072</v>
      </c>
      <c r="J498" t="s">
        <v>31</v>
      </c>
      <c r="K498" t="s">
        <v>38</v>
      </c>
      <c r="L498" t="s">
        <v>172</v>
      </c>
      <c r="M498" t="s">
        <v>173</v>
      </c>
      <c r="N498" t="s">
        <v>780</v>
      </c>
      <c r="O498" t="s">
        <v>781</v>
      </c>
      <c r="P498" t="s">
        <v>5443</v>
      </c>
      <c r="T498">
        <v>37.372290280000001</v>
      </c>
      <c r="U498">
        <v>-121.976551478</v>
      </c>
      <c r="V498">
        <f>SUM(W498:X498)+(Y498*0.8)+(Z498*0.4)</f>
        <v>57.6</v>
      </c>
      <c r="W498">
        <v>0</v>
      </c>
      <c r="X498">
        <v>0</v>
      </c>
      <c r="Y498">
        <v>72</v>
      </c>
      <c r="Z498">
        <v>0</v>
      </c>
      <c r="AA498" t="s">
        <v>43</v>
      </c>
      <c r="AB498">
        <v>0</v>
      </c>
      <c r="AD498" t="s">
        <v>6073</v>
      </c>
      <c r="AE498" t="s">
        <v>6074</v>
      </c>
    </row>
    <row r="499" spans="1:31" x14ac:dyDescent="0.25">
      <c r="A499" t="s">
        <v>31</v>
      </c>
      <c r="C499" t="s">
        <v>3710</v>
      </c>
      <c r="D499" t="s">
        <v>3787</v>
      </c>
      <c r="E499" t="s">
        <v>34</v>
      </c>
      <c r="F499" t="s">
        <v>66</v>
      </c>
      <c r="H499" t="s">
        <v>36</v>
      </c>
      <c r="I499" t="s">
        <v>3788</v>
      </c>
      <c r="J499" t="s">
        <v>31</v>
      </c>
      <c r="K499" t="s">
        <v>38</v>
      </c>
      <c r="L499" t="s">
        <v>242</v>
      </c>
      <c r="M499" t="s">
        <v>243</v>
      </c>
      <c r="N499" t="s">
        <v>748</v>
      </c>
      <c r="O499" t="s">
        <v>3220</v>
      </c>
      <c r="P499" t="s">
        <v>2551</v>
      </c>
      <c r="T499">
        <v>38.450060680999997</v>
      </c>
      <c r="U499">
        <v>-77.980696495999993</v>
      </c>
      <c r="V499">
        <f>SUM(W499:X499)+(Y499*0.8)+(Z499*0.4)</f>
        <v>57.6</v>
      </c>
      <c r="W499">
        <v>0</v>
      </c>
      <c r="X499">
        <v>0</v>
      </c>
      <c r="Y499">
        <v>72</v>
      </c>
      <c r="Z499">
        <v>0</v>
      </c>
      <c r="AA499" t="s">
        <v>43</v>
      </c>
      <c r="AB499">
        <v>0</v>
      </c>
      <c r="AD499" t="s">
        <v>3789</v>
      </c>
      <c r="AE499" t="s">
        <v>3790</v>
      </c>
    </row>
    <row r="500" spans="1:31" x14ac:dyDescent="0.25">
      <c r="A500" t="s">
        <v>31</v>
      </c>
      <c r="B500" t="s">
        <v>11350</v>
      </c>
      <c r="C500" t="s">
        <v>6116</v>
      </c>
      <c r="D500" t="s">
        <v>6229</v>
      </c>
      <c r="E500" t="s">
        <v>362</v>
      </c>
      <c r="F500" t="s">
        <v>649</v>
      </c>
      <c r="G500">
        <v>2011</v>
      </c>
      <c r="H500" t="s">
        <v>36</v>
      </c>
      <c r="I500" t="s">
        <v>6230</v>
      </c>
      <c r="J500" t="s">
        <v>31</v>
      </c>
      <c r="K500" t="s">
        <v>38</v>
      </c>
      <c r="L500" t="s">
        <v>1819</v>
      </c>
      <c r="M500" t="s">
        <v>1820</v>
      </c>
      <c r="N500" t="s">
        <v>6229</v>
      </c>
      <c r="S500" t="s">
        <v>6231</v>
      </c>
      <c r="T500">
        <v>36.239260551000001</v>
      </c>
      <c r="U500">
        <v>-95.323299101000003</v>
      </c>
      <c r="V500">
        <f>SUM(W500:X500)+(Y500*0.8)+(Z500*0.4)</f>
        <v>57.050000000000004</v>
      </c>
      <c r="W500">
        <v>53.45</v>
      </c>
      <c r="X500">
        <v>0</v>
      </c>
      <c r="Y500">
        <v>4.5</v>
      </c>
      <c r="Z500">
        <v>0</v>
      </c>
      <c r="AA500" t="s">
        <v>43</v>
      </c>
      <c r="AB500">
        <v>57.95</v>
      </c>
      <c r="AC500">
        <v>1.1000000000000001</v>
      </c>
      <c r="AD500" t="s">
        <v>6232</v>
      </c>
      <c r="AE500" t="s">
        <v>6233</v>
      </c>
    </row>
    <row r="501" spans="1:31" x14ac:dyDescent="0.25">
      <c r="A501" t="s">
        <v>31</v>
      </c>
      <c r="C501" t="s">
        <v>3007</v>
      </c>
      <c r="D501" t="s">
        <v>3046</v>
      </c>
      <c r="E501" t="s">
        <v>34</v>
      </c>
      <c r="F501" t="s">
        <v>76</v>
      </c>
      <c r="G501">
        <v>2026</v>
      </c>
      <c r="H501" t="s">
        <v>36</v>
      </c>
      <c r="I501" t="s">
        <v>3047</v>
      </c>
      <c r="J501" t="s">
        <v>31</v>
      </c>
      <c r="K501" t="s">
        <v>38</v>
      </c>
      <c r="L501" t="s">
        <v>1819</v>
      </c>
      <c r="M501" t="s">
        <v>1820</v>
      </c>
      <c r="N501" t="s">
        <v>3048</v>
      </c>
      <c r="P501" t="s">
        <v>3049</v>
      </c>
      <c r="T501">
        <v>35.784339359999997</v>
      </c>
      <c r="U501">
        <v>-95.300078220000003</v>
      </c>
      <c r="V501">
        <f>SUM(W501:X501)+(Y501*0.8)+(Z501*0.4)</f>
        <v>56</v>
      </c>
      <c r="W501">
        <v>0</v>
      </c>
      <c r="X501">
        <v>0</v>
      </c>
      <c r="Y501">
        <v>70</v>
      </c>
      <c r="Z501">
        <v>0</v>
      </c>
      <c r="AA501" t="s">
        <v>43</v>
      </c>
      <c r="AB501">
        <v>70</v>
      </c>
      <c r="AD501" t="s">
        <v>3050</v>
      </c>
      <c r="AE501" t="s">
        <v>3051</v>
      </c>
    </row>
    <row r="502" spans="1:31" x14ac:dyDescent="0.25">
      <c r="A502" t="s">
        <v>31</v>
      </c>
      <c r="C502" t="s">
        <v>3312</v>
      </c>
      <c r="D502" t="s">
        <v>3421</v>
      </c>
      <c r="E502" t="s">
        <v>34</v>
      </c>
      <c r="F502" t="s">
        <v>66</v>
      </c>
      <c r="G502">
        <v>2018</v>
      </c>
      <c r="H502" t="s">
        <v>36</v>
      </c>
      <c r="I502" t="s">
        <v>3422</v>
      </c>
      <c r="J502" t="s">
        <v>31</v>
      </c>
      <c r="K502" t="s">
        <v>38</v>
      </c>
      <c r="L502" t="s">
        <v>68</v>
      </c>
      <c r="M502" t="s">
        <v>69</v>
      </c>
      <c r="N502" t="s">
        <v>547</v>
      </c>
      <c r="O502" t="s">
        <v>2081</v>
      </c>
      <c r="P502" t="s">
        <v>2083</v>
      </c>
      <c r="T502">
        <v>33.138515026999997</v>
      </c>
      <c r="U502">
        <v>-96.660461370999997</v>
      </c>
      <c r="V502">
        <f>SUM(W502:X502)+(Y502*0.8)+(Z502*0.4)</f>
        <v>56</v>
      </c>
      <c r="W502">
        <v>6</v>
      </c>
      <c r="X502">
        <v>50</v>
      </c>
      <c r="Y502">
        <v>0</v>
      </c>
      <c r="Z502">
        <v>0</v>
      </c>
      <c r="AA502" t="s">
        <v>43</v>
      </c>
      <c r="AB502">
        <v>5</v>
      </c>
      <c r="AD502" t="s">
        <v>3423</v>
      </c>
      <c r="AE502" t="s">
        <v>3424</v>
      </c>
    </row>
    <row r="503" spans="1:31" x14ac:dyDescent="0.25">
      <c r="A503" t="s">
        <v>31</v>
      </c>
      <c r="C503" t="s">
        <v>10678</v>
      </c>
      <c r="D503" t="s">
        <v>10679</v>
      </c>
      <c r="E503" t="s">
        <v>34</v>
      </c>
      <c r="F503" t="s">
        <v>76</v>
      </c>
      <c r="H503" t="s">
        <v>36</v>
      </c>
      <c r="I503" t="s">
        <v>10680</v>
      </c>
      <c r="J503" t="s">
        <v>31</v>
      </c>
      <c r="K503" t="s">
        <v>38</v>
      </c>
      <c r="L503" t="s">
        <v>448</v>
      </c>
      <c r="M503" t="s">
        <v>449</v>
      </c>
      <c r="N503" t="s">
        <v>564</v>
      </c>
      <c r="O503" t="s">
        <v>10681</v>
      </c>
      <c r="P503" t="s">
        <v>10682</v>
      </c>
      <c r="T503">
        <v>39.314144802999998</v>
      </c>
      <c r="U503">
        <v>-77.332190268999994</v>
      </c>
      <c r="V503">
        <f>SUM(W503:X503)+(Y503*0.8)+(Z503*0.4)</f>
        <v>56</v>
      </c>
      <c r="W503">
        <v>0</v>
      </c>
      <c r="X503">
        <v>0</v>
      </c>
      <c r="Y503">
        <v>0</v>
      </c>
      <c r="Z503">
        <v>140</v>
      </c>
      <c r="AA503" t="s">
        <v>43</v>
      </c>
      <c r="AB503">
        <v>0</v>
      </c>
      <c r="AD503" t="s">
        <v>10683</v>
      </c>
      <c r="AE503" t="s">
        <v>10684</v>
      </c>
    </row>
    <row r="504" spans="1:31" x14ac:dyDescent="0.25">
      <c r="A504" t="s">
        <v>31</v>
      </c>
      <c r="C504" t="s">
        <v>3710</v>
      </c>
      <c r="D504" t="s">
        <v>3872</v>
      </c>
      <c r="E504" t="s">
        <v>34</v>
      </c>
      <c r="F504" t="s">
        <v>66</v>
      </c>
      <c r="G504">
        <v>2013</v>
      </c>
      <c r="H504" t="s">
        <v>36</v>
      </c>
      <c r="I504" t="s">
        <v>3873</v>
      </c>
      <c r="J504" t="s">
        <v>31</v>
      </c>
      <c r="K504" t="s">
        <v>38</v>
      </c>
      <c r="L504" t="s">
        <v>620</v>
      </c>
      <c r="M504" t="s">
        <v>621</v>
      </c>
      <c r="N504" t="s">
        <v>622</v>
      </c>
      <c r="O504" t="s">
        <v>3874</v>
      </c>
      <c r="P504" t="s">
        <v>3875</v>
      </c>
      <c r="T504">
        <v>40.481032968999997</v>
      </c>
      <c r="U504">
        <v>-111.90585476299999</v>
      </c>
      <c r="V504">
        <f>SUM(W504:X504)+(Y504*0.8)+(Z504*0.4)</f>
        <v>55.3</v>
      </c>
      <c r="W504">
        <v>55.3</v>
      </c>
      <c r="X504">
        <v>0</v>
      </c>
      <c r="Y504">
        <v>0</v>
      </c>
      <c r="Z504">
        <v>0</v>
      </c>
      <c r="AA504" t="s">
        <v>43</v>
      </c>
      <c r="AB504">
        <v>37</v>
      </c>
      <c r="AD504" t="s">
        <v>3876</v>
      </c>
      <c r="AE504" t="s">
        <v>3877</v>
      </c>
    </row>
    <row r="505" spans="1:31" x14ac:dyDescent="0.25">
      <c r="A505" t="s">
        <v>31</v>
      </c>
      <c r="B505" t="s">
        <v>11350</v>
      </c>
      <c r="C505" t="s">
        <v>7857</v>
      </c>
      <c r="D505" t="s">
        <v>3579</v>
      </c>
      <c r="E505" t="s">
        <v>362</v>
      </c>
      <c r="F505" t="s">
        <v>649</v>
      </c>
      <c r="G505">
        <v>2007</v>
      </c>
      <c r="H505" t="s">
        <v>36</v>
      </c>
      <c r="I505" t="s">
        <v>7903</v>
      </c>
      <c r="J505" t="s">
        <v>31</v>
      </c>
      <c r="K505" t="s">
        <v>38</v>
      </c>
      <c r="L505" t="s">
        <v>843</v>
      </c>
      <c r="M505" t="s">
        <v>1644</v>
      </c>
      <c r="N505" t="s">
        <v>3511</v>
      </c>
      <c r="O505" t="s">
        <v>3509</v>
      </c>
      <c r="P505" t="s">
        <v>3512</v>
      </c>
      <c r="T505">
        <v>47.240112402000001</v>
      </c>
      <c r="U505">
        <v>-119.863973751</v>
      </c>
      <c r="V505">
        <f>SUM(W505:X505)+(Y505*0.8)+(Z505*0.4)</f>
        <v>55.1</v>
      </c>
      <c r="W505">
        <v>55.1</v>
      </c>
      <c r="X505">
        <v>0</v>
      </c>
      <c r="Y505">
        <v>0</v>
      </c>
      <c r="Z505">
        <v>0</v>
      </c>
      <c r="AA505" t="s">
        <v>43</v>
      </c>
      <c r="AB505">
        <v>55.1</v>
      </c>
      <c r="AD505" t="s">
        <v>7904</v>
      </c>
      <c r="AE505" t="s">
        <v>7905</v>
      </c>
    </row>
    <row r="506" spans="1:31" x14ac:dyDescent="0.25">
      <c r="A506" t="s">
        <v>31</v>
      </c>
      <c r="B506" t="s">
        <v>11350</v>
      </c>
      <c r="C506" t="s">
        <v>7857</v>
      </c>
      <c r="D506" t="s">
        <v>8030</v>
      </c>
      <c r="E506" t="s">
        <v>362</v>
      </c>
      <c r="F506" t="s">
        <v>649</v>
      </c>
      <c r="H506" t="s">
        <v>36</v>
      </c>
      <c r="I506" t="s">
        <v>8031</v>
      </c>
      <c r="J506" t="s">
        <v>31</v>
      </c>
      <c r="K506" t="s">
        <v>38</v>
      </c>
      <c r="L506" t="s">
        <v>143</v>
      </c>
      <c r="M506" t="s">
        <v>144</v>
      </c>
      <c r="N506" t="s">
        <v>8032</v>
      </c>
      <c r="O506" t="s">
        <v>8033</v>
      </c>
      <c r="P506" t="s">
        <v>8034</v>
      </c>
      <c r="Q506" t="s">
        <v>3893</v>
      </c>
      <c r="T506">
        <v>41.620067024000001</v>
      </c>
      <c r="U506">
        <v>-86.693048986999997</v>
      </c>
      <c r="V506">
        <f>SUM(W506:X506)+(Y506*0.8)+(Z506*0.4)</f>
        <v>54.56</v>
      </c>
      <c r="W506">
        <v>0</v>
      </c>
      <c r="X506">
        <v>0</v>
      </c>
      <c r="Y506">
        <v>68.2</v>
      </c>
      <c r="Z506">
        <v>0</v>
      </c>
      <c r="AA506" t="s">
        <v>43</v>
      </c>
      <c r="AB506">
        <v>68.2</v>
      </c>
      <c r="AD506" t="s">
        <v>8035</v>
      </c>
      <c r="AE506" t="s">
        <v>8036</v>
      </c>
    </row>
    <row r="507" spans="1:31" x14ac:dyDescent="0.25">
      <c r="A507" t="s">
        <v>31</v>
      </c>
      <c r="C507" t="s">
        <v>3007</v>
      </c>
      <c r="D507" t="s">
        <v>3022</v>
      </c>
      <c r="E507" t="s">
        <v>34</v>
      </c>
      <c r="F507" t="s">
        <v>66</v>
      </c>
      <c r="G507">
        <v>2026</v>
      </c>
      <c r="H507" t="s">
        <v>36</v>
      </c>
      <c r="I507" t="s">
        <v>3023</v>
      </c>
      <c r="J507" t="s">
        <v>31</v>
      </c>
      <c r="K507" t="s">
        <v>38</v>
      </c>
      <c r="L507" t="s">
        <v>185</v>
      </c>
      <c r="M507" t="s">
        <v>186</v>
      </c>
      <c r="N507" t="s">
        <v>3024</v>
      </c>
      <c r="P507" t="s">
        <v>3025</v>
      </c>
      <c r="T507">
        <v>34.691708282999997</v>
      </c>
      <c r="U507">
        <v>-84.938404648000002</v>
      </c>
      <c r="V507">
        <f>SUM(W507:X507)+(Y507*0.8)+(Z507*0.4)</f>
        <v>54.400000000000006</v>
      </c>
      <c r="W507">
        <v>0</v>
      </c>
      <c r="X507">
        <v>0</v>
      </c>
      <c r="Y507">
        <v>68</v>
      </c>
      <c r="Z507">
        <v>0</v>
      </c>
      <c r="AA507" t="s">
        <v>43</v>
      </c>
      <c r="AB507">
        <v>0</v>
      </c>
      <c r="AD507" t="s">
        <v>3026</v>
      </c>
      <c r="AE507" t="s">
        <v>3027</v>
      </c>
    </row>
    <row r="508" spans="1:31" x14ac:dyDescent="0.25">
      <c r="A508" t="s">
        <v>31</v>
      </c>
      <c r="B508" t="s">
        <v>11350</v>
      </c>
      <c r="C508" t="s">
        <v>6116</v>
      </c>
      <c r="D508" t="s">
        <v>6307</v>
      </c>
      <c r="E508" t="s">
        <v>362</v>
      </c>
      <c r="F508" t="s">
        <v>649</v>
      </c>
      <c r="G508">
        <v>2006</v>
      </c>
      <c r="H508" t="s">
        <v>36</v>
      </c>
      <c r="I508" t="s">
        <v>6308</v>
      </c>
      <c r="J508" t="s">
        <v>31</v>
      </c>
      <c r="K508" t="s">
        <v>38</v>
      </c>
      <c r="L508" t="s">
        <v>133</v>
      </c>
      <c r="M508" t="s">
        <v>134</v>
      </c>
      <c r="N508" t="s">
        <v>6262</v>
      </c>
      <c r="O508" t="s">
        <v>6263</v>
      </c>
      <c r="T508">
        <v>45.632004999999999</v>
      </c>
      <c r="U508">
        <v>-121.201026</v>
      </c>
      <c r="V508">
        <f>SUM(W508:X508)+(Y508*0.8)+(Z508*0.4)</f>
        <v>54</v>
      </c>
      <c r="W508">
        <v>54</v>
      </c>
      <c r="X508">
        <v>0</v>
      </c>
      <c r="Y508">
        <v>0</v>
      </c>
      <c r="Z508">
        <v>0</v>
      </c>
      <c r="AA508" t="s">
        <v>43</v>
      </c>
      <c r="AB508">
        <v>54</v>
      </c>
      <c r="AC508">
        <v>1.1000000000000001</v>
      </c>
      <c r="AD508" t="s">
        <v>6309</v>
      </c>
      <c r="AE508" t="s">
        <v>6310</v>
      </c>
    </row>
    <row r="509" spans="1:31" x14ac:dyDescent="0.25">
      <c r="A509" t="s">
        <v>31</v>
      </c>
      <c r="C509" t="s">
        <v>3849</v>
      </c>
      <c r="D509" t="s">
        <v>4625</v>
      </c>
      <c r="E509" t="s">
        <v>34</v>
      </c>
      <c r="F509" t="s">
        <v>66</v>
      </c>
      <c r="G509">
        <v>2006</v>
      </c>
      <c r="H509" t="s">
        <v>36</v>
      </c>
      <c r="I509" t="s">
        <v>4626</v>
      </c>
      <c r="J509" t="s">
        <v>31</v>
      </c>
      <c r="K509" t="s">
        <v>38</v>
      </c>
      <c r="L509" t="s">
        <v>326</v>
      </c>
      <c r="M509" t="s">
        <v>327</v>
      </c>
      <c r="N509" t="s">
        <v>328</v>
      </c>
      <c r="O509" t="s">
        <v>596</v>
      </c>
      <c r="P509" t="s">
        <v>602</v>
      </c>
      <c r="T509">
        <v>33.274864465</v>
      </c>
      <c r="U509">
        <v>-111.886544476</v>
      </c>
      <c r="V509">
        <f>SUM(W509:X509)+(Y509*0.8)+(Z509*0.4)</f>
        <v>54</v>
      </c>
      <c r="W509">
        <v>54</v>
      </c>
      <c r="X509">
        <v>0</v>
      </c>
      <c r="Y509">
        <v>0</v>
      </c>
      <c r="Z509">
        <v>0</v>
      </c>
      <c r="AA509" t="s">
        <v>43</v>
      </c>
      <c r="AB509">
        <v>52.69</v>
      </c>
      <c r="AD509" t="s">
        <v>4627</v>
      </c>
      <c r="AE509" t="s">
        <v>4628</v>
      </c>
    </row>
    <row r="510" spans="1:31" x14ac:dyDescent="0.25">
      <c r="A510" t="s">
        <v>31</v>
      </c>
      <c r="C510" t="s">
        <v>10798</v>
      </c>
      <c r="D510" t="s">
        <v>10799</v>
      </c>
      <c r="E510" t="s">
        <v>34</v>
      </c>
      <c r="F510" t="s">
        <v>66</v>
      </c>
      <c r="H510" t="s">
        <v>36</v>
      </c>
      <c r="I510" t="s">
        <v>10800</v>
      </c>
      <c r="J510" t="s">
        <v>31</v>
      </c>
      <c r="K510" t="s">
        <v>38</v>
      </c>
      <c r="L510" t="s">
        <v>123</v>
      </c>
      <c r="M510" t="s">
        <v>124</v>
      </c>
      <c r="N510" t="s">
        <v>365</v>
      </c>
      <c r="O510" t="s">
        <v>366</v>
      </c>
      <c r="P510" t="s">
        <v>10801</v>
      </c>
      <c r="T510">
        <v>43.085926309000001</v>
      </c>
      <c r="U510">
        <v>-79.051457650000003</v>
      </c>
      <c r="V510">
        <f>SUM(W510:X510)+(Y510*0.8)+(Z510*0.4)</f>
        <v>54</v>
      </c>
      <c r="W510">
        <v>0</v>
      </c>
      <c r="X510">
        <v>0</v>
      </c>
      <c r="Y510">
        <v>0</v>
      </c>
      <c r="Z510">
        <v>135</v>
      </c>
      <c r="AA510" t="s">
        <v>43</v>
      </c>
      <c r="AB510">
        <v>0</v>
      </c>
      <c r="AD510" t="s">
        <v>10802</v>
      </c>
      <c r="AE510" t="s">
        <v>10803</v>
      </c>
    </row>
    <row r="511" spans="1:31" x14ac:dyDescent="0.25">
      <c r="A511" t="s">
        <v>31</v>
      </c>
      <c r="C511" t="s">
        <v>9601</v>
      </c>
      <c r="D511" t="s">
        <v>9602</v>
      </c>
      <c r="E511" t="s">
        <v>34</v>
      </c>
      <c r="F511" t="s">
        <v>66</v>
      </c>
      <c r="H511" t="s">
        <v>36</v>
      </c>
      <c r="I511" t="s">
        <v>9603</v>
      </c>
      <c r="J511" t="s">
        <v>31</v>
      </c>
      <c r="K511" t="s">
        <v>38</v>
      </c>
      <c r="L511" t="s">
        <v>242</v>
      </c>
      <c r="M511" t="s">
        <v>243</v>
      </c>
      <c r="N511" t="s">
        <v>806</v>
      </c>
      <c r="O511" t="s">
        <v>8929</v>
      </c>
      <c r="P511" t="s">
        <v>2979</v>
      </c>
      <c r="Q511" t="s">
        <v>2980</v>
      </c>
      <c r="T511">
        <v>38.545580244</v>
      </c>
      <c r="U511">
        <v>-77.789805983999997</v>
      </c>
      <c r="V511">
        <f>SUM(W511:X511)+(Y511*0.8)+(Z511*0.4)</f>
        <v>54</v>
      </c>
      <c r="W511">
        <v>0</v>
      </c>
      <c r="X511">
        <v>0</v>
      </c>
      <c r="Y511">
        <v>0</v>
      </c>
      <c r="Z511">
        <v>135</v>
      </c>
      <c r="AA511" t="s">
        <v>43</v>
      </c>
      <c r="AB511">
        <v>0</v>
      </c>
      <c r="AD511" t="s">
        <v>9604</v>
      </c>
      <c r="AE511" t="s">
        <v>9605</v>
      </c>
    </row>
    <row r="512" spans="1:31" x14ac:dyDescent="0.25">
      <c r="A512" t="s">
        <v>31</v>
      </c>
      <c r="B512" t="s">
        <v>11350</v>
      </c>
      <c r="C512" t="s">
        <v>647</v>
      </c>
      <c r="D512" t="s">
        <v>1194</v>
      </c>
      <c r="E512" t="s">
        <v>362</v>
      </c>
      <c r="F512" t="s">
        <v>649</v>
      </c>
      <c r="H512" t="s">
        <v>36</v>
      </c>
      <c r="I512" t="s">
        <v>1195</v>
      </c>
      <c r="J512" t="s">
        <v>31</v>
      </c>
      <c r="K512" t="s">
        <v>38</v>
      </c>
      <c r="L512" t="s">
        <v>242</v>
      </c>
      <c r="M512" t="s">
        <v>243</v>
      </c>
      <c r="N512" t="s">
        <v>413</v>
      </c>
      <c r="O512" t="s">
        <v>1196</v>
      </c>
      <c r="P512" t="s">
        <v>1197</v>
      </c>
      <c r="T512">
        <v>38.410713110000003</v>
      </c>
      <c r="U512">
        <v>-77.406713582999998</v>
      </c>
      <c r="V512">
        <f>SUM(W512:X512)+(Y512*0.8)+(Z512*0.4)</f>
        <v>54</v>
      </c>
      <c r="W512">
        <v>0</v>
      </c>
      <c r="X512">
        <v>30</v>
      </c>
      <c r="Y512">
        <v>30</v>
      </c>
      <c r="Z512">
        <v>0</v>
      </c>
      <c r="AA512" t="s">
        <v>43</v>
      </c>
      <c r="AB512">
        <v>60</v>
      </c>
      <c r="AD512" t="s">
        <v>1198</v>
      </c>
      <c r="AE512" t="s">
        <v>1199</v>
      </c>
    </row>
    <row r="513" spans="1:31" x14ac:dyDescent="0.25">
      <c r="A513" t="s">
        <v>31</v>
      </c>
      <c r="C513" t="s">
        <v>3710</v>
      </c>
      <c r="D513" t="s">
        <v>3937</v>
      </c>
      <c r="E513" t="s">
        <v>34</v>
      </c>
      <c r="F513" t="s">
        <v>66</v>
      </c>
      <c r="G513">
        <v>2017</v>
      </c>
      <c r="H513" t="s">
        <v>36</v>
      </c>
      <c r="I513" t="s">
        <v>3938</v>
      </c>
      <c r="J513" t="s">
        <v>31</v>
      </c>
      <c r="K513" t="s">
        <v>38</v>
      </c>
      <c r="L513" t="s">
        <v>68</v>
      </c>
      <c r="M513" t="s">
        <v>69</v>
      </c>
      <c r="N513" t="s">
        <v>547</v>
      </c>
      <c r="O513" t="s">
        <v>548</v>
      </c>
      <c r="P513" t="s">
        <v>3939</v>
      </c>
      <c r="S513" t="s">
        <v>3940</v>
      </c>
      <c r="T513">
        <v>33.087660628999998</v>
      </c>
      <c r="U513">
        <v>-96.815282570999997</v>
      </c>
      <c r="V513">
        <f>SUM(W513:X513)+(Y513*0.8)+(Z513*0.4)</f>
        <v>53.996000000000002</v>
      </c>
      <c r="W513">
        <v>13.5</v>
      </c>
      <c r="X513">
        <v>40.496000000000002</v>
      </c>
      <c r="Y513">
        <v>0</v>
      </c>
      <c r="Z513">
        <v>0</v>
      </c>
      <c r="AA513" t="s">
        <v>43</v>
      </c>
      <c r="AB513">
        <v>33.4</v>
      </c>
      <c r="AD513" t="s">
        <v>3941</v>
      </c>
      <c r="AE513" t="s">
        <v>3942</v>
      </c>
    </row>
    <row r="514" spans="1:31" x14ac:dyDescent="0.25">
      <c r="A514" t="s">
        <v>31</v>
      </c>
      <c r="C514" t="s">
        <v>6970</v>
      </c>
      <c r="D514" t="s">
        <v>6993</v>
      </c>
      <c r="E514" t="s">
        <v>34</v>
      </c>
      <c r="F514" t="s">
        <v>43</v>
      </c>
      <c r="H514" t="s">
        <v>36</v>
      </c>
      <c r="I514" t="s">
        <v>6994</v>
      </c>
      <c r="J514" t="s">
        <v>31</v>
      </c>
      <c r="K514" t="s">
        <v>38</v>
      </c>
      <c r="L514" t="s">
        <v>242</v>
      </c>
      <c r="M514" t="s">
        <v>243</v>
      </c>
      <c r="N514" t="s">
        <v>509</v>
      </c>
      <c r="O514" t="s">
        <v>6917</v>
      </c>
      <c r="P514" t="s">
        <v>686</v>
      </c>
      <c r="Q514" t="s">
        <v>6995</v>
      </c>
      <c r="T514">
        <v>38.770957029000002</v>
      </c>
      <c r="U514">
        <v>-77.589376673999993</v>
      </c>
      <c r="V514">
        <f>SUM(W514:X514)+(Y514*0.8)+(Z514*0.4)</f>
        <v>53.6</v>
      </c>
      <c r="W514">
        <v>0</v>
      </c>
      <c r="X514">
        <v>0</v>
      </c>
      <c r="Y514">
        <v>0</v>
      </c>
      <c r="Z514">
        <v>134</v>
      </c>
      <c r="AA514" t="s">
        <v>43</v>
      </c>
      <c r="AB514">
        <v>0</v>
      </c>
      <c r="AD514" t="s">
        <v>6996</v>
      </c>
      <c r="AE514" t="s">
        <v>6997</v>
      </c>
    </row>
    <row r="515" spans="1:31" x14ac:dyDescent="0.25">
      <c r="A515" t="s">
        <v>31</v>
      </c>
      <c r="C515" t="s">
        <v>4035</v>
      </c>
      <c r="D515" t="s">
        <v>4058</v>
      </c>
      <c r="E515" t="s">
        <v>34</v>
      </c>
      <c r="F515" t="s">
        <v>35</v>
      </c>
      <c r="G515">
        <v>2019</v>
      </c>
      <c r="H515" t="s">
        <v>36</v>
      </c>
      <c r="I515" t="s">
        <v>4059</v>
      </c>
      <c r="J515" t="s">
        <v>31</v>
      </c>
      <c r="K515" t="s">
        <v>38</v>
      </c>
      <c r="L515" t="s">
        <v>1883</v>
      </c>
      <c r="M515" t="s">
        <v>1884</v>
      </c>
      <c r="N515" t="s">
        <v>1885</v>
      </c>
      <c r="O515" t="s">
        <v>1886</v>
      </c>
      <c r="P515" t="s">
        <v>4060</v>
      </c>
      <c r="T515">
        <v>33.500497000000003</v>
      </c>
      <c r="U515">
        <v>-86.821038999999999</v>
      </c>
      <c r="V515">
        <f>SUM(W515:X515)+(Y515*0.8)+(Z515*0.4)</f>
        <v>53.32</v>
      </c>
      <c r="W515">
        <v>7.4</v>
      </c>
      <c r="X515">
        <v>0</v>
      </c>
      <c r="Y515">
        <v>57.4</v>
      </c>
      <c r="Z515">
        <v>0</v>
      </c>
      <c r="AA515" t="s">
        <v>43</v>
      </c>
      <c r="AB515">
        <v>3.6</v>
      </c>
      <c r="AD515" t="s">
        <v>4061</v>
      </c>
      <c r="AE515" t="s">
        <v>4062</v>
      </c>
    </row>
    <row r="516" spans="1:31" x14ac:dyDescent="0.25">
      <c r="A516" t="s">
        <v>31</v>
      </c>
      <c r="C516" t="s">
        <v>3849</v>
      </c>
      <c r="D516" t="s">
        <v>4281</v>
      </c>
      <c r="E516" t="s">
        <v>34</v>
      </c>
      <c r="F516" t="s">
        <v>35</v>
      </c>
      <c r="H516" t="s">
        <v>36</v>
      </c>
      <c r="I516" t="s">
        <v>4282</v>
      </c>
      <c r="J516" t="s">
        <v>31</v>
      </c>
      <c r="K516" t="s">
        <v>38</v>
      </c>
      <c r="L516" t="s">
        <v>86</v>
      </c>
      <c r="M516" t="s">
        <v>87</v>
      </c>
      <c r="N516" t="s">
        <v>88</v>
      </c>
      <c r="O516" t="s">
        <v>4283</v>
      </c>
      <c r="P516" t="s">
        <v>4284</v>
      </c>
      <c r="Q516" t="s">
        <v>579</v>
      </c>
      <c r="T516">
        <v>41.924867077000002</v>
      </c>
      <c r="U516">
        <v>-87.861378494999997</v>
      </c>
      <c r="V516">
        <f>SUM(W516:X516)+(Y516*0.8)+(Z516*0.4)</f>
        <v>52.88</v>
      </c>
      <c r="W516">
        <v>0</v>
      </c>
      <c r="X516">
        <v>52.88</v>
      </c>
      <c r="Y516">
        <v>0</v>
      </c>
      <c r="Z516">
        <v>0</v>
      </c>
      <c r="AA516" t="s">
        <v>43</v>
      </c>
      <c r="AB516">
        <v>0</v>
      </c>
      <c r="AD516" t="s">
        <v>4285</v>
      </c>
      <c r="AE516" t="s">
        <v>4286</v>
      </c>
    </row>
    <row r="517" spans="1:31" x14ac:dyDescent="0.25">
      <c r="A517" t="s">
        <v>31</v>
      </c>
      <c r="C517" t="s">
        <v>9852</v>
      </c>
      <c r="D517" t="s">
        <v>5192</v>
      </c>
      <c r="E517" t="s">
        <v>34</v>
      </c>
      <c r="F517" t="s">
        <v>66</v>
      </c>
      <c r="H517" t="s">
        <v>36</v>
      </c>
      <c r="I517" t="s">
        <v>9853</v>
      </c>
      <c r="J517" t="s">
        <v>31</v>
      </c>
      <c r="K517" t="s">
        <v>38</v>
      </c>
      <c r="L517" t="s">
        <v>185</v>
      </c>
      <c r="M517" t="s">
        <v>186</v>
      </c>
      <c r="N517" t="s">
        <v>4804</v>
      </c>
      <c r="O517" t="s">
        <v>5192</v>
      </c>
      <c r="P517" t="s">
        <v>6511</v>
      </c>
      <c r="T517">
        <v>33.390503117000002</v>
      </c>
      <c r="U517">
        <v>-84.259801542000005</v>
      </c>
      <c r="V517">
        <f>SUM(W517:X517)+(Y517*0.8)+(Z517*0.4)</f>
        <v>52.800000000000004</v>
      </c>
      <c r="W517">
        <v>0</v>
      </c>
      <c r="X517">
        <v>0</v>
      </c>
      <c r="Y517">
        <v>66</v>
      </c>
      <c r="Z517">
        <v>0</v>
      </c>
      <c r="AA517" t="s">
        <v>43</v>
      </c>
      <c r="AB517">
        <v>0</v>
      </c>
      <c r="AD517" t="s">
        <v>9854</v>
      </c>
      <c r="AE517" t="s">
        <v>9855</v>
      </c>
    </row>
    <row r="518" spans="1:31" x14ac:dyDescent="0.25">
      <c r="A518" t="s">
        <v>31</v>
      </c>
      <c r="C518" t="s">
        <v>9886</v>
      </c>
      <c r="D518" t="s">
        <v>9896</v>
      </c>
      <c r="E518" t="s">
        <v>34</v>
      </c>
      <c r="F518" t="s">
        <v>66</v>
      </c>
      <c r="G518">
        <v>2020</v>
      </c>
      <c r="H518" t="s">
        <v>36</v>
      </c>
      <c r="I518" t="s">
        <v>9897</v>
      </c>
      <c r="J518" t="s">
        <v>31</v>
      </c>
      <c r="K518" t="s">
        <v>38</v>
      </c>
      <c r="L518" t="s">
        <v>86</v>
      </c>
      <c r="M518" t="s">
        <v>87</v>
      </c>
      <c r="N518" t="s">
        <v>88</v>
      </c>
      <c r="O518" t="s">
        <v>554</v>
      </c>
      <c r="P518" t="s">
        <v>2216</v>
      </c>
      <c r="T518">
        <v>42.006841356000002</v>
      </c>
      <c r="U518">
        <v>-87.966344469000006</v>
      </c>
      <c r="V518">
        <f>SUM(W518:X518)+(Y518*0.8)+(Z518*0.4)</f>
        <v>52.8</v>
      </c>
      <c r="W518">
        <v>24</v>
      </c>
      <c r="X518">
        <v>0</v>
      </c>
      <c r="Y518">
        <v>36</v>
      </c>
      <c r="Z518">
        <v>0</v>
      </c>
      <c r="AA518" t="s">
        <v>43</v>
      </c>
      <c r="AB518">
        <v>24</v>
      </c>
      <c r="AC518">
        <v>1.3</v>
      </c>
      <c r="AD518" t="s">
        <v>9898</v>
      </c>
      <c r="AE518" t="s">
        <v>9899</v>
      </c>
    </row>
    <row r="519" spans="1:31" x14ac:dyDescent="0.25">
      <c r="A519" t="s">
        <v>31</v>
      </c>
      <c r="C519" t="s">
        <v>1925</v>
      </c>
      <c r="D519" t="s">
        <v>1931</v>
      </c>
      <c r="E519" t="s">
        <v>34</v>
      </c>
      <c r="F519" t="s">
        <v>76</v>
      </c>
      <c r="G519">
        <v>2025</v>
      </c>
      <c r="H519" t="s">
        <v>36</v>
      </c>
      <c r="I519" t="s">
        <v>1932</v>
      </c>
      <c r="J519" t="s">
        <v>31</v>
      </c>
      <c r="K519" t="s">
        <v>38</v>
      </c>
      <c r="L519" t="s">
        <v>68</v>
      </c>
      <c r="M519" t="s">
        <v>69</v>
      </c>
      <c r="N519" t="s">
        <v>956</v>
      </c>
      <c r="O519" t="s">
        <v>1931</v>
      </c>
      <c r="P519" t="s">
        <v>1933</v>
      </c>
      <c r="T519">
        <v>30.567468904999998</v>
      </c>
      <c r="U519">
        <v>-97.387687733999996</v>
      </c>
      <c r="V519">
        <f>SUM(W519:X519)+(Y519*0.8)+(Z519*0.4)</f>
        <v>52</v>
      </c>
      <c r="W519">
        <v>0</v>
      </c>
      <c r="X519">
        <v>20</v>
      </c>
      <c r="Y519">
        <v>40</v>
      </c>
      <c r="Z519">
        <v>0</v>
      </c>
      <c r="AA519" t="s">
        <v>43</v>
      </c>
      <c r="AB519">
        <v>60</v>
      </c>
      <c r="AD519" t="s">
        <v>1934</v>
      </c>
      <c r="AE519" t="s">
        <v>1935</v>
      </c>
    </row>
    <row r="520" spans="1:31" x14ac:dyDescent="0.25">
      <c r="A520" t="s">
        <v>31</v>
      </c>
      <c r="C520" t="s">
        <v>333</v>
      </c>
      <c r="D520" t="s">
        <v>334</v>
      </c>
      <c r="E520" t="s">
        <v>34</v>
      </c>
      <c r="F520" t="s">
        <v>66</v>
      </c>
      <c r="G520">
        <v>2025</v>
      </c>
      <c r="H520" t="s">
        <v>36</v>
      </c>
      <c r="I520" t="s">
        <v>335</v>
      </c>
      <c r="J520" t="s">
        <v>31</v>
      </c>
      <c r="K520" t="s">
        <v>38</v>
      </c>
      <c r="L520" t="s">
        <v>260</v>
      </c>
      <c r="M520" t="s">
        <v>261</v>
      </c>
      <c r="N520" t="s">
        <v>336</v>
      </c>
      <c r="O520" t="s">
        <v>337</v>
      </c>
      <c r="P520" t="s">
        <v>338</v>
      </c>
      <c r="S520" t="s">
        <v>339</v>
      </c>
      <c r="T520">
        <v>35.030967111999999</v>
      </c>
      <c r="U520">
        <v>-89.935498117999998</v>
      </c>
      <c r="V520">
        <f>SUM(W520:X520)+(Y520*0.8)+(Z520*0.4)</f>
        <v>52</v>
      </c>
      <c r="W520">
        <v>0</v>
      </c>
      <c r="X520">
        <v>20</v>
      </c>
      <c r="Y520">
        <v>40</v>
      </c>
      <c r="Z520">
        <v>0</v>
      </c>
      <c r="AA520" t="s">
        <v>43</v>
      </c>
      <c r="AB520">
        <v>0</v>
      </c>
      <c r="AD520" t="s">
        <v>340</v>
      </c>
      <c r="AE520" t="s">
        <v>341</v>
      </c>
    </row>
    <row r="521" spans="1:31" x14ac:dyDescent="0.25">
      <c r="A521" t="s">
        <v>31</v>
      </c>
      <c r="C521" t="s">
        <v>7060</v>
      </c>
      <c r="D521" t="s">
        <v>7061</v>
      </c>
      <c r="E521" t="s">
        <v>34</v>
      </c>
      <c r="F521" t="s">
        <v>43</v>
      </c>
      <c r="H521" t="s">
        <v>36</v>
      </c>
      <c r="I521" t="s">
        <v>7062</v>
      </c>
      <c r="J521" t="s">
        <v>31</v>
      </c>
      <c r="K521" t="s">
        <v>38</v>
      </c>
      <c r="L521" t="s">
        <v>242</v>
      </c>
      <c r="M521" t="s">
        <v>243</v>
      </c>
      <c r="N521" t="s">
        <v>405</v>
      </c>
      <c r="O521" t="s">
        <v>516</v>
      </c>
      <c r="P521" t="s">
        <v>517</v>
      </c>
      <c r="T521">
        <v>39.026418108000001</v>
      </c>
      <c r="U521">
        <v>-77.445177869999995</v>
      </c>
      <c r="V521">
        <f>SUM(W521:X521)+(Y521*0.8)+(Z521*0.4)</f>
        <v>52</v>
      </c>
      <c r="W521">
        <v>0</v>
      </c>
      <c r="X521">
        <v>0</v>
      </c>
      <c r="Y521">
        <v>0</v>
      </c>
      <c r="Z521">
        <v>130</v>
      </c>
      <c r="AA521" t="s">
        <v>43</v>
      </c>
      <c r="AB521">
        <v>0</v>
      </c>
      <c r="AD521" t="s">
        <v>7063</v>
      </c>
      <c r="AE521" t="s">
        <v>7064</v>
      </c>
    </row>
    <row r="522" spans="1:31" x14ac:dyDescent="0.25">
      <c r="A522" t="s">
        <v>31</v>
      </c>
      <c r="C522" t="s">
        <v>3849</v>
      </c>
      <c r="D522" t="s">
        <v>4522</v>
      </c>
      <c r="E522" t="s">
        <v>34</v>
      </c>
      <c r="F522" t="s">
        <v>76</v>
      </c>
      <c r="G522">
        <v>2024</v>
      </c>
      <c r="H522" t="s">
        <v>36</v>
      </c>
      <c r="I522" t="s">
        <v>4523</v>
      </c>
      <c r="J522" t="s">
        <v>31</v>
      </c>
      <c r="K522" t="s">
        <v>38</v>
      </c>
      <c r="L522" t="s">
        <v>242</v>
      </c>
      <c r="M522" t="s">
        <v>243</v>
      </c>
      <c r="N522" t="s">
        <v>405</v>
      </c>
      <c r="O522" t="s">
        <v>526</v>
      </c>
      <c r="P522" t="s">
        <v>527</v>
      </c>
      <c r="T522">
        <v>38.989701242999999</v>
      </c>
      <c r="U522">
        <v>-77.434795174000001</v>
      </c>
      <c r="V522">
        <f>SUM(W522:X522)+(Y522*0.8)+(Z522*0.4)</f>
        <v>51</v>
      </c>
      <c r="W522">
        <v>51</v>
      </c>
      <c r="X522">
        <v>0</v>
      </c>
      <c r="Y522">
        <v>0</v>
      </c>
      <c r="Z522">
        <v>0</v>
      </c>
      <c r="AA522" t="s">
        <v>43</v>
      </c>
      <c r="AB522">
        <v>51</v>
      </c>
      <c r="AD522" t="s">
        <v>4524</v>
      </c>
      <c r="AE522" t="s">
        <v>4525</v>
      </c>
    </row>
    <row r="523" spans="1:31" x14ac:dyDescent="0.25">
      <c r="A523" t="s">
        <v>31</v>
      </c>
      <c r="C523" t="s">
        <v>3312</v>
      </c>
      <c r="D523" t="s">
        <v>3332</v>
      </c>
      <c r="E523" t="s">
        <v>34</v>
      </c>
      <c r="F523" t="s">
        <v>66</v>
      </c>
      <c r="G523">
        <v>2019</v>
      </c>
      <c r="H523" t="s">
        <v>36</v>
      </c>
      <c r="I523" t="s">
        <v>3333</v>
      </c>
      <c r="J523" t="s">
        <v>31</v>
      </c>
      <c r="K523" t="s">
        <v>38</v>
      </c>
      <c r="L523" t="s">
        <v>86</v>
      </c>
      <c r="M523" t="s">
        <v>87</v>
      </c>
      <c r="N523" t="s">
        <v>1805</v>
      </c>
      <c r="O523" t="s">
        <v>196</v>
      </c>
      <c r="P523" t="s">
        <v>3328</v>
      </c>
      <c r="Q523" t="s">
        <v>3329</v>
      </c>
      <c r="T523">
        <v>41.796854693999997</v>
      </c>
      <c r="U523">
        <v>-88.244580162999995</v>
      </c>
      <c r="V523">
        <f>SUM(W523:X523)+(Y523*0.8)+(Z523*0.4)</f>
        <v>50.4</v>
      </c>
      <c r="W523">
        <v>50.4</v>
      </c>
      <c r="X523">
        <v>0</v>
      </c>
      <c r="Y523">
        <v>0</v>
      </c>
      <c r="Z523">
        <v>0</v>
      </c>
      <c r="AA523" t="s">
        <v>43</v>
      </c>
      <c r="AB523">
        <v>50.4</v>
      </c>
      <c r="AD523" t="s">
        <v>3334</v>
      </c>
      <c r="AE523" t="s">
        <v>3335</v>
      </c>
    </row>
    <row r="524" spans="1:31" x14ac:dyDescent="0.25">
      <c r="A524" t="s">
        <v>31</v>
      </c>
      <c r="C524" t="s">
        <v>9784</v>
      </c>
      <c r="D524" t="s">
        <v>9792</v>
      </c>
      <c r="E524" t="s">
        <v>34</v>
      </c>
      <c r="F524" t="s">
        <v>66</v>
      </c>
      <c r="G524">
        <v>2027</v>
      </c>
      <c r="H524" t="s">
        <v>36</v>
      </c>
      <c r="I524" t="s">
        <v>9793</v>
      </c>
      <c r="J524" t="s">
        <v>31</v>
      </c>
      <c r="K524" t="s">
        <v>38</v>
      </c>
      <c r="L524" t="s">
        <v>68</v>
      </c>
      <c r="M524" t="s">
        <v>69</v>
      </c>
      <c r="N524" t="s">
        <v>547</v>
      </c>
      <c r="O524" t="s">
        <v>548</v>
      </c>
      <c r="P524" t="s">
        <v>3939</v>
      </c>
      <c r="T524">
        <v>33.068660039000001</v>
      </c>
      <c r="U524">
        <v>-96.835092208999995</v>
      </c>
      <c r="V524">
        <f>SUM(W524:X524)+(Y524*0.8)+(Z524*0.4)</f>
        <v>50</v>
      </c>
      <c r="W524">
        <v>0</v>
      </c>
      <c r="X524">
        <v>0</v>
      </c>
      <c r="Y524">
        <v>0</v>
      </c>
      <c r="Z524">
        <v>125</v>
      </c>
      <c r="AA524" t="s">
        <v>43</v>
      </c>
      <c r="AB524">
        <v>0</v>
      </c>
      <c r="AC524">
        <v>1.3</v>
      </c>
      <c r="AD524" t="s">
        <v>9794</v>
      </c>
      <c r="AE524" t="s">
        <v>9795</v>
      </c>
    </row>
    <row r="525" spans="1:31" x14ac:dyDescent="0.25">
      <c r="A525" t="s">
        <v>31</v>
      </c>
      <c r="C525" t="s">
        <v>10102</v>
      </c>
      <c r="D525" t="s">
        <v>10174</v>
      </c>
      <c r="E525" t="s">
        <v>34</v>
      </c>
      <c r="F525" t="s">
        <v>66</v>
      </c>
      <c r="G525">
        <v>2025</v>
      </c>
      <c r="H525" t="s">
        <v>36</v>
      </c>
      <c r="I525" t="s">
        <v>10175</v>
      </c>
      <c r="J525" t="s">
        <v>31</v>
      </c>
      <c r="K525" t="s">
        <v>38</v>
      </c>
      <c r="L525" t="s">
        <v>49</v>
      </c>
      <c r="M525" t="s">
        <v>50</v>
      </c>
      <c r="N525" t="s">
        <v>59</v>
      </c>
      <c r="O525" t="s">
        <v>10176</v>
      </c>
      <c r="Q525" t="s">
        <v>10176</v>
      </c>
      <c r="T525">
        <v>42.852174875999999</v>
      </c>
      <c r="U525">
        <v>-85.563441018000006</v>
      </c>
      <c r="V525">
        <f>SUM(W525:X525)+(Y525*0.8)+(Z525*0.4)</f>
        <v>50</v>
      </c>
      <c r="W525">
        <v>0</v>
      </c>
      <c r="X525">
        <v>50</v>
      </c>
      <c r="Y525">
        <v>0</v>
      </c>
      <c r="Z525">
        <v>0</v>
      </c>
      <c r="AA525" t="s">
        <v>43</v>
      </c>
      <c r="AB525">
        <v>0</v>
      </c>
      <c r="AD525" t="s">
        <v>10177</v>
      </c>
      <c r="AE525" t="s">
        <v>10178</v>
      </c>
    </row>
    <row r="526" spans="1:31" x14ac:dyDescent="0.25">
      <c r="A526" t="s">
        <v>31</v>
      </c>
      <c r="C526" t="s">
        <v>10319</v>
      </c>
      <c r="D526" t="s">
        <v>10340</v>
      </c>
      <c r="E526" t="s">
        <v>362</v>
      </c>
      <c r="F526" t="s">
        <v>372</v>
      </c>
      <c r="G526">
        <v>2023</v>
      </c>
      <c r="H526" t="s">
        <v>36</v>
      </c>
      <c r="I526" t="s">
        <v>10341</v>
      </c>
      <c r="T526">
        <v>41.083066113000001</v>
      </c>
      <c r="U526">
        <v>-76.152332338999997</v>
      </c>
      <c r="V526">
        <f>SUM(W526:X526)+(Y526*0.8)+(Z526*0.4)</f>
        <v>50</v>
      </c>
      <c r="W526">
        <v>50</v>
      </c>
      <c r="X526">
        <v>0</v>
      </c>
      <c r="Y526">
        <v>0</v>
      </c>
      <c r="Z526">
        <v>0</v>
      </c>
      <c r="AA526" t="s">
        <v>43</v>
      </c>
      <c r="AB526">
        <v>50</v>
      </c>
      <c r="AD526" t="s">
        <v>10342</v>
      </c>
      <c r="AE526" t="s">
        <v>10343</v>
      </c>
    </row>
    <row r="527" spans="1:31" x14ac:dyDescent="0.25">
      <c r="A527" t="s">
        <v>31</v>
      </c>
      <c r="B527" t="s">
        <v>11350</v>
      </c>
      <c r="C527" t="s">
        <v>1430</v>
      </c>
      <c r="D527" t="s">
        <v>1445</v>
      </c>
      <c r="E527" t="s">
        <v>362</v>
      </c>
      <c r="F527" t="s">
        <v>1302</v>
      </c>
      <c r="G527">
        <v>2017</v>
      </c>
      <c r="H527" t="s">
        <v>36</v>
      </c>
      <c r="I527" t="s">
        <v>1446</v>
      </c>
      <c r="J527" t="s">
        <v>31</v>
      </c>
      <c r="K527" t="s">
        <v>38</v>
      </c>
      <c r="L527" t="s">
        <v>326</v>
      </c>
      <c r="M527" t="s">
        <v>327</v>
      </c>
      <c r="N527" t="s">
        <v>328</v>
      </c>
      <c r="O527" t="s">
        <v>1160</v>
      </c>
      <c r="P527" t="s">
        <v>1165</v>
      </c>
      <c r="T527">
        <v>33.346797402999997</v>
      </c>
      <c r="U527">
        <v>-111.603529349</v>
      </c>
      <c r="V527">
        <f>SUM(W527:X527)+(Y527*0.8)+(Z527*0.4)</f>
        <v>50</v>
      </c>
      <c r="W527">
        <v>50</v>
      </c>
      <c r="X527">
        <v>0</v>
      </c>
      <c r="Y527">
        <v>0</v>
      </c>
      <c r="Z527">
        <v>0</v>
      </c>
      <c r="AA527" t="s">
        <v>43</v>
      </c>
      <c r="AB527">
        <v>50</v>
      </c>
      <c r="AD527" t="s">
        <v>1447</v>
      </c>
      <c r="AE527" t="s">
        <v>1448</v>
      </c>
    </row>
    <row r="528" spans="1:31" x14ac:dyDescent="0.25">
      <c r="A528" t="s">
        <v>31</v>
      </c>
      <c r="C528" t="s">
        <v>506</v>
      </c>
      <c r="D528" t="s">
        <v>545</v>
      </c>
      <c r="E528" t="s">
        <v>34</v>
      </c>
      <c r="F528" t="s">
        <v>35</v>
      </c>
      <c r="G528">
        <v>2016</v>
      </c>
      <c r="H528" t="s">
        <v>36</v>
      </c>
      <c r="I528" t="s">
        <v>546</v>
      </c>
      <c r="J528" t="s">
        <v>31</v>
      </c>
      <c r="K528" t="s">
        <v>38</v>
      </c>
      <c r="L528" t="s">
        <v>68</v>
      </c>
      <c r="M528" t="s">
        <v>69</v>
      </c>
      <c r="N528" t="s">
        <v>547</v>
      </c>
      <c r="O528" t="s">
        <v>548</v>
      </c>
      <c r="P528" t="s">
        <v>549</v>
      </c>
      <c r="T528">
        <v>33.009528115999998</v>
      </c>
      <c r="U528">
        <v>-96.676406474999993</v>
      </c>
      <c r="V528">
        <f>SUM(W528:X528)+(Y528*0.8)+(Z528*0.4)</f>
        <v>50</v>
      </c>
      <c r="W528">
        <v>50</v>
      </c>
      <c r="X528">
        <v>0</v>
      </c>
      <c r="Y528">
        <v>0</v>
      </c>
      <c r="Z528">
        <v>0</v>
      </c>
      <c r="AA528" t="s">
        <v>43</v>
      </c>
      <c r="AB528">
        <v>50</v>
      </c>
      <c r="AC528">
        <v>1.1499999999999999</v>
      </c>
      <c r="AD528" t="s">
        <v>550</v>
      </c>
      <c r="AE528" t="s">
        <v>551</v>
      </c>
    </row>
    <row r="529" spans="1:31" x14ac:dyDescent="0.25">
      <c r="A529" t="s">
        <v>31</v>
      </c>
      <c r="C529" t="s">
        <v>10102</v>
      </c>
      <c r="D529" t="s">
        <v>10152</v>
      </c>
      <c r="E529" t="s">
        <v>34</v>
      </c>
      <c r="F529" t="s">
        <v>66</v>
      </c>
      <c r="G529">
        <v>2013</v>
      </c>
      <c r="H529" t="s">
        <v>36</v>
      </c>
      <c r="I529" t="s">
        <v>10153</v>
      </c>
      <c r="J529" t="s">
        <v>31</v>
      </c>
      <c r="K529" t="s">
        <v>38</v>
      </c>
      <c r="L529" t="s">
        <v>1457</v>
      </c>
      <c r="M529" t="s">
        <v>1458</v>
      </c>
      <c r="N529" t="s">
        <v>319</v>
      </c>
      <c r="O529" t="s">
        <v>10113</v>
      </c>
      <c r="P529" t="s">
        <v>10114</v>
      </c>
      <c r="T529">
        <v>36.057922114</v>
      </c>
      <c r="U529">
        <v>-115.214249475</v>
      </c>
      <c r="V529">
        <f>SUM(W529:X529)+(Y529*0.8)+(Z529*0.4)</f>
        <v>50</v>
      </c>
      <c r="W529">
        <v>50</v>
      </c>
      <c r="X529">
        <v>0</v>
      </c>
      <c r="Y529">
        <v>0</v>
      </c>
      <c r="Z529">
        <v>0</v>
      </c>
      <c r="AA529" t="s">
        <v>43</v>
      </c>
      <c r="AB529">
        <v>50</v>
      </c>
      <c r="AD529" t="s">
        <v>10154</v>
      </c>
      <c r="AE529" t="s">
        <v>10155</v>
      </c>
    </row>
    <row r="530" spans="1:31" x14ac:dyDescent="0.25">
      <c r="A530" t="s">
        <v>31</v>
      </c>
      <c r="C530" t="s">
        <v>6832</v>
      </c>
      <c r="D530" t="s">
        <v>6870</v>
      </c>
      <c r="E530" t="s">
        <v>34</v>
      </c>
      <c r="F530" t="s">
        <v>66</v>
      </c>
      <c r="H530" t="s">
        <v>36</v>
      </c>
      <c r="I530" t="s">
        <v>6871</v>
      </c>
      <c r="J530" t="s">
        <v>31</v>
      </c>
      <c r="K530" t="s">
        <v>38</v>
      </c>
      <c r="L530" t="s">
        <v>242</v>
      </c>
      <c r="M530" t="s">
        <v>243</v>
      </c>
      <c r="N530" t="s">
        <v>509</v>
      </c>
      <c r="P530" t="s">
        <v>511</v>
      </c>
      <c r="Q530" t="s">
        <v>6872</v>
      </c>
      <c r="T530">
        <v>38.784907892</v>
      </c>
      <c r="U530">
        <v>-77.536578069000001</v>
      </c>
      <c r="V530">
        <f>SUM(W530:X530)+(Y530*0.8)+(Z530*0.4)</f>
        <v>50</v>
      </c>
      <c r="W530">
        <v>0</v>
      </c>
      <c r="X530">
        <v>0</v>
      </c>
      <c r="Y530">
        <v>0</v>
      </c>
      <c r="Z530">
        <v>125</v>
      </c>
      <c r="AA530" t="s">
        <v>43</v>
      </c>
      <c r="AB530">
        <v>0</v>
      </c>
      <c r="AD530" t="s">
        <v>6873</v>
      </c>
      <c r="AE530" t="s">
        <v>6874</v>
      </c>
    </row>
    <row r="531" spans="1:31" x14ac:dyDescent="0.25">
      <c r="A531" t="s">
        <v>31</v>
      </c>
      <c r="C531" t="s">
        <v>9546</v>
      </c>
      <c r="D531" t="s">
        <v>9555</v>
      </c>
      <c r="E531" t="s">
        <v>34</v>
      </c>
      <c r="F531" t="s">
        <v>43</v>
      </c>
      <c r="G531">
        <v>2002</v>
      </c>
      <c r="H531" t="s">
        <v>36</v>
      </c>
      <c r="I531" t="s">
        <v>9556</v>
      </c>
      <c r="J531" t="s">
        <v>31</v>
      </c>
      <c r="K531" t="s">
        <v>38</v>
      </c>
      <c r="L531" t="s">
        <v>843</v>
      </c>
      <c r="M531" t="s">
        <v>1644</v>
      </c>
      <c r="N531" t="s">
        <v>2232</v>
      </c>
      <c r="O531" t="s">
        <v>2233</v>
      </c>
      <c r="P531" t="s">
        <v>4938</v>
      </c>
      <c r="T531">
        <v>47.492924000000002</v>
      </c>
      <c r="U531">
        <v>-122.290066</v>
      </c>
      <c r="V531">
        <f>SUM(W531:X531)+(Y531*0.8)+(Z531*0.4)</f>
        <v>49.585000000000001</v>
      </c>
      <c r="W531">
        <v>30.125</v>
      </c>
      <c r="X531">
        <v>18</v>
      </c>
      <c r="Y531">
        <v>0</v>
      </c>
      <c r="Z531">
        <v>3.65</v>
      </c>
      <c r="AA531" t="s">
        <v>43</v>
      </c>
      <c r="AB531">
        <v>28.045000000000002</v>
      </c>
      <c r="AC531">
        <v>1.2</v>
      </c>
      <c r="AD531" t="s">
        <v>9557</v>
      </c>
      <c r="AE531" t="s">
        <v>9558</v>
      </c>
    </row>
    <row r="532" spans="1:31" x14ac:dyDescent="0.25">
      <c r="A532" t="s">
        <v>31</v>
      </c>
      <c r="C532" t="s">
        <v>10208</v>
      </c>
      <c r="D532" t="s">
        <v>10223</v>
      </c>
      <c r="E532" t="s">
        <v>34</v>
      </c>
      <c r="F532" t="s">
        <v>66</v>
      </c>
      <c r="G532">
        <v>2002</v>
      </c>
      <c r="H532" t="s">
        <v>36</v>
      </c>
      <c r="I532" t="s">
        <v>10224</v>
      </c>
      <c r="J532" t="s">
        <v>31</v>
      </c>
      <c r="K532" t="s">
        <v>38</v>
      </c>
      <c r="L532" t="s">
        <v>172</v>
      </c>
      <c r="M532" t="s">
        <v>173</v>
      </c>
      <c r="N532" t="s">
        <v>2596</v>
      </c>
      <c r="O532" t="s">
        <v>164</v>
      </c>
      <c r="P532" t="s">
        <v>10225</v>
      </c>
      <c r="T532">
        <v>37.510075999999998</v>
      </c>
      <c r="U532">
        <v>-122.00148299999999</v>
      </c>
      <c r="V532">
        <f>SUM(W532:X532)+(Y532*0.8)+(Z532*0.4)</f>
        <v>49.1</v>
      </c>
      <c r="W532">
        <v>17</v>
      </c>
      <c r="X532">
        <v>32.1</v>
      </c>
      <c r="Y532">
        <v>0</v>
      </c>
      <c r="Z532">
        <v>0</v>
      </c>
      <c r="AA532" t="s">
        <v>43</v>
      </c>
      <c r="AB532">
        <v>15.5</v>
      </c>
      <c r="AD532" t="s">
        <v>10226</v>
      </c>
      <c r="AE532" t="s">
        <v>10227</v>
      </c>
    </row>
    <row r="533" spans="1:31" x14ac:dyDescent="0.25">
      <c r="A533" t="s">
        <v>31</v>
      </c>
      <c r="C533" t="s">
        <v>3849</v>
      </c>
      <c r="D533" t="s">
        <v>4345</v>
      </c>
      <c r="E533" t="s">
        <v>34</v>
      </c>
      <c r="F533" t="s">
        <v>66</v>
      </c>
      <c r="G533">
        <v>2022</v>
      </c>
      <c r="H533" t="s">
        <v>36</v>
      </c>
      <c r="I533" t="s">
        <v>4346</v>
      </c>
      <c r="J533" t="s">
        <v>31</v>
      </c>
      <c r="K533" t="s">
        <v>38</v>
      </c>
      <c r="L533" t="s">
        <v>172</v>
      </c>
      <c r="M533" t="s">
        <v>173</v>
      </c>
      <c r="N533" t="s">
        <v>780</v>
      </c>
      <c r="O533" t="s">
        <v>781</v>
      </c>
      <c r="P533" t="s">
        <v>787</v>
      </c>
      <c r="S533" t="s">
        <v>788</v>
      </c>
      <c r="T533">
        <v>37.371067318999998</v>
      </c>
      <c r="U533">
        <v>-121.946957289</v>
      </c>
      <c r="V533">
        <f>SUM(W533:X533)+(Y533*0.8)+(Z533*0.4)</f>
        <v>48.8</v>
      </c>
      <c r="W533">
        <v>12</v>
      </c>
      <c r="X533">
        <v>24</v>
      </c>
      <c r="Y533">
        <v>16</v>
      </c>
      <c r="Z533">
        <v>0</v>
      </c>
      <c r="AA533" t="s">
        <v>43</v>
      </c>
      <c r="AB533">
        <v>4.3</v>
      </c>
      <c r="AD533" t="s">
        <v>4347</v>
      </c>
      <c r="AE533" t="s">
        <v>4348</v>
      </c>
    </row>
    <row r="534" spans="1:31" x14ac:dyDescent="0.25">
      <c r="A534" t="s">
        <v>31</v>
      </c>
      <c r="C534" t="s">
        <v>3312</v>
      </c>
      <c r="D534" t="s">
        <v>3326</v>
      </c>
      <c r="E534" t="s">
        <v>34</v>
      </c>
      <c r="F534" t="s">
        <v>35</v>
      </c>
      <c r="G534">
        <v>2010</v>
      </c>
      <c r="H534" t="s">
        <v>36</v>
      </c>
      <c r="I534" t="s">
        <v>3327</v>
      </c>
      <c r="J534" t="s">
        <v>31</v>
      </c>
      <c r="K534" t="s">
        <v>38</v>
      </c>
      <c r="L534" t="s">
        <v>86</v>
      </c>
      <c r="M534" t="s">
        <v>87</v>
      </c>
      <c r="N534" t="s">
        <v>1805</v>
      </c>
      <c r="O534" t="s">
        <v>196</v>
      </c>
      <c r="P534" t="s">
        <v>3328</v>
      </c>
      <c r="Q534" t="s">
        <v>3329</v>
      </c>
      <c r="T534">
        <v>41.796475000000001</v>
      </c>
      <c r="U534">
        <v>-88.242964000000001</v>
      </c>
      <c r="V534">
        <f>SUM(W534:X534)+(Y534*0.8)+(Z534*0.4)</f>
        <v>48.78</v>
      </c>
      <c r="W534">
        <v>48.78</v>
      </c>
      <c r="X534">
        <v>0</v>
      </c>
      <c r="Y534">
        <v>0</v>
      </c>
      <c r="Z534">
        <v>0</v>
      </c>
      <c r="AA534" t="s">
        <v>43</v>
      </c>
      <c r="AB534">
        <v>46.96</v>
      </c>
      <c r="AD534" t="s">
        <v>3330</v>
      </c>
      <c r="AE534" t="s">
        <v>3331</v>
      </c>
    </row>
    <row r="535" spans="1:31" x14ac:dyDescent="0.25">
      <c r="A535" t="s">
        <v>31</v>
      </c>
      <c r="C535" t="s">
        <v>5996</v>
      </c>
      <c r="D535" t="s">
        <v>5997</v>
      </c>
      <c r="E535" t="s">
        <v>34</v>
      </c>
      <c r="F535" t="s">
        <v>66</v>
      </c>
      <c r="H535" t="s">
        <v>36</v>
      </c>
      <c r="I535" t="s">
        <v>5998</v>
      </c>
      <c r="J535" t="s">
        <v>31</v>
      </c>
      <c r="K535" t="s">
        <v>38</v>
      </c>
      <c r="L535" t="s">
        <v>2620</v>
      </c>
      <c r="M535" t="s">
        <v>2621</v>
      </c>
      <c r="N535" t="s">
        <v>3612</v>
      </c>
      <c r="O535" t="s">
        <v>3610</v>
      </c>
      <c r="P535" t="s">
        <v>5999</v>
      </c>
      <c r="T535">
        <v>32.448325255999997</v>
      </c>
      <c r="U535">
        <v>-93.905792018</v>
      </c>
      <c r="V535">
        <f>SUM(W535:X535)+(Y535*0.8)+(Z535*0.4)</f>
        <v>48.72</v>
      </c>
      <c r="W535">
        <v>0</v>
      </c>
      <c r="X535">
        <v>0</v>
      </c>
      <c r="Y535">
        <v>0</v>
      </c>
      <c r="Z535">
        <v>121.8</v>
      </c>
      <c r="AA535" t="s">
        <v>43</v>
      </c>
      <c r="AB535">
        <v>0</v>
      </c>
      <c r="AD535" t="s">
        <v>6000</v>
      </c>
      <c r="AE535" t="s">
        <v>6001</v>
      </c>
    </row>
    <row r="536" spans="1:31" x14ac:dyDescent="0.25">
      <c r="A536" t="s">
        <v>31</v>
      </c>
      <c r="B536" t="s">
        <v>11350</v>
      </c>
      <c r="C536" t="s">
        <v>647</v>
      </c>
      <c r="D536" t="s">
        <v>737</v>
      </c>
      <c r="E536" t="s">
        <v>362</v>
      </c>
      <c r="F536" t="s">
        <v>649</v>
      </c>
      <c r="G536">
        <v>2017</v>
      </c>
      <c r="H536" t="s">
        <v>36</v>
      </c>
      <c r="I536" t="s">
        <v>738</v>
      </c>
      <c r="J536" t="s">
        <v>31</v>
      </c>
      <c r="K536" t="s">
        <v>38</v>
      </c>
      <c r="L536" t="s">
        <v>242</v>
      </c>
      <c r="M536" t="s">
        <v>243</v>
      </c>
      <c r="N536" t="s">
        <v>405</v>
      </c>
      <c r="O536" t="s">
        <v>526</v>
      </c>
      <c r="P536" t="s">
        <v>527</v>
      </c>
      <c r="T536">
        <v>38.948584478000001</v>
      </c>
      <c r="U536">
        <v>-77.521004343000001</v>
      </c>
      <c r="V536">
        <f>SUM(W536:X536)+(Y536*0.8)+(Z536*0.4)</f>
        <v>48.5</v>
      </c>
      <c r="W536">
        <v>48.5</v>
      </c>
      <c r="X536">
        <v>0</v>
      </c>
      <c r="Y536">
        <v>0</v>
      </c>
      <c r="Z536">
        <v>0</v>
      </c>
      <c r="AA536" t="s">
        <v>43</v>
      </c>
      <c r="AB536">
        <v>48.5</v>
      </c>
      <c r="AD536" t="s">
        <v>739</v>
      </c>
      <c r="AE536" t="s">
        <v>740</v>
      </c>
    </row>
    <row r="537" spans="1:31" x14ac:dyDescent="0.25">
      <c r="A537" t="s">
        <v>31</v>
      </c>
      <c r="C537" t="s">
        <v>9713</v>
      </c>
      <c r="D537" t="s">
        <v>9722</v>
      </c>
      <c r="E537" t="s">
        <v>34</v>
      </c>
      <c r="F537" t="s">
        <v>66</v>
      </c>
      <c r="G537">
        <v>2026</v>
      </c>
      <c r="H537" t="s">
        <v>36</v>
      </c>
      <c r="I537" t="s">
        <v>9723</v>
      </c>
      <c r="J537" t="s">
        <v>31</v>
      </c>
      <c r="K537" t="s">
        <v>38</v>
      </c>
      <c r="L537" t="s">
        <v>185</v>
      </c>
      <c r="M537" t="s">
        <v>186</v>
      </c>
      <c r="N537" t="s">
        <v>963</v>
      </c>
      <c r="O537" t="s">
        <v>961</v>
      </c>
      <c r="P537" t="s">
        <v>9724</v>
      </c>
      <c r="T537">
        <v>33.622008944999997</v>
      </c>
      <c r="U537">
        <v>-83.816132229000004</v>
      </c>
      <c r="V537">
        <f>SUM(W537:X537)+(Y537*0.8)+(Z537*0.4)</f>
        <v>48</v>
      </c>
      <c r="W537">
        <v>0</v>
      </c>
      <c r="X537">
        <v>0</v>
      </c>
      <c r="Y537">
        <v>60</v>
      </c>
      <c r="Z537">
        <v>0</v>
      </c>
      <c r="AA537" t="s">
        <v>43</v>
      </c>
      <c r="AB537">
        <v>60</v>
      </c>
      <c r="AD537" t="s">
        <v>9725</v>
      </c>
      <c r="AE537" t="s">
        <v>9726</v>
      </c>
    </row>
    <row r="538" spans="1:31" x14ac:dyDescent="0.25">
      <c r="A538" t="s">
        <v>31</v>
      </c>
      <c r="C538" t="s">
        <v>7638</v>
      </c>
      <c r="D538" t="s">
        <v>7648</v>
      </c>
      <c r="E538" t="s">
        <v>34</v>
      </c>
      <c r="F538" t="s">
        <v>43</v>
      </c>
      <c r="G538">
        <v>2026</v>
      </c>
      <c r="H538" t="s">
        <v>36</v>
      </c>
      <c r="I538" t="s">
        <v>7649</v>
      </c>
      <c r="J538" t="s">
        <v>31</v>
      </c>
      <c r="K538" t="s">
        <v>38</v>
      </c>
      <c r="L538" t="s">
        <v>242</v>
      </c>
      <c r="M538" t="s">
        <v>243</v>
      </c>
      <c r="N538" t="s">
        <v>244</v>
      </c>
      <c r="O538" t="s">
        <v>7650</v>
      </c>
      <c r="P538" t="s">
        <v>246</v>
      </c>
      <c r="T538">
        <v>38.927107691000003</v>
      </c>
      <c r="U538">
        <v>-77.424108153999995</v>
      </c>
      <c r="V538">
        <f>SUM(W538:X538)+(Y538*0.8)+(Z538*0.4)</f>
        <v>48</v>
      </c>
      <c r="W538">
        <v>0</v>
      </c>
      <c r="X538">
        <v>48</v>
      </c>
      <c r="Y538">
        <v>0</v>
      </c>
      <c r="Z538">
        <v>0</v>
      </c>
      <c r="AA538" t="s">
        <v>43</v>
      </c>
      <c r="AB538">
        <v>0</v>
      </c>
      <c r="AD538" t="s">
        <v>7651</v>
      </c>
      <c r="AE538" t="s">
        <v>7652</v>
      </c>
    </row>
    <row r="539" spans="1:31" x14ac:dyDescent="0.25">
      <c r="A539" t="s">
        <v>31</v>
      </c>
      <c r="C539" t="s">
        <v>4801</v>
      </c>
      <c r="D539" t="s">
        <v>4970</v>
      </c>
      <c r="E539" t="s">
        <v>34</v>
      </c>
      <c r="F539" t="s">
        <v>66</v>
      </c>
      <c r="G539">
        <v>2026</v>
      </c>
      <c r="H539" t="s">
        <v>36</v>
      </c>
      <c r="I539" t="s">
        <v>4971</v>
      </c>
      <c r="J539" t="s">
        <v>31</v>
      </c>
      <c r="K539" t="s">
        <v>38</v>
      </c>
      <c r="L539" t="s">
        <v>317</v>
      </c>
      <c r="M539" t="s">
        <v>318</v>
      </c>
      <c r="N539" t="s">
        <v>665</v>
      </c>
      <c r="O539" t="s">
        <v>1304</v>
      </c>
      <c r="P539" t="s">
        <v>1305</v>
      </c>
      <c r="Q539" t="s">
        <v>1178</v>
      </c>
      <c r="T539">
        <v>40.088037120999999</v>
      </c>
      <c r="U539">
        <v>-82.722633970999993</v>
      </c>
      <c r="V539">
        <f>SUM(W539:X539)+(Y539*0.8)+(Z539*0.4)</f>
        <v>48</v>
      </c>
      <c r="W539">
        <v>0</v>
      </c>
      <c r="X539">
        <v>0</v>
      </c>
      <c r="Y539">
        <v>0</v>
      </c>
      <c r="Z539">
        <v>120</v>
      </c>
      <c r="AA539" t="s">
        <v>43</v>
      </c>
      <c r="AB539">
        <v>0</v>
      </c>
      <c r="AD539" t="s">
        <v>4972</v>
      </c>
      <c r="AE539" t="s">
        <v>4973</v>
      </c>
    </row>
    <row r="540" spans="1:31" x14ac:dyDescent="0.25">
      <c r="A540" t="s">
        <v>31</v>
      </c>
      <c r="C540" t="s">
        <v>2989</v>
      </c>
      <c r="D540" t="s">
        <v>3003</v>
      </c>
      <c r="E540" t="s">
        <v>34</v>
      </c>
      <c r="F540" t="s">
        <v>76</v>
      </c>
      <c r="G540">
        <v>2023</v>
      </c>
      <c r="H540" t="s">
        <v>36</v>
      </c>
      <c r="I540" t="s">
        <v>3004</v>
      </c>
      <c r="J540" t="s">
        <v>31</v>
      </c>
      <c r="K540" t="s">
        <v>38</v>
      </c>
      <c r="L540" t="s">
        <v>242</v>
      </c>
      <c r="M540" t="s">
        <v>243</v>
      </c>
      <c r="N540" t="s">
        <v>244</v>
      </c>
      <c r="O540" t="s">
        <v>719</v>
      </c>
      <c r="P540" t="s">
        <v>720</v>
      </c>
      <c r="T540">
        <v>38.873328530999999</v>
      </c>
      <c r="U540">
        <v>-77.464586753999995</v>
      </c>
      <c r="V540">
        <f>SUM(W540:X540)+(Y540*0.8)+(Z540*0.4)</f>
        <v>48</v>
      </c>
      <c r="W540">
        <v>0</v>
      </c>
      <c r="X540">
        <v>0</v>
      </c>
      <c r="Y540">
        <v>60</v>
      </c>
      <c r="Z540">
        <v>0</v>
      </c>
      <c r="AA540" t="s">
        <v>43</v>
      </c>
      <c r="AB540">
        <v>0</v>
      </c>
      <c r="AD540" t="s">
        <v>3005</v>
      </c>
      <c r="AE540" t="s">
        <v>3006</v>
      </c>
    </row>
    <row r="541" spans="1:31" x14ac:dyDescent="0.25">
      <c r="A541" t="s">
        <v>31</v>
      </c>
      <c r="C541" t="s">
        <v>1404</v>
      </c>
      <c r="D541" t="s">
        <v>1405</v>
      </c>
      <c r="E541" t="s">
        <v>362</v>
      </c>
      <c r="F541" t="s">
        <v>372</v>
      </c>
      <c r="G541">
        <v>2021</v>
      </c>
      <c r="H541" t="s">
        <v>36</v>
      </c>
      <c r="I541" t="s">
        <v>1406</v>
      </c>
      <c r="J541" t="s">
        <v>31</v>
      </c>
      <c r="K541" t="s">
        <v>38</v>
      </c>
      <c r="L541" t="s">
        <v>383</v>
      </c>
      <c r="M541" t="s">
        <v>384</v>
      </c>
      <c r="N541" t="s">
        <v>1407</v>
      </c>
      <c r="P541" t="s">
        <v>1408</v>
      </c>
      <c r="T541">
        <v>35.065254950000003</v>
      </c>
      <c r="U541">
        <v>-83.984314366000007</v>
      </c>
      <c r="V541">
        <f>SUM(W541:X541)+(Y541*0.8)+(Z541*0.4)</f>
        <v>48</v>
      </c>
      <c r="W541">
        <v>20</v>
      </c>
      <c r="X541">
        <v>0</v>
      </c>
      <c r="Y541">
        <v>10</v>
      </c>
      <c r="Z541">
        <v>50</v>
      </c>
      <c r="AA541" t="s">
        <v>43</v>
      </c>
      <c r="AB541">
        <v>30</v>
      </c>
      <c r="AD541" t="s">
        <v>1409</v>
      </c>
      <c r="AE541" t="s">
        <v>1410</v>
      </c>
    </row>
    <row r="542" spans="1:31" x14ac:dyDescent="0.25">
      <c r="A542" t="s">
        <v>31</v>
      </c>
      <c r="B542" t="s">
        <v>11350</v>
      </c>
      <c r="C542" t="s">
        <v>647</v>
      </c>
      <c r="D542" t="s">
        <v>851</v>
      </c>
      <c r="E542" t="s">
        <v>362</v>
      </c>
      <c r="F542" t="s">
        <v>649</v>
      </c>
      <c r="G542">
        <v>2021</v>
      </c>
      <c r="H542" t="s">
        <v>36</v>
      </c>
      <c r="I542" t="s">
        <v>852</v>
      </c>
      <c r="J542" t="s">
        <v>31</v>
      </c>
      <c r="K542" t="s">
        <v>38</v>
      </c>
      <c r="L542" t="s">
        <v>242</v>
      </c>
      <c r="M542" t="s">
        <v>243</v>
      </c>
      <c r="N542" t="s">
        <v>405</v>
      </c>
      <c r="O542" t="s">
        <v>516</v>
      </c>
      <c r="P542" t="s">
        <v>853</v>
      </c>
      <c r="T542">
        <v>38.996455093999998</v>
      </c>
      <c r="U542">
        <v>-77.473554655000001</v>
      </c>
      <c r="V542">
        <f>SUM(W542:X542)+(Y542*0.8)+(Z542*0.4)</f>
        <v>48</v>
      </c>
      <c r="W542">
        <v>48</v>
      </c>
      <c r="X542">
        <v>0</v>
      </c>
      <c r="Y542">
        <v>0</v>
      </c>
      <c r="Z542">
        <v>0</v>
      </c>
      <c r="AA542" t="s">
        <v>43</v>
      </c>
      <c r="AB542">
        <v>48</v>
      </c>
      <c r="AD542" t="s">
        <v>854</v>
      </c>
      <c r="AE542" t="s">
        <v>855</v>
      </c>
    </row>
    <row r="543" spans="1:31" x14ac:dyDescent="0.25">
      <c r="A543" t="s">
        <v>31</v>
      </c>
      <c r="B543" t="s">
        <v>11350</v>
      </c>
      <c r="C543" t="s">
        <v>7857</v>
      </c>
      <c r="D543" t="s">
        <v>8087</v>
      </c>
      <c r="E543" t="s">
        <v>362</v>
      </c>
      <c r="F543" t="s">
        <v>649</v>
      </c>
      <c r="H543" t="s">
        <v>36</v>
      </c>
      <c r="I543" t="s">
        <v>8088</v>
      </c>
      <c r="J543" t="s">
        <v>31</v>
      </c>
      <c r="K543" t="s">
        <v>38</v>
      </c>
      <c r="L543" t="s">
        <v>383</v>
      </c>
      <c r="M543" t="s">
        <v>384</v>
      </c>
      <c r="N543" t="s">
        <v>1441</v>
      </c>
      <c r="O543" t="s">
        <v>8087</v>
      </c>
      <c r="T543">
        <v>35.620047606</v>
      </c>
      <c r="U543">
        <v>-81.315083619999996</v>
      </c>
      <c r="V543">
        <f>SUM(W543:X543)+(Y543*0.8)+(Z543*0.4)</f>
        <v>48</v>
      </c>
      <c r="W543">
        <v>0</v>
      </c>
      <c r="X543">
        <v>0</v>
      </c>
      <c r="Y543">
        <v>60</v>
      </c>
      <c r="Z543">
        <v>0</v>
      </c>
      <c r="AA543" t="s">
        <v>43</v>
      </c>
      <c r="AB543">
        <v>60</v>
      </c>
      <c r="AD543" t="s">
        <v>8089</v>
      </c>
      <c r="AE543" t="s">
        <v>8090</v>
      </c>
    </row>
    <row r="544" spans="1:31" x14ac:dyDescent="0.25">
      <c r="A544" t="s">
        <v>31</v>
      </c>
      <c r="C544" t="s">
        <v>1506</v>
      </c>
      <c r="D544" t="s">
        <v>1507</v>
      </c>
      <c r="E544" t="s">
        <v>34</v>
      </c>
      <c r="F544" t="s">
        <v>66</v>
      </c>
      <c r="H544" t="s">
        <v>36</v>
      </c>
      <c r="I544" t="s">
        <v>1508</v>
      </c>
      <c r="J544" t="s">
        <v>31</v>
      </c>
      <c r="K544" t="s">
        <v>38</v>
      </c>
      <c r="L544" t="s">
        <v>828</v>
      </c>
      <c r="M544" t="s">
        <v>829</v>
      </c>
      <c r="N544" t="s">
        <v>1509</v>
      </c>
      <c r="O544" t="s">
        <v>1510</v>
      </c>
      <c r="P544" t="s">
        <v>1511</v>
      </c>
      <c r="Q544" t="s">
        <v>1512</v>
      </c>
      <c r="T544">
        <v>44.365751965000001</v>
      </c>
      <c r="U544">
        <v>-93.286628081000003</v>
      </c>
      <c r="V544">
        <f>SUM(W544:X544)+(Y544*0.8)+(Z544*0.4)</f>
        <v>47.88</v>
      </c>
      <c r="W544">
        <v>0</v>
      </c>
      <c r="X544">
        <v>0</v>
      </c>
      <c r="Y544">
        <v>0</v>
      </c>
      <c r="Z544">
        <v>119.7</v>
      </c>
      <c r="AA544" t="s">
        <v>43</v>
      </c>
      <c r="AB544">
        <v>0</v>
      </c>
      <c r="AD544" t="s">
        <v>1513</v>
      </c>
      <c r="AE544" t="s">
        <v>1514</v>
      </c>
    </row>
    <row r="545" spans="1:31" x14ac:dyDescent="0.25">
      <c r="A545" t="s">
        <v>31</v>
      </c>
      <c r="C545" t="s">
        <v>6832</v>
      </c>
      <c r="D545" t="s">
        <v>6839</v>
      </c>
      <c r="E545" t="s">
        <v>34</v>
      </c>
      <c r="F545" t="s">
        <v>66</v>
      </c>
      <c r="G545">
        <v>2019</v>
      </c>
      <c r="H545" t="s">
        <v>36</v>
      </c>
      <c r="I545" t="s">
        <v>6840</v>
      </c>
      <c r="J545" t="s">
        <v>31</v>
      </c>
      <c r="K545" t="s">
        <v>38</v>
      </c>
      <c r="L545" t="s">
        <v>326</v>
      </c>
      <c r="M545" t="s">
        <v>327</v>
      </c>
      <c r="N545" t="s">
        <v>328</v>
      </c>
      <c r="O545" t="s">
        <v>590</v>
      </c>
      <c r="P545" t="s">
        <v>6835</v>
      </c>
      <c r="Q545" t="s">
        <v>6836</v>
      </c>
      <c r="T545">
        <v>33.452337743000001</v>
      </c>
      <c r="U545">
        <v>-111.977838017</v>
      </c>
      <c r="V545">
        <f>SUM(W545:X545)+(Y545*0.8)+(Z545*0.4)</f>
        <v>46.5</v>
      </c>
      <c r="W545">
        <v>46.5</v>
      </c>
      <c r="X545">
        <v>0</v>
      </c>
      <c r="Y545">
        <v>0</v>
      </c>
      <c r="Z545">
        <v>0</v>
      </c>
      <c r="AA545" t="s">
        <v>43</v>
      </c>
      <c r="AB545">
        <v>46.5</v>
      </c>
      <c r="AC545">
        <v>1.2</v>
      </c>
      <c r="AD545" t="s">
        <v>6841</v>
      </c>
      <c r="AE545" t="s">
        <v>6842</v>
      </c>
    </row>
    <row r="546" spans="1:31" x14ac:dyDescent="0.25">
      <c r="A546" t="s">
        <v>31</v>
      </c>
      <c r="C546" t="s">
        <v>10264</v>
      </c>
      <c r="D546" t="s">
        <v>10270</v>
      </c>
      <c r="E546" t="s">
        <v>34</v>
      </c>
      <c r="F546" t="s">
        <v>66</v>
      </c>
      <c r="G546">
        <v>2030</v>
      </c>
      <c r="H546" t="s">
        <v>36</v>
      </c>
      <c r="I546" t="s">
        <v>10271</v>
      </c>
      <c r="J546" t="s">
        <v>31</v>
      </c>
      <c r="K546" t="s">
        <v>38</v>
      </c>
      <c r="L546" t="s">
        <v>185</v>
      </c>
      <c r="M546" t="s">
        <v>186</v>
      </c>
      <c r="N546" t="s">
        <v>187</v>
      </c>
      <c r="O546" t="s">
        <v>7176</v>
      </c>
      <c r="P546" t="s">
        <v>7177</v>
      </c>
      <c r="T546">
        <v>33.563328384000002</v>
      </c>
      <c r="U546">
        <v>-84.512793813000002</v>
      </c>
      <c r="V546">
        <f>SUM(W546:X546)+(Y546*0.8)+(Z546*0.4)</f>
        <v>46.400000000000006</v>
      </c>
      <c r="W546">
        <v>0</v>
      </c>
      <c r="X546">
        <v>0</v>
      </c>
      <c r="Y546">
        <v>0</v>
      </c>
      <c r="Z546">
        <v>116</v>
      </c>
      <c r="AA546" t="s">
        <v>43</v>
      </c>
      <c r="AB546">
        <v>0</v>
      </c>
      <c r="AD546" t="s">
        <v>10272</v>
      </c>
      <c r="AE546" t="s">
        <v>10273</v>
      </c>
    </row>
    <row r="547" spans="1:31" x14ac:dyDescent="0.25">
      <c r="A547" t="s">
        <v>31</v>
      </c>
      <c r="C547" t="s">
        <v>8571</v>
      </c>
      <c r="D547" t="s">
        <v>8643</v>
      </c>
      <c r="E547" t="s">
        <v>34</v>
      </c>
      <c r="F547" t="s">
        <v>66</v>
      </c>
      <c r="G547">
        <v>2028</v>
      </c>
      <c r="H547" t="s">
        <v>36</v>
      </c>
      <c r="I547" t="s">
        <v>8644</v>
      </c>
      <c r="J547" t="s">
        <v>31</v>
      </c>
      <c r="K547" t="s">
        <v>38</v>
      </c>
      <c r="L547" t="s">
        <v>326</v>
      </c>
      <c r="M547" t="s">
        <v>327</v>
      </c>
      <c r="N547" t="s">
        <v>328</v>
      </c>
      <c r="O547" t="s">
        <v>1160</v>
      </c>
      <c r="P547" t="s">
        <v>8645</v>
      </c>
      <c r="T547">
        <v>33.292333206000002</v>
      </c>
      <c r="U547">
        <v>-111.617596217</v>
      </c>
      <c r="V547">
        <f>SUM(W547:X547)+(Y547*0.8)+(Z547*0.4)</f>
        <v>46.28</v>
      </c>
      <c r="W547">
        <v>0</v>
      </c>
      <c r="X547">
        <v>0</v>
      </c>
      <c r="Y547">
        <v>0</v>
      </c>
      <c r="Z547">
        <v>115.7</v>
      </c>
      <c r="AA547" t="s">
        <v>43</v>
      </c>
      <c r="AB547">
        <v>0</v>
      </c>
      <c r="AD547" t="s">
        <v>8646</v>
      </c>
      <c r="AE547" t="s">
        <v>8647</v>
      </c>
    </row>
    <row r="548" spans="1:31" x14ac:dyDescent="0.25">
      <c r="A548" t="s">
        <v>31</v>
      </c>
      <c r="C548" t="s">
        <v>6062</v>
      </c>
      <c r="D548" t="s">
        <v>6063</v>
      </c>
      <c r="E548" t="s">
        <v>34</v>
      </c>
      <c r="F548" t="s">
        <v>66</v>
      </c>
      <c r="G548">
        <v>2019</v>
      </c>
      <c r="H548" t="s">
        <v>36</v>
      </c>
      <c r="I548" t="s">
        <v>6064</v>
      </c>
      <c r="J548" t="s">
        <v>31</v>
      </c>
      <c r="K548" t="s">
        <v>38</v>
      </c>
      <c r="L548" t="s">
        <v>242</v>
      </c>
      <c r="M548" t="s">
        <v>243</v>
      </c>
      <c r="N548" t="s">
        <v>405</v>
      </c>
      <c r="O548" t="s">
        <v>526</v>
      </c>
      <c r="P548" t="s">
        <v>527</v>
      </c>
      <c r="T548">
        <v>39.000841842</v>
      </c>
      <c r="U548">
        <v>-77.439862645999995</v>
      </c>
      <c r="V548">
        <f>SUM(W548:X548)+(Y548*0.8)+(Z548*0.4)</f>
        <v>46</v>
      </c>
      <c r="W548">
        <v>46</v>
      </c>
      <c r="X548">
        <v>0</v>
      </c>
      <c r="Y548">
        <v>0</v>
      </c>
      <c r="Z548">
        <v>0</v>
      </c>
      <c r="AA548" t="s">
        <v>43</v>
      </c>
      <c r="AB548">
        <v>46</v>
      </c>
      <c r="AD548" t="s">
        <v>6065</v>
      </c>
      <c r="AE548" t="s">
        <v>6066</v>
      </c>
    </row>
    <row r="549" spans="1:31" x14ac:dyDescent="0.25">
      <c r="A549" t="s">
        <v>31</v>
      </c>
      <c r="C549" t="s">
        <v>8571</v>
      </c>
      <c r="D549" t="s">
        <v>4526</v>
      </c>
      <c r="E549" t="s">
        <v>34</v>
      </c>
      <c r="F549" t="s">
        <v>35</v>
      </c>
      <c r="G549">
        <v>2017</v>
      </c>
      <c r="H549" t="s">
        <v>36</v>
      </c>
      <c r="I549" t="s">
        <v>8632</v>
      </c>
      <c r="J549" t="s">
        <v>31</v>
      </c>
      <c r="K549" t="s">
        <v>38</v>
      </c>
      <c r="L549" t="s">
        <v>68</v>
      </c>
      <c r="M549" t="s">
        <v>69</v>
      </c>
      <c r="N549" t="s">
        <v>297</v>
      </c>
      <c r="O549" t="s">
        <v>4528</v>
      </c>
      <c r="P549" t="s">
        <v>4529</v>
      </c>
      <c r="T549">
        <v>32.980861937</v>
      </c>
      <c r="U549">
        <v>-96.656455246999997</v>
      </c>
      <c r="V549">
        <f>SUM(W549:X549)+(Y549*0.8)+(Z549*0.4)</f>
        <v>46</v>
      </c>
      <c r="W549">
        <v>31</v>
      </c>
      <c r="X549">
        <v>15</v>
      </c>
      <c r="Y549">
        <v>0</v>
      </c>
      <c r="Z549">
        <v>0</v>
      </c>
      <c r="AA549" t="s">
        <v>43</v>
      </c>
      <c r="AB549">
        <v>29</v>
      </c>
      <c r="AD549" t="s">
        <v>8633</v>
      </c>
      <c r="AE549" t="s">
        <v>8634</v>
      </c>
    </row>
    <row r="550" spans="1:31" x14ac:dyDescent="0.25">
      <c r="A550" t="s">
        <v>31</v>
      </c>
      <c r="C550" t="s">
        <v>3312</v>
      </c>
      <c r="D550" t="s">
        <v>3434</v>
      </c>
      <c r="E550" t="s">
        <v>34</v>
      </c>
      <c r="F550" t="s">
        <v>66</v>
      </c>
      <c r="G550">
        <v>2013</v>
      </c>
      <c r="H550" t="s">
        <v>36</v>
      </c>
      <c r="I550" t="s">
        <v>3435</v>
      </c>
      <c r="J550" t="s">
        <v>31</v>
      </c>
      <c r="K550" t="s">
        <v>38</v>
      </c>
      <c r="L550" t="s">
        <v>383</v>
      </c>
      <c r="M550" t="s">
        <v>384</v>
      </c>
      <c r="N550" t="s">
        <v>385</v>
      </c>
      <c r="O550" t="s">
        <v>386</v>
      </c>
      <c r="P550" t="s">
        <v>3436</v>
      </c>
      <c r="S550" t="s">
        <v>2469</v>
      </c>
      <c r="T550">
        <v>35.936140764000001</v>
      </c>
      <c r="U550">
        <v>-78.880404463000005</v>
      </c>
      <c r="V550">
        <f>SUM(W550:X550)+(Y550*0.8)+(Z550*0.4)</f>
        <v>46</v>
      </c>
      <c r="W550">
        <v>24</v>
      </c>
      <c r="X550">
        <v>22</v>
      </c>
      <c r="Y550">
        <v>0</v>
      </c>
      <c r="Z550">
        <v>0</v>
      </c>
      <c r="AA550" t="s">
        <v>43</v>
      </c>
      <c r="AB550">
        <v>46</v>
      </c>
      <c r="AD550" t="s">
        <v>3437</v>
      </c>
      <c r="AE550" t="s">
        <v>3438</v>
      </c>
    </row>
    <row r="551" spans="1:31" x14ac:dyDescent="0.25">
      <c r="A551" t="s">
        <v>31</v>
      </c>
      <c r="C551" t="s">
        <v>3667</v>
      </c>
      <c r="D551" t="s">
        <v>3668</v>
      </c>
      <c r="E551" t="s">
        <v>34</v>
      </c>
      <c r="F551" t="s">
        <v>66</v>
      </c>
      <c r="G551">
        <v>2011</v>
      </c>
      <c r="H551" t="s">
        <v>36</v>
      </c>
      <c r="I551" t="s">
        <v>3669</v>
      </c>
      <c r="J551" t="s">
        <v>31</v>
      </c>
      <c r="K551" t="s">
        <v>38</v>
      </c>
      <c r="L551" t="s">
        <v>68</v>
      </c>
      <c r="M551" t="s">
        <v>69</v>
      </c>
      <c r="N551" t="s">
        <v>1350</v>
      </c>
      <c r="O551" t="s">
        <v>1351</v>
      </c>
      <c r="P551" t="s">
        <v>3319</v>
      </c>
      <c r="Q551" t="s">
        <v>3670</v>
      </c>
      <c r="S551" t="s">
        <v>3671</v>
      </c>
      <c r="T551">
        <v>30.199753100999999</v>
      </c>
      <c r="U551">
        <v>-97.714044393999998</v>
      </c>
      <c r="V551">
        <f>SUM(W551:X551)+(Y551*0.8)+(Z551*0.4)</f>
        <v>45.6</v>
      </c>
      <c r="W551">
        <v>36</v>
      </c>
      <c r="X551">
        <v>0</v>
      </c>
      <c r="Y551">
        <v>0</v>
      </c>
      <c r="Z551">
        <v>24</v>
      </c>
      <c r="AA551" t="s">
        <v>43</v>
      </c>
      <c r="AB551">
        <v>24.19</v>
      </c>
      <c r="AD551" t="s">
        <v>3672</v>
      </c>
      <c r="AE551" t="s">
        <v>3673</v>
      </c>
    </row>
    <row r="552" spans="1:31" x14ac:dyDescent="0.25">
      <c r="A552" t="s">
        <v>31</v>
      </c>
      <c r="B552" t="s">
        <v>11350</v>
      </c>
      <c r="C552" t="s">
        <v>7857</v>
      </c>
      <c r="D552" t="s">
        <v>7998</v>
      </c>
      <c r="E552" t="s">
        <v>362</v>
      </c>
      <c r="F552" t="s">
        <v>649</v>
      </c>
      <c r="H552" t="s">
        <v>36</v>
      </c>
      <c r="I552" t="s">
        <v>1115</v>
      </c>
      <c r="J552" t="s">
        <v>31</v>
      </c>
      <c r="K552" t="s">
        <v>38</v>
      </c>
      <c r="L552" t="s">
        <v>828</v>
      </c>
      <c r="M552" t="s">
        <v>829</v>
      </c>
      <c r="N552" t="s">
        <v>830</v>
      </c>
      <c r="O552" t="s">
        <v>832</v>
      </c>
      <c r="P552" t="s">
        <v>7999</v>
      </c>
      <c r="T552">
        <v>45.403101677999999</v>
      </c>
      <c r="U552">
        <v>-93.915968516999996</v>
      </c>
      <c r="V552">
        <f>SUM(W552:X552)+(Y552*0.8)+(Z552*0.4)</f>
        <v>45.28</v>
      </c>
      <c r="W552">
        <v>0</v>
      </c>
      <c r="X552">
        <v>0</v>
      </c>
      <c r="Y552">
        <v>0</v>
      </c>
      <c r="Z552">
        <v>113.2</v>
      </c>
      <c r="AA552" t="s">
        <v>43</v>
      </c>
      <c r="AB552">
        <v>0</v>
      </c>
      <c r="AD552" t="s">
        <v>8000</v>
      </c>
      <c r="AE552" t="s">
        <v>8001</v>
      </c>
    </row>
    <row r="553" spans="1:31" x14ac:dyDescent="0.25">
      <c r="A553" t="s">
        <v>31</v>
      </c>
      <c r="B553" t="s">
        <v>11350</v>
      </c>
      <c r="C553" t="s">
        <v>647</v>
      </c>
      <c r="D553" t="s">
        <v>945</v>
      </c>
      <c r="E553" t="s">
        <v>362</v>
      </c>
      <c r="F553" t="s">
        <v>649</v>
      </c>
      <c r="G553">
        <v>2027</v>
      </c>
      <c r="H553" t="s">
        <v>36</v>
      </c>
      <c r="I553" t="s">
        <v>946</v>
      </c>
      <c r="J553" t="s">
        <v>31</v>
      </c>
      <c r="K553" t="s">
        <v>38</v>
      </c>
      <c r="L553" t="s">
        <v>242</v>
      </c>
      <c r="M553" t="s">
        <v>243</v>
      </c>
      <c r="N553" t="s">
        <v>244</v>
      </c>
      <c r="O553" t="s">
        <v>719</v>
      </c>
      <c r="P553" t="s">
        <v>720</v>
      </c>
      <c r="T553">
        <v>38.905505675000001</v>
      </c>
      <c r="U553">
        <v>-77.462951093000001</v>
      </c>
      <c r="V553">
        <f>SUM(W553:X553)+(Y553*0.8)+(Z553*0.4)</f>
        <v>45</v>
      </c>
      <c r="W553">
        <v>0</v>
      </c>
      <c r="X553">
        <v>45</v>
      </c>
      <c r="Y553">
        <v>0</v>
      </c>
      <c r="Z553">
        <v>0</v>
      </c>
      <c r="AA553" t="s">
        <v>43</v>
      </c>
      <c r="AB553">
        <v>45</v>
      </c>
      <c r="AD553" t="s">
        <v>947</v>
      </c>
      <c r="AE553" t="s">
        <v>948</v>
      </c>
    </row>
    <row r="554" spans="1:31" x14ac:dyDescent="0.25">
      <c r="A554" t="s">
        <v>31</v>
      </c>
      <c r="B554" t="s">
        <v>11350</v>
      </c>
      <c r="C554" t="s">
        <v>647</v>
      </c>
      <c r="D554" t="s">
        <v>791</v>
      </c>
      <c r="E554" t="s">
        <v>362</v>
      </c>
      <c r="F554" t="s">
        <v>649</v>
      </c>
      <c r="G554">
        <v>2019</v>
      </c>
      <c r="H554" t="s">
        <v>36</v>
      </c>
      <c r="I554" t="s">
        <v>792</v>
      </c>
      <c r="J554" t="s">
        <v>31</v>
      </c>
      <c r="K554" t="s">
        <v>38</v>
      </c>
      <c r="L554" t="s">
        <v>242</v>
      </c>
      <c r="M554" t="s">
        <v>243</v>
      </c>
      <c r="N554" t="s">
        <v>405</v>
      </c>
      <c r="P554" t="s">
        <v>769</v>
      </c>
      <c r="T554">
        <v>38.916054168000002</v>
      </c>
      <c r="U554">
        <v>-77.478635319000006</v>
      </c>
      <c r="V554">
        <f>SUM(W554:X554)+(Y554*0.8)+(Z554*0.4)</f>
        <v>45</v>
      </c>
      <c r="W554">
        <v>45</v>
      </c>
      <c r="X554">
        <v>0</v>
      </c>
      <c r="Y554">
        <v>0</v>
      </c>
      <c r="Z554">
        <v>0</v>
      </c>
      <c r="AA554" t="s">
        <v>43</v>
      </c>
      <c r="AB554">
        <v>45</v>
      </c>
      <c r="AD554" t="s">
        <v>793</v>
      </c>
      <c r="AE554" t="s">
        <v>794</v>
      </c>
    </row>
    <row r="555" spans="1:31" x14ac:dyDescent="0.25">
      <c r="A555" t="s">
        <v>31</v>
      </c>
      <c r="C555" t="s">
        <v>9546</v>
      </c>
      <c r="D555" t="s">
        <v>9571</v>
      </c>
      <c r="E555" t="s">
        <v>34</v>
      </c>
      <c r="F555" t="s">
        <v>66</v>
      </c>
      <c r="G555">
        <v>2024</v>
      </c>
      <c r="H555" t="s">
        <v>36</v>
      </c>
      <c r="I555" t="s">
        <v>9572</v>
      </c>
      <c r="J555" t="s">
        <v>31</v>
      </c>
      <c r="K555" t="s">
        <v>38</v>
      </c>
      <c r="L555" t="s">
        <v>68</v>
      </c>
      <c r="M555" t="s">
        <v>69</v>
      </c>
      <c r="N555" t="s">
        <v>956</v>
      </c>
      <c r="O555" t="s">
        <v>957</v>
      </c>
      <c r="P555" t="s">
        <v>9573</v>
      </c>
      <c r="T555">
        <v>30.488168957999999</v>
      </c>
      <c r="U555">
        <v>-97.646821541999998</v>
      </c>
      <c r="V555">
        <f>SUM(W555:X555)+(Y555*0.8)+(Z555*0.4)</f>
        <v>44.88</v>
      </c>
      <c r="W555">
        <v>26.8</v>
      </c>
      <c r="X555">
        <v>0</v>
      </c>
      <c r="Y555">
        <v>0</v>
      </c>
      <c r="Z555">
        <v>45.2</v>
      </c>
      <c r="AA555" t="s">
        <v>43</v>
      </c>
      <c r="AB555">
        <v>0</v>
      </c>
      <c r="AD555" t="s">
        <v>9574</v>
      </c>
      <c r="AE555" t="s">
        <v>9575</v>
      </c>
    </row>
    <row r="556" spans="1:31" x14ac:dyDescent="0.25">
      <c r="A556" t="s">
        <v>31</v>
      </c>
      <c r="B556" t="s">
        <v>11350</v>
      </c>
      <c r="C556" t="s">
        <v>647</v>
      </c>
      <c r="D556" t="s">
        <v>746</v>
      </c>
      <c r="E556" t="s">
        <v>362</v>
      </c>
      <c r="F556" t="s">
        <v>649</v>
      </c>
      <c r="H556" t="s">
        <v>36</v>
      </c>
      <c r="I556" t="s">
        <v>747</v>
      </c>
      <c r="J556" t="s">
        <v>31</v>
      </c>
      <c r="K556" t="s">
        <v>38</v>
      </c>
      <c r="L556" t="s">
        <v>242</v>
      </c>
      <c r="M556" t="s">
        <v>243</v>
      </c>
      <c r="N556" t="s">
        <v>748</v>
      </c>
      <c r="P556" t="s">
        <v>749</v>
      </c>
      <c r="T556">
        <v>38.440572387000003</v>
      </c>
      <c r="U556">
        <v>-77.875829538999994</v>
      </c>
      <c r="V556">
        <f>SUM(W556:X556)+(Y556*0.8)+(Z556*0.4)</f>
        <v>44.8</v>
      </c>
      <c r="W556">
        <v>0</v>
      </c>
      <c r="X556">
        <v>28</v>
      </c>
      <c r="Y556">
        <v>21</v>
      </c>
      <c r="Z556">
        <v>0</v>
      </c>
      <c r="AA556" t="s">
        <v>43</v>
      </c>
      <c r="AB556">
        <v>49</v>
      </c>
      <c r="AD556" t="s">
        <v>750</v>
      </c>
      <c r="AE556" t="s">
        <v>751</v>
      </c>
    </row>
    <row r="557" spans="1:31" x14ac:dyDescent="0.25">
      <c r="A557" t="s">
        <v>31</v>
      </c>
      <c r="C557" t="s">
        <v>6832</v>
      </c>
      <c r="D557" t="s">
        <v>6915</v>
      </c>
      <c r="E557" t="s">
        <v>34</v>
      </c>
      <c r="F557" t="s">
        <v>66</v>
      </c>
      <c r="G557">
        <v>2023</v>
      </c>
      <c r="H557" t="s">
        <v>36</v>
      </c>
      <c r="I557" t="s">
        <v>6916</v>
      </c>
      <c r="J557" t="s">
        <v>31</v>
      </c>
      <c r="K557" t="s">
        <v>38</v>
      </c>
      <c r="L557" t="s">
        <v>242</v>
      </c>
      <c r="M557" t="s">
        <v>243</v>
      </c>
      <c r="N557" t="s">
        <v>509</v>
      </c>
      <c r="O557" t="s">
        <v>6917</v>
      </c>
      <c r="P557" t="s">
        <v>725</v>
      </c>
      <c r="Q557" t="s">
        <v>726</v>
      </c>
      <c r="T557">
        <v>38.775545029</v>
      </c>
      <c r="U557">
        <v>-77.545194620000004</v>
      </c>
      <c r="V557">
        <f>SUM(W557:X557)+(Y557*0.8)+(Z557*0.4)</f>
        <v>44</v>
      </c>
      <c r="W557">
        <v>44</v>
      </c>
      <c r="X557">
        <v>0</v>
      </c>
      <c r="Y557">
        <v>0</v>
      </c>
      <c r="Z557">
        <v>0</v>
      </c>
      <c r="AA557" t="s">
        <v>43</v>
      </c>
      <c r="AB557">
        <v>44</v>
      </c>
      <c r="AD557" t="s">
        <v>6918</v>
      </c>
      <c r="AE557" t="s">
        <v>6919</v>
      </c>
    </row>
    <row r="558" spans="1:31" x14ac:dyDescent="0.25">
      <c r="A558" t="s">
        <v>31</v>
      </c>
      <c r="B558" t="s">
        <v>11350</v>
      </c>
      <c r="C558" t="s">
        <v>6116</v>
      </c>
      <c r="D558" t="s">
        <v>6239</v>
      </c>
      <c r="E558" t="s">
        <v>362</v>
      </c>
      <c r="F558" t="s">
        <v>649</v>
      </c>
      <c r="G558">
        <v>2019</v>
      </c>
      <c r="H558" t="s">
        <v>36</v>
      </c>
      <c r="I558" t="s">
        <v>6240</v>
      </c>
      <c r="J558" t="s">
        <v>31</v>
      </c>
      <c r="K558" t="s">
        <v>38</v>
      </c>
      <c r="L558" t="s">
        <v>260</v>
      </c>
      <c r="M558" t="s">
        <v>261</v>
      </c>
      <c r="N558" t="s">
        <v>3641</v>
      </c>
      <c r="O558" t="s">
        <v>1353</v>
      </c>
      <c r="P558" t="s">
        <v>6241</v>
      </c>
      <c r="T558">
        <v>36.625416999999999</v>
      </c>
      <c r="U558">
        <v>-87.263352999999995</v>
      </c>
      <c r="V558">
        <f>SUM(W558:X558)+(Y558*0.8)+(Z558*0.4)</f>
        <v>44</v>
      </c>
      <c r="W558">
        <v>44</v>
      </c>
      <c r="X558">
        <v>0</v>
      </c>
      <c r="Y558">
        <v>0</v>
      </c>
      <c r="Z558">
        <v>0</v>
      </c>
      <c r="AA558" t="s">
        <v>43</v>
      </c>
      <c r="AB558">
        <v>44</v>
      </c>
      <c r="AD558" t="s">
        <v>6242</v>
      </c>
      <c r="AE558" t="s">
        <v>6243</v>
      </c>
    </row>
    <row r="559" spans="1:31" x14ac:dyDescent="0.25">
      <c r="A559" t="s">
        <v>31</v>
      </c>
      <c r="C559" t="s">
        <v>3312</v>
      </c>
      <c r="D559" t="s">
        <v>3447</v>
      </c>
      <c r="E559" t="s">
        <v>34</v>
      </c>
      <c r="F559" t="s">
        <v>66</v>
      </c>
      <c r="G559">
        <v>2015</v>
      </c>
      <c r="H559" t="s">
        <v>36</v>
      </c>
      <c r="I559" t="s">
        <v>3448</v>
      </c>
      <c r="J559" t="s">
        <v>31</v>
      </c>
      <c r="K559" t="s">
        <v>38</v>
      </c>
      <c r="L559" t="s">
        <v>242</v>
      </c>
      <c r="M559" t="s">
        <v>243</v>
      </c>
      <c r="N559" t="s">
        <v>405</v>
      </c>
      <c r="O559" t="s">
        <v>526</v>
      </c>
      <c r="P559" t="s">
        <v>527</v>
      </c>
      <c r="T559">
        <v>39.025833708999997</v>
      </c>
      <c r="U559">
        <v>-77.414776109000002</v>
      </c>
      <c r="V559">
        <f>SUM(W559:X559)+(Y559*0.8)+(Z559*0.4)</f>
        <v>43.5</v>
      </c>
      <c r="W559">
        <v>43.5</v>
      </c>
      <c r="X559">
        <v>0</v>
      </c>
      <c r="Y559">
        <v>0</v>
      </c>
      <c r="Z559">
        <v>0</v>
      </c>
      <c r="AA559" t="s">
        <v>43</v>
      </c>
      <c r="AB559">
        <v>43.49</v>
      </c>
      <c r="AD559" t="s">
        <v>3449</v>
      </c>
      <c r="AE559" t="s">
        <v>3450</v>
      </c>
    </row>
    <row r="560" spans="1:31" x14ac:dyDescent="0.25">
      <c r="A560" t="s">
        <v>31</v>
      </c>
      <c r="C560" t="s">
        <v>2862</v>
      </c>
      <c r="D560" t="s">
        <v>2870</v>
      </c>
      <c r="E560" t="s">
        <v>34</v>
      </c>
      <c r="F560" t="s">
        <v>66</v>
      </c>
      <c r="H560" t="s">
        <v>36</v>
      </c>
      <c r="I560" t="s">
        <v>2871</v>
      </c>
      <c r="J560" t="s">
        <v>31</v>
      </c>
      <c r="K560" t="s">
        <v>38</v>
      </c>
      <c r="L560" t="s">
        <v>326</v>
      </c>
      <c r="M560" t="s">
        <v>327</v>
      </c>
      <c r="N560" t="s">
        <v>328</v>
      </c>
      <c r="O560" t="s">
        <v>2872</v>
      </c>
      <c r="P560" t="s">
        <v>2873</v>
      </c>
      <c r="T560">
        <v>33.578513674</v>
      </c>
      <c r="U560">
        <v>-112.33021600399999</v>
      </c>
      <c r="V560">
        <f>SUM(W560:X560)+(Y560*0.8)+(Z560*0.4)</f>
        <v>43.2</v>
      </c>
      <c r="W560">
        <v>0</v>
      </c>
      <c r="X560">
        <v>0</v>
      </c>
      <c r="Y560">
        <v>0</v>
      </c>
      <c r="Z560">
        <v>108</v>
      </c>
      <c r="AA560" t="s">
        <v>43</v>
      </c>
      <c r="AB560">
        <v>0</v>
      </c>
      <c r="AD560" t="s">
        <v>2874</v>
      </c>
      <c r="AE560" t="s">
        <v>2875</v>
      </c>
    </row>
    <row r="561" spans="1:31" x14ac:dyDescent="0.25">
      <c r="A561" t="s">
        <v>31</v>
      </c>
      <c r="C561" t="s">
        <v>10037</v>
      </c>
      <c r="D561" t="s">
        <v>10056</v>
      </c>
      <c r="E561" t="s">
        <v>34</v>
      </c>
      <c r="F561" t="s">
        <v>35</v>
      </c>
      <c r="G561">
        <v>2019</v>
      </c>
      <c r="H561" t="s">
        <v>36</v>
      </c>
      <c r="I561" t="s">
        <v>10057</v>
      </c>
      <c r="J561" t="s">
        <v>31</v>
      </c>
      <c r="K561" t="s">
        <v>38</v>
      </c>
      <c r="L561" t="s">
        <v>68</v>
      </c>
      <c r="M561" t="s">
        <v>69</v>
      </c>
      <c r="N561" t="s">
        <v>297</v>
      </c>
      <c r="O561" t="s">
        <v>4528</v>
      </c>
      <c r="P561" t="s">
        <v>2474</v>
      </c>
      <c r="T561">
        <v>32.983511</v>
      </c>
      <c r="U561">
        <v>-96.654273000000003</v>
      </c>
      <c r="V561">
        <f>SUM(W561:X561)+(Y561*0.8)+(Z561*0.4)</f>
        <v>43</v>
      </c>
      <c r="W561">
        <v>43</v>
      </c>
      <c r="X561">
        <v>0</v>
      </c>
      <c r="Y561">
        <v>0</v>
      </c>
      <c r="Z561">
        <v>0</v>
      </c>
      <c r="AA561" t="s">
        <v>43</v>
      </c>
      <c r="AB561">
        <v>43</v>
      </c>
      <c r="AD561" t="s">
        <v>10058</v>
      </c>
      <c r="AE561" t="s">
        <v>10059</v>
      </c>
    </row>
    <row r="562" spans="1:31" x14ac:dyDescent="0.25">
      <c r="A562" t="s">
        <v>31</v>
      </c>
      <c r="C562" t="s">
        <v>9886</v>
      </c>
      <c r="D562" t="s">
        <v>9924</v>
      </c>
      <c r="E562" t="s">
        <v>34</v>
      </c>
      <c r="F562" t="s">
        <v>66</v>
      </c>
      <c r="G562">
        <v>2012</v>
      </c>
      <c r="H562" t="s">
        <v>36</v>
      </c>
      <c r="I562" t="s">
        <v>9925</v>
      </c>
      <c r="J562" t="s">
        <v>31</v>
      </c>
      <c r="K562" t="s">
        <v>38</v>
      </c>
      <c r="L562" t="s">
        <v>317</v>
      </c>
      <c r="M562" t="s">
        <v>318</v>
      </c>
      <c r="N562" t="s">
        <v>665</v>
      </c>
      <c r="O562" t="s">
        <v>1304</v>
      </c>
      <c r="P562" t="s">
        <v>1305</v>
      </c>
      <c r="Q562" t="s">
        <v>1178</v>
      </c>
      <c r="T562">
        <v>40.106276088999998</v>
      </c>
      <c r="U562">
        <v>-82.800707891000002</v>
      </c>
      <c r="V562">
        <f>SUM(W562:X562)+(Y562*0.8)+(Z562*0.4)</f>
        <v>42.7</v>
      </c>
      <c r="W562">
        <v>4.3</v>
      </c>
      <c r="X562">
        <v>0</v>
      </c>
      <c r="Y562">
        <v>48</v>
      </c>
      <c r="Z562">
        <v>0</v>
      </c>
      <c r="AA562" t="s">
        <v>43</v>
      </c>
      <c r="AB562">
        <v>4.3</v>
      </c>
      <c r="AD562" t="s">
        <v>9926</v>
      </c>
      <c r="AE562" t="s">
        <v>9927</v>
      </c>
    </row>
    <row r="563" spans="1:31" x14ac:dyDescent="0.25">
      <c r="A563" t="s">
        <v>31</v>
      </c>
      <c r="C563" t="s">
        <v>3692</v>
      </c>
      <c r="D563" t="s">
        <v>3693</v>
      </c>
      <c r="E563" t="s">
        <v>34</v>
      </c>
      <c r="F563" t="s">
        <v>76</v>
      </c>
      <c r="G563">
        <v>2011</v>
      </c>
      <c r="H563" t="s">
        <v>36</v>
      </c>
      <c r="I563" t="s">
        <v>3694</v>
      </c>
      <c r="J563" t="s">
        <v>31</v>
      </c>
      <c r="K563" t="s">
        <v>38</v>
      </c>
      <c r="L563" t="s">
        <v>383</v>
      </c>
      <c r="M563" t="s">
        <v>384</v>
      </c>
      <c r="N563" t="s">
        <v>1441</v>
      </c>
      <c r="O563" t="s">
        <v>3695</v>
      </c>
      <c r="P563" t="s">
        <v>3696</v>
      </c>
      <c r="T563">
        <v>35.701454927999997</v>
      </c>
      <c r="U563">
        <v>-81.156582694999997</v>
      </c>
      <c r="V563">
        <f>SUM(W563:X563)+(Y563*0.8)+(Z563*0.4)</f>
        <v>42.6</v>
      </c>
      <c r="W563">
        <v>1</v>
      </c>
      <c r="X563">
        <v>0</v>
      </c>
      <c r="Y563">
        <v>5</v>
      </c>
      <c r="Z563">
        <v>94</v>
      </c>
      <c r="AA563" t="s">
        <v>43</v>
      </c>
      <c r="AB563">
        <v>1</v>
      </c>
      <c r="AD563" t="s">
        <v>3697</v>
      </c>
      <c r="AE563" t="s">
        <v>3698</v>
      </c>
    </row>
    <row r="564" spans="1:31" x14ac:dyDescent="0.25">
      <c r="A564" t="s">
        <v>31</v>
      </c>
      <c r="C564" t="s">
        <v>160</v>
      </c>
      <c r="D564" t="s">
        <v>161</v>
      </c>
      <c r="E564" t="s">
        <v>34</v>
      </c>
      <c r="F564" t="s">
        <v>35</v>
      </c>
      <c r="G564">
        <v>2000</v>
      </c>
      <c r="H564" t="s">
        <v>36</v>
      </c>
      <c r="I564" t="s">
        <v>162</v>
      </c>
      <c r="J564" t="s">
        <v>31</v>
      </c>
      <c r="K564" t="s">
        <v>38</v>
      </c>
      <c r="L564" t="s">
        <v>39</v>
      </c>
      <c r="M564" t="s">
        <v>40</v>
      </c>
      <c r="N564" t="s">
        <v>163</v>
      </c>
      <c r="O564" t="s">
        <v>164</v>
      </c>
      <c r="P564" t="s">
        <v>165</v>
      </c>
      <c r="Q564" t="s">
        <v>166</v>
      </c>
      <c r="T564">
        <v>40.736857000000001</v>
      </c>
      <c r="U564">
        <v>-74.173404000000005</v>
      </c>
      <c r="V564">
        <f>SUM(W564:X564)+(Y564*0.8)+(Z564*0.4)</f>
        <v>42.441000000000003</v>
      </c>
      <c r="W564">
        <v>24.864999999999998</v>
      </c>
      <c r="X564">
        <v>0</v>
      </c>
      <c r="Y564">
        <v>20.399999999999999</v>
      </c>
      <c r="Z564">
        <v>3.14</v>
      </c>
      <c r="AA564" t="s">
        <v>43</v>
      </c>
      <c r="AB564">
        <v>21.65</v>
      </c>
      <c r="AD564" t="s">
        <v>167</v>
      </c>
      <c r="AE564" t="s">
        <v>168</v>
      </c>
    </row>
    <row r="565" spans="1:31" x14ac:dyDescent="0.25">
      <c r="A565" t="s">
        <v>31</v>
      </c>
      <c r="C565" t="s">
        <v>2414</v>
      </c>
      <c r="D565" t="s">
        <v>2415</v>
      </c>
      <c r="E565" t="s">
        <v>34</v>
      </c>
      <c r="F565" t="s">
        <v>66</v>
      </c>
      <c r="G565">
        <v>2006</v>
      </c>
      <c r="H565" t="s">
        <v>36</v>
      </c>
      <c r="I565" t="s">
        <v>2416</v>
      </c>
      <c r="J565" t="s">
        <v>31</v>
      </c>
      <c r="K565" t="s">
        <v>38</v>
      </c>
      <c r="L565" t="s">
        <v>77</v>
      </c>
      <c r="M565" t="s">
        <v>78</v>
      </c>
      <c r="N565" t="s">
        <v>1588</v>
      </c>
      <c r="O565" t="s">
        <v>1589</v>
      </c>
      <c r="P565" t="s">
        <v>2417</v>
      </c>
      <c r="Q565" t="s">
        <v>1590</v>
      </c>
      <c r="T565">
        <v>40.754072784999998</v>
      </c>
      <c r="U565">
        <v>-79.635885478000006</v>
      </c>
      <c r="V565">
        <f>SUM(W565:X565)+(Y565*0.8)+(Z565*0.4)</f>
        <v>42.400000000000006</v>
      </c>
      <c r="W565">
        <v>4</v>
      </c>
      <c r="X565">
        <v>0</v>
      </c>
      <c r="Y565">
        <v>0</v>
      </c>
      <c r="Z565">
        <v>96</v>
      </c>
      <c r="AA565" t="s">
        <v>43</v>
      </c>
      <c r="AB565">
        <v>0</v>
      </c>
      <c r="AD565" t="s">
        <v>2418</v>
      </c>
      <c r="AE565" t="s">
        <v>2419</v>
      </c>
    </row>
    <row r="566" spans="1:31" x14ac:dyDescent="0.25">
      <c r="A566" t="s">
        <v>31</v>
      </c>
      <c r="C566" t="s">
        <v>4998</v>
      </c>
      <c r="D566" t="s">
        <v>5003</v>
      </c>
      <c r="E566" t="s">
        <v>34</v>
      </c>
      <c r="F566" t="s">
        <v>66</v>
      </c>
      <c r="G566">
        <v>2026</v>
      </c>
      <c r="H566" t="s">
        <v>36</v>
      </c>
      <c r="I566" t="s">
        <v>5004</v>
      </c>
      <c r="J566" t="s">
        <v>31</v>
      </c>
      <c r="K566" t="s">
        <v>38</v>
      </c>
      <c r="L566" t="s">
        <v>242</v>
      </c>
      <c r="M566" t="s">
        <v>243</v>
      </c>
      <c r="N566" t="s">
        <v>405</v>
      </c>
      <c r="O566" t="s">
        <v>526</v>
      </c>
      <c r="P566" t="s">
        <v>527</v>
      </c>
      <c r="T566">
        <v>38.994671953999998</v>
      </c>
      <c r="U566">
        <v>-77.446014040999998</v>
      </c>
      <c r="V566">
        <f>SUM(W566:X566)+(Y566*0.8)+(Z566*0.4)</f>
        <v>42</v>
      </c>
      <c r="W566">
        <v>0</v>
      </c>
      <c r="X566">
        <v>42</v>
      </c>
      <c r="Y566">
        <v>0</v>
      </c>
      <c r="Z566">
        <v>0</v>
      </c>
      <c r="AA566" t="s">
        <v>43</v>
      </c>
      <c r="AB566">
        <v>22</v>
      </c>
      <c r="AD566" t="s">
        <v>5005</v>
      </c>
      <c r="AE566" t="s">
        <v>5006</v>
      </c>
    </row>
    <row r="567" spans="1:31" x14ac:dyDescent="0.25">
      <c r="A567" t="s">
        <v>31</v>
      </c>
      <c r="C567" t="s">
        <v>6381</v>
      </c>
      <c r="D567" t="s">
        <v>6382</v>
      </c>
      <c r="E567" t="s">
        <v>34</v>
      </c>
      <c r="F567" t="s">
        <v>66</v>
      </c>
      <c r="G567">
        <v>2024</v>
      </c>
      <c r="H567" t="s">
        <v>36</v>
      </c>
      <c r="I567" t="s">
        <v>6383</v>
      </c>
      <c r="J567" t="s">
        <v>31</v>
      </c>
      <c r="K567" t="s">
        <v>38</v>
      </c>
      <c r="L567" t="s">
        <v>242</v>
      </c>
      <c r="M567" t="s">
        <v>243</v>
      </c>
      <c r="N567" t="s">
        <v>405</v>
      </c>
      <c r="O567" t="s">
        <v>516</v>
      </c>
      <c r="P567" t="s">
        <v>517</v>
      </c>
      <c r="T567">
        <v>39.013612999999999</v>
      </c>
      <c r="U567">
        <v>-77.451886000000002</v>
      </c>
      <c r="V567">
        <f>SUM(W567:X567)+(Y567*0.8)+(Z567*0.4)</f>
        <v>42</v>
      </c>
      <c r="W567">
        <v>42</v>
      </c>
      <c r="X567">
        <v>0</v>
      </c>
      <c r="Y567">
        <v>0</v>
      </c>
      <c r="Z567">
        <v>0</v>
      </c>
      <c r="AA567" t="s">
        <v>43</v>
      </c>
      <c r="AB567">
        <v>42</v>
      </c>
      <c r="AD567" t="s">
        <v>6384</v>
      </c>
      <c r="AE567" t="s">
        <v>6385</v>
      </c>
    </row>
    <row r="568" spans="1:31" x14ac:dyDescent="0.25">
      <c r="A568" t="s">
        <v>31</v>
      </c>
      <c r="C568" t="s">
        <v>10876</v>
      </c>
      <c r="D568" t="s">
        <v>10928</v>
      </c>
      <c r="E568" t="s">
        <v>34</v>
      </c>
      <c r="F568" t="s">
        <v>35</v>
      </c>
      <c r="G568">
        <v>2013</v>
      </c>
      <c r="H568" t="s">
        <v>36</v>
      </c>
      <c r="I568" t="s">
        <v>10929</v>
      </c>
      <c r="J568" t="s">
        <v>31</v>
      </c>
      <c r="K568" t="s">
        <v>38</v>
      </c>
      <c r="L568" t="s">
        <v>843</v>
      </c>
      <c r="M568" t="s">
        <v>1644</v>
      </c>
      <c r="N568" t="s">
        <v>3511</v>
      </c>
      <c r="O568" t="s">
        <v>3509</v>
      </c>
      <c r="P568" t="s">
        <v>3512</v>
      </c>
      <c r="T568">
        <v>47.250028999999998</v>
      </c>
      <c r="U568">
        <v>-119.814306</v>
      </c>
      <c r="V568">
        <f>SUM(W568:X568)+(Y568*0.8)+(Z568*0.4)</f>
        <v>41.8</v>
      </c>
      <c r="W568">
        <v>41.8</v>
      </c>
      <c r="X568">
        <v>0</v>
      </c>
      <c r="Y568">
        <v>0</v>
      </c>
      <c r="Z568">
        <v>0</v>
      </c>
      <c r="AA568" t="s">
        <v>43</v>
      </c>
      <c r="AB568">
        <v>39.799999999999997</v>
      </c>
      <c r="AC568">
        <v>1.3</v>
      </c>
      <c r="AD568" t="s">
        <v>10930</v>
      </c>
      <c r="AE568" t="s">
        <v>10931</v>
      </c>
    </row>
    <row r="569" spans="1:31" x14ac:dyDescent="0.25">
      <c r="A569" t="s">
        <v>31</v>
      </c>
      <c r="B569" t="s">
        <v>11350</v>
      </c>
      <c r="C569" t="s">
        <v>647</v>
      </c>
      <c r="D569" t="s">
        <v>729</v>
      </c>
      <c r="E569" t="s">
        <v>362</v>
      </c>
      <c r="F569" t="s">
        <v>649</v>
      </c>
      <c r="G569">
        <v>2025</v>
      </c>
      <c r="H569" t="s">
        <v>36</v>
      </c>
      <c r="I569" t="s">
        <v>730</v>
      </c>
      <c r="J569" t="s">
        <v>31</v>
      </c>
      <c r="K569" t="s">
        <v>38</v>
      </c>
      <c r="L569" t="s">
        <v>242</v>
      </c>
      <c r="M569" t="s">
        <v>243</v>
      </c>
      <c r="N569" t="s">
        <v>509</v>
      </c>
      <c r="O569" t="s">
        <v>685</v>
      </c>
      <c r="P569" t="s">
        <v>686</v>
      </c>
      <c r="T569">
        <v>38.738484745000001</v>
      </c>
      <c r="U569">
        <v>-77.541740282000006</v>
      </c>
      <c r="V569">
        <f>SUM(W569:X569)+(Y569*0.8)+(Z569*0.4)</f>
        <v>41.6</v>
      </c>
      <c r="W569">
        <v>0</v>
      </c>
      <c r="X569">
        <v>0</v>
      </c>
      <c r="Y569">
        <v>0</v>
      </c>
      <c r="Z569">
        <v>104</v>
      </c>
      <c r="AA569" t="s">
        <v>43</v>
      </c>
      <c r="AB569">
        <v>0</v>
      </c>
      <c r="AD569" t="s">
        <v>731</v>
      </c>
      <c r="AE569" t="s">
        <v>732</v>
      </c>
    </row>
    <row r="570" spans="1:31" x14ac:dyDescent="0.25">
      <c r="A570" t="s">
        <v>31</v>
      </c>
      <c r="C570" t="s">
        <v>3849</v>
      </c>
      <c r="D570" t="s">
        <v>4404</v>
      </c>
      <c r="E570" t="s">
        <v>34</v>
      </c>
      <c r="F570" t="s">
        <v>66</v>
      </c>
      <c r="G570">
        <v>2014</v>
      </c>
      <c r="H570" t="s">
        <v>36</v>
      </c>
      <c r="I570" t="s">
        <v>4405</v>
      </c>
      <c r="J570" t="s">
        <v>31</v>
      </c>
      <c r="K570" t="s">
        <v>38</v>
      </c>
      <c r="L570" t="s">
        <v>242</v>
      </c>
      <c r="M570" t="s">
        <v>243</v>
      </c>
      <c r="N570" t="s">
        <v>405</v>
      </c>
      <c r="O570" t="s">
        <v>516</v>
      </c>
      <c r="P570" t="s">
        <v>853</v>
      </c>
      <c r="T570">
        <v>39.017538999999999</v>
      </c>
      <c r="U570">
        <v>-77.465894000000006</v>
      </c>
      <c r="V570">
        <f>SUM(W570:X570)+(Y570*0.8)+(Z570*0.4)</f>
        <v>41.6</v>
      </c>
      <c r="W570">
        <v>41.6</v>
      </c>
      <c r="X570">
        <v>0</v>
      </c>
      <c r="Y570">
        <v>0</v>
      </c>
      <c r="Z570">
        <v>0</v>
      </c>
      <c r="AA570" t="s">
        <v>43</v>
      </c>
      <c r="AB570">
        <v>40.58</v>
      </c>
      <c r="AD570" t="s">
        <v>4406</v>
      </c>
      <c r="AE570" t="s">
        <v>4407</v>
      </c>
    </row>
    <row r="571" spans="1:31" x14ac:dyDescent="0.25">
      <c r="A571" t="s">
        <v>31</v>
      </c>
      <c r="C571" t="s">
        <v>8711</v>
      </c>
      <c r="D571" t="s">
        <v>8715</v>
      </c>
      <c r="E571" t="s">
        <v>34</v>
      </c>
      <c r="F571" t="s">
        <v>66</v>
      </c>
      <c r="H571" t="s">
        <v>36</v>
      </c>
      <c r="I571" t="s">
        <v>8716</v>
      </c>
      <c r="J571" t="s">
        <v>31</v>
      </c>
      <c r="K571" t="s">
        <v>38</v>
      </c>
      <c r="L571" t="s">
        <v>86</v>
      </c>
      <c r="M571" t="s">
        <v>87</v>
      </c>
      <c r="N571" t="s">
        <v>2215</v>
      </c>
      <c r="O571" t="s">
        <v>8715</v>
      </c>
      <c r="P571" t="s">
        <v>8717</v>
      </c>
      <c r="T571">
        <v>41.910795221999997</v>
      </c>
      <c r="U571">
        <v>-88.115263830000004</v>
      </c>
      <c r="V571">
        <f>SUM(W571:X571)+(Y571*0.8)+(Z571*0.4)</f>
        <v>41.404600000000002</v>
      </c>
      <c r="W571">
        <v>0</v>
      </c>
      <c r="X571">
        <v>23.007000000000001</v>
      </c>
      <c r="Y571">
        <v>22.997</v>
      </c>
      <c r="Z571">
        <v>0</v>
      </c>
      <c r="AA571" t="s">
        <v>43</v>
      </c>
      <c r="AB571">
        <v>0</v>
      </c>
      <c r="AD571" t="s">
        <v>8718</v>
      </c>
      <c r="AE571" t="s">
        <v>8719</v>
      </c>
    </row>
    <row r="572" spans="1:31" x14ac:dyDescent="0.25">
      <c r="A572" t="s">
        <v>31</v>
      </c>
      <c r="C572" t="s">
        <v>64</v>
      </c>
      <c r="D572" t="s">
        <v>121</v>
      </c>
      <c r="E572" t="s">
        <v>34</v>
      </c>
      <c r="F572" t="s">
        <v>35</v>
      </c>
      <c r="G572">
        <v>2015</v>
      </c>
      <c r="H572" t="s">
        <v>36</v>
      </c>
      <c r="I572" t="s">
        <v>122</v>
      </c>
      <c r="J572" t="s">
        <v>31</v>
      </c>
      <c r="K572" t="s">
        <v>38</v>
      </c>
      <c r="L572" t="s">
        <v>123</v>
      </c>
      <c r="M572" t="s">
        <v>124</v>
      </c>
      <c r="N572" t="s">
        <v>125</v>
      </c>
      <c r="O572" t="s">
        <v>126</v>
      </c>
      <c r="P572" t="s">
        <v>127</v>
      </c>
      <c r="Q572" t="s">
        <v>128</v>
      </c>
      <c r="T572">
        <v>41.034702162999999</v>
      </c>
      <c r="U572">
        <v>-73.975926133000002</v>
      </c>
      <c r="V572">
        <f>SUM(W572:X572)+(Y572*0.8)+(Z572*0.4)</f>
        <v>41.3</v>
      </c>
      <c r="W572">
        <v>13.3</v>
      </c>
      <c r="X572">
        <v>4</v>
      </c>
      <c r="Y572">
        <v>30</v>
      </c>
      <c r="Z572">
        <v>0</v>
      </c>
      <c r="AA572" t="s">
        <v>43</v>
      </c>
      <c r="AB572">
        <v>12.8</v>
      </c>
      <c r="AD572" t="s">
        <v>129</v>
      </c>
      <c r="AE572" t="s">
        <v>130</v>
      </c>
    </row>
    <row r="573" spans="1:31" x14ac:dyDescent="0.25">
      <c r="A573" t="s">
        <v>31</v>
      </c>
      <c r="C573" t="s">
        <v>9546</v>
      </c>
      <c r="D573" t="s">
        <v>9547</v>
      </c>
      <c r="E573" t="s">
        <v>34</v>
      </c>
      <c r="F573" t="s">
        <v>35</v>
      </c>
      <c r="G573">
        <v>2008</v>
      </c>
      <c r="H573" t="s">
        <v>36</v>
      </c>
      <c r="I573" t="s">
        <v>9548</v>
      </c>
      <c r="J573" t="s">
        <v>31</v>
      </c>
      <c r="K573" t="s">
        <v>38</v>
      </c>
      <c r="L573" t="s">
        <v>843</v>
      </c>
      <c r="M573" t="s">
        <v>1644</v>
      </c>
      <c r="N573" t="s">
        <v>155</v>
      </c>
      <c r="T573">
        <v>47.406919000000002</v>
      </c>
      <c r="U573">
        <v>-120.18782</v>
      </c>
      <c r="V573">
        <f>SUM(W573:X573)+(Y573*0.8)+(Z573*0.4)</f>
        <v>41.1</v>
      </c>
      <c r="W573">
        <v>33.9</v>
      </c>
      <c r="X573">
        <v>0</v>
      </c>
      <c r="Y573">
        <v>0</v>
      </c>
      <c r="Z573">
        <v>18</v>
      </c>
      <c r="AA573" t="s">
        <v>43</v>
      </c>
      <c r="AB573">
        <v>30.1</v>
      </c>
      <c r="AC573">
        <v>1.2</v>
      </c>
      <c r="AD573" t="s">
        <v>9549</v>
      </c>
      <c r="AE573" t="s">
        <v>9550</v>
      </c>
    </row>
    <row r="574" spans="1:31" x14ac:dyDescent="0.25">
      <c r="A574" t="s">
        <v>31</v>
      </c>
      <c r="C574" t="s">
        <v>6832</v>
      </c>
      <c r="D574" t="s">
        <v>6833</v>
      </c>
      <c r="E574" t="s">
        <v>34</v>
      </c>
      <c r="F574" t="s">
        <v>66</v>
      </c>
      <c r="G574">
        <v>2009</v>
      </c>
      <c r="H574" t="s">
        <v>36</v>
      </c>
      <c r="I574" t="s">
        <v>6834</v>
      </c>
      <c r="J574" t="s">
        <v>31</v>
      </c>
      <c r="K574" t="s">
        <v>38</v>
      </c>
      <c r="L574" t="s">
        <v>326</v>
      </c>
      <c r="M574" t="s">
        <v>327</v>
      </c>
      <c r="N574" t="s">
        <v>328</v>
      </c>
      <c r="O574" t="s">
        <v>590</v>
      </c>
      <c r="P574" t="s">
        <v>6835</v>
      </c>
      <c r="Q574" t="s">
        <v>6836</v>
      </c>
      <c r="T574">
        <v>33.454581075</v>
      </c>
      <c r="U574">
        <v>-111.976424271</v>
      </c>
      <c r="V574">
        <f>SUM(W574:X574)+(Y574*0.8)+(Z574*0.4)</f>
        <v>41</v>
      </c>
      <c r="W574">
        <v>41</v>
      </c>
      <c r="X574">
        <v>0</v>
      </c>
      <c r="Y574">
        <v>0</v>
      </c>
      <c r="Z574">
        <v>0</v>
      </c>
      <c r="AA574" t="s">
        <v>43</v>
      </c>
      <c r="AB574">
        <v>38.5</v>
      </c>
      <c r="AC574">
        <v>1.2</v>
      </c>
      <c r="AD574" t="s">
        <v>6837</v>
      </c>
      <c r="AE574" t="s">
        <v>6838</v>
      </c>
    </row>
    <row r="575" spans="1:31" x14ac:dyDescent="0.25">
      <c r="A575" t="s">
        <v>31</v>
      </c>
      <c r="C575" t="s">
        <v>3312</v>
      </c>
      <c r="D575" t="s">
        <v>3387</v>
      </c>
      <c r="E575" t="s">
        <v>34</v>
      </c>
      <c r="F575" t="s">
        <v>66</v>
      </c>
      <c r="G575">
        <v>2009</v>
      </c>
      <c r="H575" t="s">
        <v>36</v>
      </c>
      <c r="I575" t="s">
        <v>3388</v>
      </c>
      <c r="J575" t="s">
        <v>31</v>
      </c>
      <c r="K575" t="s">
        <v>38</v>
      </c>
      <c r="L575" t="s">
        <v>317</v>
      </c>
      <c r="M575" t="s">
        <v>318</v>
      </c>
      <c r="N575" t="s">
        <v>3352</v>
      </c>
      <c r="O575" t="s">
        <v>3389</v>
      </c>
      <c r="P575" t="s">
        <v>3390</v>
      </c>
      <c r="Q575" t="s">
        <v>3389</v>
      </c>
      <c r="T575">
        <v>39.389071156999997</v>
      </c>
      <c r="U575">
        <v>-84.221897738999999</v>
      </c>
      <c r="V575">
        <f>SUM(W575:X575)+(Y575*0.8)+(Z575*0.4)</f>
        <v>41</v>
      </c>
      <c r="W575">
        <v>17</v>
      </c>
      <c r="X575">
        <v>24</v>
      </c>
      <c r="Y575">
        <v>0</v>
      </c>
      <c r="Z575">
        <v>0</v>
      </c>
      <c r="AA575" t="s">
        <v>43</v>
      </c>
      <c r="AB575">
        <v>14</v>
      </c>
      <c r="AD575" t="s">
        <v>3391</v>
      </c>
      <c r="AE575" t="s">
        <v>3392</v>
      </c>
    </row>
    <row r="576" spans="1:31" x14ac:dyDescent="0.25">
      <c r="A576" t="s">
        <v>31</v>
      </c>
      <c r="C576" t="s">
        <v>7564</v>
      </c>
      <c r="D576" t="s">
        <v>7565</v>
      </c>
      <c r="E576" t="s">
        <v>34</v>
      </c>
      <c r="F576" t="s">
        <v>35</v>
      </c>
      <c r="G576">
        <v>2016</v>
      </c>
      <c r="H576" t="s">
        <v>36</v>
      </c>
      <c r="I576" t="s">
        <v>7566</v>
      </c>
      <c r="J576" t="s">
        <v>31</v>
      </c>
      <c r="K576" t="s">
        <v>38</v>
      </c>
      <c r="L576" t="s">
        <v>251</v>
      </c>
      <c r="M576" t="s">
        <v>252</v>
      </c>
      <c r="N576" t="s">
        <v>253</v>
      </c>
      <c r="O576" t="s">
        <v>7565</v>
      </c>
      <c r="P576" t="s">
        <v>7567</v>
      </c>
      <c r="T576">
        <v>42.630499999999998</v>
      </c>
      <c r="U576">
        <v>-71.304609999999997</v>
      </c>
      <c r="V576">
        <f>SUM(W576:X576)+(Y576*0.8)+(Z576*0.4)</f>
        <v>40.4</v>
      </c>
      <c r="W576">
        <v>34</v>
      </c>
      <c r="X576">
        <v>0</v>
      </c>
      <c r="Y576">
        <v>0</v>
      </c>
      <c r="Z576">
        <v>16</v>
      </c>
      <c r="AA576" t="s">
        <v>43</v>
      </c>
      <c r="AB576">
        <v>34</v>
      </c>
      <c r="AD576" t="s">
        <v>7568</v>
      </c>
      <c r="AE576" t="s">
        <v>7569</v>
      </c>
    </row>
    <row r="577" spans="1:31" x14ac:dyDescent="0.25">
      <c r="A577" t="s">
        <v>31</v>
      </c>
      <c r="C577" t="s">
        <v>10102</v>
      </c>
      <c r="D577" t="s">
        <v>10179</v>
      </c>
      <c r="E577" t="s">
        <v>34</v>
      </c>
      <c r="F577" t="s">
        <v>66</v>
      </c>
      <c r="G577">
        <v>2027</v>
      </c>
      <c r="H577" t="s">
        <v>36</v>
      </c>
      <c r="I577" t="s">
        <v>10175</v>
      </c>
      <c r="J577" t="s">
        <v>31</v>
      </c>
      <c r="K577" t="s">
        <v>38</v>
      </c>
      <c r="L577" t="s">
        <v>49</v>
      </c>
      <c r="M577" t="s">
        <v>50</v>
      </c>
      <c r="N577" t="s">
        <v>59</v>
      </c>
      <c r="O577" t="s">
        <v>10176</v>
      </c>
      <c r="Q577" t="s">
        <v>10176</v>
      </c>
      <c r="T577">
        <v>42.849848342000001</v>
      </c>
      <c r="U577">
        <v>-85.560049665999998</v>
      </c>
      <c r="V577">
        <f>SUM(W577:X577)+(Y577*0.8)+(Z577*0.4)</f>
        <v>40</v>
      </c>
      <c r="W577">
        <v>0</v>
      </c>
      <c r="X577">
        <v>0</v>
      </c>
      <c r="Y577">
        <v>50</v>
      </c>
      <c r="Z577">
        <v>0</v>
      </c>
      <c r="AA577" t="s">
        <v>43</v>
      </c>
      <c r="AB577">
        <v>0</v>
      </c>
      <c r="AD577" t="s">
        <v>10180</v>
      </c>
      <c r="AE577" t="s">
        <v>10181</v>
      </c>
    </row>
    <row r="578" spans="1:31" x14ac:dyDescent="0.25">
      <c r="A578" t="s">
        <v>31</v>
      </c>
      <c r="C578" t="s">
        <v>5970</v>
      </c>
      <c r="D578" t="s">
        <v>5971</v>
      </c>
      <c r="E578" t="s">
        <v>34</v>
      </c>
      <c r="F578" t="s">
        <v>66</v>
      </c>
      <c r="G578">
        <v>2027</v>
      </c>
      <c r="H578" t="s">
        <v>36</v>
      </c>
      <c r="I578" t="s">
        <v>5972</v>
      </c>
      <c r="J578" t="s">
        <v>31</v>
      </c>
      <c r="K578" t="s">
        <v>38</v>
      </c>
      <c r="L578" t="s">
        <v>185</v>
      </c>
      <c r="M578" t="s">
        <v>186</v>
      </c>
      <c r="N578" t="s">
        <v>5973</v>
      </c>
      <c r="O578" t="s">
        <v>5971</v>
      </c>
      <c r="P578" t="s">
        <v>5974</v>
      </c>
      <c r="T578">
        <v>32.985205985999997</v>
      </c>
      <c r="U578">
        <v>-85.055531551000001</v>
      </c>
      <c r="V578">
        <f>SUM(W578:X578)+(Y578*0.8)+(Z578*0.4)</f>
        <v>40</v>
      </c>
      <c r="W578">
        <v>0</v>
      </c>
      <c r="X578">
        <v>0</v>
      </c>
      <c r="Y578">
        <v>0</v>
      </c>
      <c r="Z578">
        <v>100</v>
      </c>
      <c r="AA578" t="s">
        <v>43</v>
      </c>
      <c r="AB578">
        <v>0</v>
      </c>
      <c r="AD578" t="s">
        <v>5975</v>
      </c>
      <c r="AE578" t="s">
        <v>5976</v>
      </c>
    </row>
    <row r="579" spans="1:31" x14ac:dyDescent="0.25">
      <c r="A579" t="s">
        <v>31</v>
      </c>
      <c r="C579" t="s">
        <v>7186</v>
      </c>
      <c r="D579" t="s">
        <v>7187</v>
      </c>
      <c r="E579" t="s">
        <v>34</v>
      </c>
      <c r="F579" t="s">
        <v>66</v>
      </c>
      <c r="G579">
        <v>2026</v>
      </c>
      <c r="H579" t="s">
        <v>36</v>
      </c>
      <c r="I579" t="s">
        <v>1115</v>
      </c>
      <c r="J579" t="s">
        <v>31</v>
      </c>
      <c r="K579" t="s">
        <v>38</v>
      </c>
      <c r="L579" t="s">
        <v>317</v>
      </c>
      <c r="M579" t="s">
        <v>318</v>
      </c>
      <c r="N579" t="s">
        <v>3361</v>
      </c>
      <c r="O579" t="s">
        <v>3362</v>
      </c>
      <c r="P579" t="s">
        <v>3363</v>
      </c>
      <c r="Q579" t="s">
        <v>3362</v>
      </c>
      <c r="T579">
        <v>39.381315714999999</v>
      </c>
      <c r="U579">
        <v>-84.558933549000002</v>
      </c>
      <c r="V579">
        <f>SUM(W579:X579)+(Y579*0.8)+(Z579*0.4)</f>
        <v>40</v>
      </c>
      <c r="W579">
        <v>0</v>
      </c>
      <c r="X579">
        <v>0</v>
      </c>
      <c r="Y579">
        <v>0</v>
      </c>
      <c r="Z579">
        <v>100</v>
      </c>
      <c r="AA579" t="s">
        <v>43</v>
      </c>
      <c r="AB579">
        <v>0</v>
      </c>
      <c r="AD579" t="s">
        <v>7188</v>
      </c>
      <c r="AE579" t="s">
        <v>7189</v>
      </c>
    </row>
    <row r="580" spans="1:31" x14ac:dyDescent="0.25">
      <c r="A580" t="s">
        <v>31</v>
      </c>
      <c r="C580" t="s">
        <v>3710</v>
      </c>
      <c r="D580" t="s">
        <v>3770</v>
      </c>
      <c r="E580" t="s">
        <v>34</v>
      </c>
      <c r="F580" t="s">
        <v>66</v>
      </c>
      <c r="G580">
        <v>2025</v>
      </c>
      <c r="H580" t="s">
        <v>36</v>
      </c>
      <c r="I580" t="s">
        <v>3771</v>
      </c>
      <c r="J580" t="s">
        <v>31</v>
      </c>
      <c r="K580" t="s">
        <v>38</v>
      </c>
      <c r="L580" t="s">
        <v>185</v>
      </c>
      <c r="M580" t="s">
        <v>186</v>
      </c>
      <c r="N580" t="s">
        <v>187</v>
      </c>
      <c r="O580" t="s">
        <v>1606</v>
      </c>
      <c r="P580" t="s">
        <v>3772</v>
      </c>
      <c r="T580">
        <v>33.750427684000002</v>
      </c>
      <c r="U580">
        <v>-84.548143414999998</v>
      </c>
      <c r="V580">
        <f>SUM(W580:X580)+(Y580*0.8)+(Z580*0.4)</f>
        <v>40</v>
      </c>
      <c r="W580">
        <v>40</v>
      </c>
      <c r="X580">
        <v>0</v>
      </c>
      <c r="Y580">
        <v>0</v>
      </c>
      <c r="Z580">
        <v>0</v>
      </c>
      <c r="AA580" t="s">
        <v>43</v>
      </c>
      <c r="AB580">
        <v>40</v>
      </c>
      <c r="AD580" t="s">
        <v>3773</v>
      </c>
      <c r="AE580" t="s">
        <v>3774</v>
      </c>
    </row>
    <row r="581" spans="1:31" x14ac:dyDescent="0.25">
      <c r="A581" t="s">
        <v>31</v>
      </c>
      <c r="C581" t="s">
        <v>6832</v>
      </c>
      <c r="D581" t="s">
        <v>6924</v>
      </c>
      <c r="E581" t="s">
        <v>34</v>
      </c>
      <c r="F581" t="s">
        <v>66</v>
      </c>
      <c r="G581">
        <v>2024</v>
      </c>
      <c r="H581" t="s">
        <v>36</v>
      </c>
      <c r="I581" t="s">
        <v>6921</v>
      </c>
      <c r="J581" t="s">
        <v>31</v>
      </c>
      <c r="K581" t="s">
        <v>38</v>
      </c>
      <c r="L581" t="s">
        <v>242</v>
      </c>
      <c r="M581" t="s">
        <v>243</v>
      </c>
      <c r="N581" t="s">
        <v>509</v>
      </c>
      <c r="O581" t="s">
        <v>510</v>
      </c>
      <c r="P581" t="s">
        <v>511</v>
      </c>
      <c r="T581">
        <v>38.775705117000001</v>
      </c>
      <c r="U581">
        <v>-77.543916899999999</v>
      </c>
      <c r="V581">
        <f>SUM(W581:X581)+(Y581*0.8)+(Z581*0.4)</f>
        <v>40</v>
      </c>
      <c r="W581">
        <v>40</v>
      </c>
      <c r="X581">
        <v>0</v>
      </c>
      <c r="Y581">
        <v>0</v>
      </c>
      <c r="Z581">
        <v>0</v>
      </c>
      <c r="AA581" t="s">
        <v>43</v>
      </c>
      <c r="AB581">
        <v>40</v>
      </c>
      <c r="AD581" t="s">
        <v>6925</v>
      </c>
      <c r="AE581" t="s">
        <v>6926</v>
      </c>
    </row>
    <row r="582" spans="1:31" x14ac:dyDescent="0.25">
      <c r="A582" t="s">
        <v>31</v>
      </c>
      <c r="C582" t="s">
        <v>3710</v>
      </c>
      <c r="D582" t="s">
        <v>3808</v>
      </c>
      <c r="E582" t="s">
        <v>34</v>
      </c>
      <c r="F582" t="s">
        <v>66</v>
      </c>
      <c r="G582">
        <v>2023</v>
      </c>
      <c r="H582" t="s">
        <v>36</v>
      </c>
      <c r="I582" t="s">
        <v>3809</v>
      </c>
      <c r="J582" t="s">
        <v>31</v>
      </c>
      <c r="K582" t="s">
        <v>38</v>
      </c>
      <c r="L582" t="s">
        <v>242</v>
      </c>
      <c r="M582" t="s">
        <v>243</v>
      </c>
      <c r="N582" t="s">
        <v>405</v>
      </c>
      <c r="O582" t="s">
        <v>516</v>
      </c>
      <c r="P582" t="s">
        <v>517</v>
      </c>
      <c r="T582">
        <v>39.018165910999997</v>
      </c>
      <c r="U582">
        <v>-77.481756242000003</v>
      </c>
      <c r="V582">
        <f>SUM(W582:X582)+(Y582*0.8)+(Z582*0.4)</f>
        <v>40</v>
      </c>
      <c r="W582">
        <v>40</v>
      </c>
      <c r="X582">
        <v>0</v>
      </c>
      <c r="Y582">
        <v>0</v>
      </c>
      <c r="Z582">
        <v>0</v>
      </c>
      <c r="AA582" t="s">
        <v>43</v>
      </c>
      <c r="AB582">
        <v>40</v>
      </c>
      <c r="AD582" t="s">
        <v>3810</v>
      </c>
      <c r="AE582" t="s">
        <v>3811</v>
      </c>
    </row>
    <row r="583" spans="1:31" x14ac:dyDescent="0.25">
      <c r="A583" t="s">
        <v>31</v>
      </c>
      <c r="C583" t="s">
        <v>2989</v>
      </c>
      <c r="D583" t="s">
        <v>2999</v>
      </c>
      <c r="E583" t="s">
        <v>34</v>
      </c>
      <c r="F583" t="s">
        <v>66</v>
      </c>
      <c r="G583">
        <v>2019</v>
      </c>
      <c r="H583" t="s">
        <v>36</v>
      </c>
      <c r="I583" t="s">
        <v>3000</v>
      </c>
      <c r="J583" t="s">
        <v>31</v>
      </c>
      <c r="K583" t="s">
        <v>38</v>
      </c>
      <c r="L583" t="s">
        <v>242</v>
      </c>
      <c r="M583" t="s">
        <v>243</v>
      </c>
      <c r="N583" t="s">
        <v>405</v>
      </c>
      <c r="O583" t="s">
        <v>526</v>
      </c>
      <c r="P583" t="s">
        <v>527</v>
      </c>
      <c r="T583">
        <v>39.023916219</v>
      </c>
      <c r="U583">
        <v>-77.419683751999997</v>
      </c>
      <c r="V583">
        <f>SUM(W583:X583)+(Y583*0.8)+(Z583*0.4)</f>
        <v>40</v>
      </c>
      <c r="W583">
        <v>40</v>
      </c>
      <c r="X583">
        <v>0</v>
      </c>
      <c r="Y583">
        <v>0</v>
      </c>
      <c r="Z583">
        <v>0</v>
      </c>
      <c r="AA583" t="s">
        <v>43</v>
      </c>
      <c r="AB583">
        <v>40</v>
      </c>
      <c r="AD583" t="s">
        <v>3001</v>
      </c>
      <c r="AE583" t="s">
        <v>3002</v>
      </c>
    </row>
    <row r="584" spans="1:31" x14ac:dyDescent="0.25">
      <c r="A584" t="s">
        <v>31</v>
      </c>
      <c r="B584" t="s">
        <v>11350</v>
      </c>
      <c r="C584" t="s">
        <v>6116</v>
      </c>
      <c r="D584" t="s">
        <v>6302</v>
      </c>
      <c r="E584" t="s">
        <v>362</v>
      </c>
      <c r="F584" t="s">
        <v>649</v>
      </c>
      <c r="G584">
        <v>2018</v>
      </c>
      <c r="H584" t="s">
        <v>36</v>
      </c>
      <c r="I584" t="s">
        <v>6303</v>
      </c>
      <c r="J584" t="s">
        <v>31</v>
      </c>
      <c r="K584" t="s">
        <v>38</v>
      </c>
      <c r="L584" t="s">
        <v>133</v>
      </c>
      <c r="M584" t="s">
        <v>134</v>
      </c>
      <c r="N584" t="s">
        <v>6262</v>
      </c>
      <c r="O584" t="s">
        <v>6263</v>
      </c>
      <c r="S584" t="s">
        <v>6304</v>
      </c>
      <c r="T584">
        <v>45.638522999999999</v>
      </c>
      <c r="U584">
        <v>-121.202427</v>
      </c>
      <c r="V584">
        <f>SUM(W584:X584)+(Y584*0.8)+(Z584*0.4)</f>
        <v>40</v>
      </c>
      <c r="W584">
        <v>40</v>
      </c>
      <c r="X584">
        <v>0</v>
      </c>
      <c r="Y584">
        <v>0</v>
      </c>
      <c r="Z584">
        <v>0</v>
      </c>
      <c r="AA584" t="s">
        <v>43</v>
      </c>
      <c r="AB584">
        <v>40</v>
      </c>
      <c r="AC584">
        <v>1.07</v>
      </c>
      <c r="AD584" t="s">
        <v>6305</v>
      </c>
      <c r="AE584" t="s">
        <v>6306</v>
      </c>
    </row>
    <row r="585" spans="1:31" x14ac:dyDescent="0.25">
      <c r="A585" t="s">
        <v>31</v>
      </c>
      <c r="B585" t="s">
        <v>11350</v>
      </c>
      <c r="C585" t="s">
        <v>647</v>
      </c>
      <c r="D585" t="s">
        <v>723</v>
      </c>
      <c r="E585" t="s">
        <v>362</v>
      </c>
      <c r="F585" t="s">
        <v>649</v>
      </c>
      <c r="G585">
        <v>2017</v>
      </c>
      <c r="H585" t="s">
        <v>36</v>
      </c>
      <c r="I585" t="s">
        <v>724</v>
      </c>
      <c r="J585" t="s">
        <v>31</v>
      </c>
      <c r="K585" t="s">
        <v>38</v>
      </c>
      <c r="L585" t="s">
        <v>242</v>
      </c>
      <c r="M585" t="s">
        <v>243</v>
      </c>
      <c r="N585" t="s">
        <v>509</v>
      </c>
      <c r="O585" t="s">
        <v>510</v>
      </c>
      <c r="P585" t="s">
        <v>725</v>
      </c>
      <c r="Q585" t="s">
        <v>726</v>
      </c>
      <c r="T585">
        <v>38.779597615999997</v>
      </c>
      <c r="U585">
        <v>-77.542612020000007</v>
      </c>
      <c r="V585">
        <f>SUM(W585:X585)+(Y585*0.8)+(Z585*0.4)</f>
        <v>40</v>
      </c>
      <c r="W585">
        <v>40</v>
      </c>
      <c r="X585">
        <v>0</v>
      </c>
      <c r="Y585">
        <v>0</v>
      </c>
      <c r="Z585">
        <v>0</v>
      </c>
      <c r="AA585" t="s">
        <v>43</v>
      </c>
      <c r="AB585">
        <v>40</v>
      </c>
      <c r="AD585" t="s">
        <v>727</v>
      </c>
      <c r="AE585" t="s">
        <v>728</v>
      </c>
    </row>
    <row r="586" spans="1:31" x14ac:dyDescent="0.25">
      <c r="A586" t="s">
        <v>31</v>
      </c>
      <c r="C586" t="s">
        <v>9886</v>
      </c>
      <c r="D586" t="s">
        <v>4990</v>
      </c>
      <c r="E586" t="s">
        <v>34</v>
      </c>
      <c r="F586" t="s">
        <v>66</v>
      </c>
      <c r="G586">
        <v>2012</v>
      </c>
      <c r="H586" t="s">
        <v>36</v>
      </c>
      <c r="I586" t="s">
        <v>9969</v>
      </c>
      <c r="J586" t="s">
        <v>31</v>
      </c>
      <c r="K586" t="s">
        <v>38</v>
      </c>
      <c r="L586" t="s">
        <v>133</v>
      </c>
      <c r="M586" t="s">
        <v>134</v>
      </c>
      <c r="N586" t="s">
        <v>419</v>
      </c>
      <c r="O586" t="s">
        <v>420</v>
      </c>
      <c r="P586" t="s">
        <v>421</v>
      </c>
      <c r="S586" t="s">
        <v>4334</v>
      </c>
      <c r="T586">
        <v>45.54750387</v>
      </c>
      <c r="U586">
        <v>-122.89796106</v>
      </c>
      <c r="V586">
        <f>SUM(W586:X586)+(Y586*0.8)+(Z586*0.4)</f>
        <v>40</v>
      </c>
      <c r="W586">
        <v>40</v>
      </c>
      <c r="X586">
        <v>0</v>
      </c>
      <c r="Y586">
        <v>0</v>
      </c>
      <c r="Z586">
        <v>0</v>
      </c>
      <c r="AA586" t="s">
        <v>43</v>
      </c>
      <c r="AB586">
        <v>39.9</v>
      </c>
      <c r="AD586" t="s">
        <v>9970</v>
      </c>
      <c r="AE586" t="s">
        <v>9971</v>
      </c>
    </row>
    <row r="587" spans="1:31" x14ac:dyDescent="0.25">
      <c r="A587" t="s">
        <v>31</v>
      </c>
      <c r="C587" t="s">
        <v>6381</v>
      </c>
      <c r="D587" t="s">
        <v>6466</v>
      </c>
      <c r="E587" t="s">
        <v>34</v>
      </c>
      <c r="F587" t="s">
        <v>66</v>
      </c>
      <c r="G587">
        <v>2009</v>
      </c>
      <c r="H587" t="s">
        <v>36</v>
      </c>
      <c r="I587" t="s">
        <v>6467</v>
      </c>
      <c r="J587" t="s">
        <v>31</v>
      </c>
      <c r="K587" t="s">
        <v>38</v>
      </c>
      <c r="L587" t="s">
        <v>843</v>
      </c>
      <c r="M587" t="s">
        <v>1644</v>
      </c>
      <c r="N587" t="s">
        <v>3511</v>
      </c>
      <c r="O587" t="s">
        <v>3509</v>
      </c>
      <c r="P587" t="s">
        <v>3512</v>
      </c>
      <c r="T587">
        <v>47.252302999999998</v>
      </c>
      <c r="U587">
        <v>-119.819816</v>
      </c>
      <c r="V587">
        <f>SUM(W587:X587)+(Y587*0.8)+(Z587*0.4)</f>
        <v>40</v>
      </c>
      <c r="W587">
        <v>18</v>
      </c>
      <c r="X587">
        <v>22</v>
      </c>
      <c r="Y587">
        <v>0</v>
      </c>
      <c r="Z587">
        <v>0</v>
      </c>
      <c r="AA587" t="s">
        <v>43</v>
      </c>
      <c r="AB587">
        <v>18</v>
      </c>
      <c r="AC587">
        <v>1.35</v>
      </c>
      <c r="AD587" t="s">
        <v>6468</v>
      </c>
      <c r="AE587" t="s">
        <v>6469</v>
      </c>
    </row>
    <row r="588" spans="1:31" x14ac:dyDescent="0.25">
      <c r="A588" t="s">
        <v>31</v>
      </c>
      <c r="C588" t="s">
        <v>2064</v>
      </c>
      <c r="D588" t="s">
        <v>2132</v>
      </c>
      <c r="E588" t="s">
        <v>34</v>
      </c>
      <c r="F588" t="s">
        <v>35</v>
      </c>
      <c r="G588">
        <v>2000</v>
      </c>
      <c r="H588" t="s">
        <v>36</v>
      </c>
      <c r="I588" t="s">
        <v>2133</v>
      </c>
      <c r="J588" t="s">
        <v>31</v>
      </c>
      <c r="K588" t="s">
        <v>38</v>
      </c>
      <c r="L588" t="s">
        <v>68</v>
      </c>
      <c r="M588" t="s">
        <v>69</v>
      </c>
      <c r="N588" t="s">
        <v>540</v>
      </c>
      <c r="O588" t="s">
        <v>2134</v>
      </c>
      <c r="P588" t="s">
        <v>2135</v>
      </c>
      <c r="T588">
        <v>32.832935407000001</v>
      </c>
      <c r="U588">
        <v>-97.040834004000004</v>
      </c>
      <c r="V588">
        <f>SUM(W588:X588)+(Y588*0.8)+(Z588*0.4)</f>
        <v>40</v>
      </c>
      <c r="W588">
        <v>40</v>
      </c>
      <c r="X588">
        <v>0</v>
      </c>
      <c r="Y588">
        <v>0</v>
      </c>
      <c r="Z588">
        <v>0</v>
      </c>
      <c r="AA588" t="s">
        <v>43</v>
      </c>
      <c r="AB588">
        <v>39.997999999999998</v>
      </c>
      <c r="AD588" t="s">
        <v>2136</v>
      </c>
      <c r="AE588" t="s">
        <v>2137</v>
      </c>
    </row>
    <row r="589" spans="1:31" x14ac:dyDescent="0.25">
      <c r="A589" t="s">
        <v>31</v>
      </c>
      <c r="C589" t="s">
        <v>5034</v>
      </c>
      <c r="D589" t="s">
        <v>5072</v>
      </c>
      <c r="E589" t="s">
        <v>34</v>
      </c>
      <c r="F589" t="s">
        <v>66</v>
      </c>
      <c r="H589" t="s">
        <v>36</v>
      </c>
      <c r="I589" t="s">
        <v>5073</v>
      </c>
      <c r="J589" t="s">
        <v>31</v>
      </c>
      <c r="K589" t="s">
        <v>38</v>
      </c>
      <c r="L589" t="s">
        <v>620</v>
      </c>
      <c r="M589" t="s">
        <v>621</v>
      </c>
      <c r="N589" t="s">
        <v>622</v>
      </c>
      <c r="O589" t="s">
        <v>5074</v>
      </c>
      <c r="P589" t="s">
        <v>3875</v>
      </c>
      <c r="T589">
        <v>40.488275999999999</v>
      </c>
      <c r="U589">
        <v>-111.907391</v>
      </c>
      <c r="V589">
        <f>SUM(W589:X589)+(Y589*0.8)+(Z589*0.4)</f>
        <v>40</v>
      </c>
      <c r="W589">
        <v>0</v>
      </c>
      <c r="X589">
        <v>0</v>
      </c>
      <c r="Y589">
        <v>0</v>
      </c>
      <c r="Z589">
        <v>100</v>
      </c>
      <c r="AA589" t="s">
        <v>43</v>
      </c>
      <c r="AB589">
        <v>0</v>
      </c>
      <c r="AD589" t="s">
        <v>5075</v>
      </c>
      <c r="AE589" t="s">
        <v>5076</v>
      </c>
    </row>
    <row r="590" spans="1:31" x14ac:dyDescent="0.25">
      <c r="A590" t="s">
        <v>31</v>
      </c>
      <c r="C590" t="s">
        <v>2064</v>
      </c>
      <c r="D590" t="s">
        <v>2219</v>
      </c>
      <c r="E590" t="s">
        <v>34</v>
      </c>
      <c r="F590" t="s">
        <v>35</v>
      </c>
      <c r="G590">
        <v>2001</v>
      </c>
      <c r="H590" t="s">
        <v>36</v>
      </c>
      <c r="I590" t="s">
        <v>2220</v>
      </c>
      <c r="J590" t="s">
        <v>31</v>
      </c>
      <c r="K590" t="s">
        <v>38</v>
      </c>
      <c r="L590" t="s">
        <v>86</v>
      </c>
      <c r="M590" t="s">
        <v>87</v>
      </c>
      <c r="N590" t="s">
        <v>2215</v>
      </c>
      <c r="O590" t="s">
        <v>2221</v>
      </c>
      <c r="P590" t="s">
        <v>2222</v>
      </c>
      <c r="T590">
        <v>41.802326000000001</v>
      </c>
      <c r="U590">
        <v>-88.094811000000007</v>
      </c>
      <c r="V590">
        <f>SUM(W590:X590)+(Y590*0.8)+(Z590*0.4)</f>
        <v>39.700000000000003</v>
      </c>
      <c r="W590">
        <v>14.1</v>
      </c>
      <c r="X590">
        <v>0</v>
      </c>
      <c r="Y590">
        <v>32</v>
      </c>
      <c r="Z590">
        <v>0</v>
      </c>
      <c r="AA590" t="s">
        <v>43</v>
      </c>
      <c r="AB590">
        <v>13.8</v>
      </c>
      <c r="AD590" t="s">
        <v>2223</v>
      </c>
      <c r="AE590" t="s">
        <v>2224</v>
      </c>
    </row>
    <row r="591" spans="1:31" x14ac:dyDescent="0.25">
      <c r="A591" t="s">
        <v>31</v>
      </c>
      <c r="B591" t="s">
        <v>11350</v>
      </c>
      <c r="C591" t="s">
        <v>647</v>
      </c>
      <c r="D591" t="s">
        <v>987</v>
      </c>
      <c r="E591" t="s">
        <v>362</v>
      </c>
      <c r="F591" t="s">
        <v>649</v>
      </c>
      <c r="H591" t="s">
        <v>36</v>
      </c>
      <c r="I591" t="s">
        <v>988</v>
      </c>
      <c r="J591" t="s">
        <v>31</v>
      </c>
      <c r="K591" t="s">
        <v>38</v>
      </c>
      <c r="L591" t="s">
        <v>172</v>
      </c>
      <c r="M591" t="s">
        <v>173</v>
      </c>
      <c r="N591" t="s">
        <v>780</v>
      </c>
      <c r="O591" t="s">
        <v>987</v>
      </c>
      <c r="P591" t="s">
        <v>989</v>
      </c>
      <c r="T591">
        <v>37.016437603999996</v>
      </c>
      <c r="U591">
        <v>-121.558988215</v>
      </c>
      <c r="V591">
        <f>SUM(W591:X591)+(Y591*0.8)+(Z591*0.4)</f>
        <v>39.200000000000003</v>
      </c>
      <c r="W591">
        <v>0</v>
      </c>
      <c r="X591">
        <v>0</v>
      </c>
      <c r="Y591">
        <v>0</v>
      </c>
      <c r="Z591">
        <v>98</v>
      </c>
      <c r="AA591" t="s">
        <v>43</v>
      </c>
      <c r="AB591">
        <v>0</v>
      </c>
      <c r="AD591" t="s">
        <v>990</v>
      </c>
      <c r="AE591" t="s">
        <v>991</v>
      </c>
    </row>
    <row r="592" spans="1:31" x14ac:dyDescent="0.25">
      <c r="A592" t="s">
        <v>31</v>
      </c>
      <c r="C592" t="s">
        <v>3052</v>
      </c>
      <c r="D592" t="s">
        <v>3133</v>
      </c>
      <c r="E592" t="s">
        <v>34</v>
      </c>
      <c r="F592" t="s">
        <v>35</v>
      </c>
      <c r="G592">
        <v>2014</v>
      </c>
      <c r="H592" t="s">
        <v>36</v>
      </c>
      <c r="I592" t="s">
        <v>3134</v>
      </c>
      <c r="J592" t="s">
        <v>31</v>
      </c>
      <c r="K592" t="s">
        <v>38</v>
      </c>
      <c r="L592" t="s">
        <v>39</v>
      </c>
      <c r="M592" t="s">
        <v>40</v>
      </c>
      <c r="N592" t="s">
        <v>2140</v>
      </c>
      <c r="O592" t="s">
        <v>2161</v>
      </c>
      <c r="P592" t="s">
        <v>2162</v>
      </c>
      <c r="Q592" t="s">
        <v>2161</v>
      </c>
      <c r="T592">
        <v>40.784514672</v>
      </c>
      <c r="U592">
        <v>-74.065149341999998</v>
      </c>
      <c r="V592">
        <f>SUM(W592:X592)+(Y592*0.8)+(Z592*0.4)</f>
        <v>39</v>
      </c>
      <c r="W592">
        <v>39</v>
      </c>
      <c r="X592">
        <v>0</v>
      </c>
      <c r="Y592">
        <v>0</v>
      </c>
      <c r="Z592">
        <v>0</v>
      </c>
      <c r="AA592" t="s">
        <v>43</v>
      </c>
      <c r="AB592">
        <v>28.1</v>
      </c>
      <c r="AD592" t="s">
        <v>3135</v>
      </c>
      <c r="AE592" t="s">
        <v>3136</v>
      </c>
    </row>
    <row r="593" spans="1:31" x14ac:dyDescent="0.25">
      <c r="A593" t="s">
        <v>31</v>
      </c>
      <c r="C593" t="s">
        <v>9202</v>
      </c>
      <c r="D593" t="s">
        <v>9364</v>
      </c>
      <c r="E593" t="s">
        <v>34</v>
      </c>
      <c r="F593" t="s">
        <v>66</v>
      </c>
      <c r="G593">
        <v>2005</v>
      </c>
      <c r="H593" t="s">
        <v>36</v>
      </c>
      <c r="I593" t="s">
        <v>9365</v>
      </c>
      <c r="J593" t="s">
        <v>31</v>
      </c>
      <c r="K593" t="s">
        <v>38</v>
      </c>
      <c r="L593" t="s">
        <v>185</v>
      </c>
      <c r="M593" t="s">
        <v>186</v>
      </c>
      <c r="N593" t="s">
        <v>9366</v>
      </c>
      <c r="O593" t="s">
        <v>9367</v>
      </c>
      <c r="P593" t="s">
        <v>9368</v>
      </c>
      <c r="T593">
        <v>34.035311</v>
      </c>
      <c r="U593">
        <v>-84.061389000000005</v>
      </c>
      <c r="V593">
        <f>SUM(W593:X593)+(Y593*0.8)+(Z593*0.4)</f>
        <v>38.799999999999997</v>
      </c>
      <c r="W593">
        <v>26</v>
      </c>
      <c r="X593">
        <v>0</v>
      </c>
      <c r="Y593">
        <v>0</v>
      </c>
      <c r="Z593">
        <v>32</v>
      </c>
      <c r="AA593" t="s">
        <v>43</v>
      </c>
      <c r="AB593">
        <v>22</v>
      </c>
      <c r="AD593" t="s">
        <v>9369</v>
      </c>
      <c r="AE593" t="s">
        <v>9370</v>
      </c>
    </row>
    <row r="594" spans="1:31" x14ac:dyDescent="0.25">
      <c r="A594" t="s">
        <v>31</v>
      </c>
      <c r="C594" t="s">
        <v>9886</v>
      </c>
      <c r="D594" t="s">
        <v>9908</v>
      </c>
      <c r="E594" t="s">
        <v>34</v>
      </c>
      <c r="F594" t="s">
        <v>76</v>
      </c>
      <c r="G594">
        <v>2027</v>
      </c>
      <c r="H594" t="s">
        <v>36</v>
      </c>
      <c r="I594" t="s">
        <v>9909</v>
      </c>
      <c r="J594" t="s">
        <v>31</v>
      </c>
      <c r="K594" t="s">
        <v>38</v>
      </c>
      <c r="L594" t="s">
        <v>68</v>
      </c>
      <c r="M594" t="s">
        <v>69</v>
      </c>
      <c r="N594" t="s">
        <v>547</v>
      </c>
      <c r="O594" t="s">
        <v>548</v>
      </c>
      <c r="P594" t="s">
        <v>3939</v>
      </c>
      <c r="T594">
        <v>33.065950192999999</v>
      </c>
      <c r="U594">
        <v>-96.813666963000003</v>
      </c>
      <c r="V594">
        <f>SUM(W594:X594)+(Y594*0.8)+(Z594*0.4)</f>
        <v>38.400000000000006</v>
      </c>
      <c r="W594">
        <v>0</v>
      </c>
      <c r="X594">
        <v>0</v>
      </c>
      <c r="Y594">
        <v>48</v>
      </c>
      <c r="Z594">
        <v>0</v>
      </c>
      <c r="AA594" t="s">
        <v>43</v>
      </c>
      <c r="AB594">
        <v>0</v>
      </c>
      <c r="AD594" t="s">
        <v>9910</v>
      </c>
      <c r="AE594" t="s">
        <v>9911</v>
      </c>
    </row>
    <row r="595" spans="1:31" x14ac:dyDescent="0.25">
      <c r="A595" t="s">
        <v>31</v>
      </c>
      <c r="C595" t="s">
        <v>9886</v>
      </c>
      <c r="D595" t="s">
        <v>9928</v>
      </c>
      <c r="E595" t="s">
        <v>34</v>
      </c>
      <c r="F595" t="s">
        <v>76</v>
      </c>
      <c r="H595" t="s">
        <v>36</v>
      </c>
      <c r="I595" t="s">
        <v>9925</v>
      </c>
      <c r="J595" t="s">
        <v>31</v>
      </c>
      <c r="K595" t="s">
        <v>38</v>
      </c>
      <c r="L595" t="s">
        <v>317</v>
      </c>
      <c r="M595" t="s">
        <v>318</v>
      </c>
      <c r="N595" t="s">
        <v>665</v>
      </c>
      <c r="O595" t="s">
        <v>1304</v>
      </c>
      <c r="P595" t="s">
        <v>1305</v>
      </c>
      <c r="Q595" t="s">
        <v>1178</v>
      </c>
      <c r="T595">
        <v>40.106505077999998</v>
      </c>
      <c r="U595">
        <v>-82.803355636999996</v>
      </c>
      <c r="V595">
        <f>SUM(W595:X595)+(Y595*0.8)+(Z595*0.4)</f>
        <v>38.400000000000006</v>
      </c>
      <c r="W595">
        <v>0</v>
      </c>
      <c r="X595">
        <v>0</v>
      </c>
      <c r="Y595">
        <v>48</v>
      </c>
      <c r="Z595">
        <v>0</v>
      </c>
      <c r="AA595" t="s">
        <v>43</v>
      </c>
      <c r="AB595">
        <v>0</v>
      </c>
      <c r="AD595" t="s">
        <v>9929</v>
      </c>
      <c r="AE595" t="s">
        <v>9930</v>
      </c>
    </row>
    <row r="596" spans="1:31" x14ac:dyDescent="0.25">
      <c r="A596" t="s">
        <v>31</v>
      </c>
      <c r="C596" t="s">
        <v>9886</v>
      </c>
      <c r="D596" t="s">
        <v>9992</v>
      </c>
      <c r="E596" t="s">
        <v>34</v>
      </c>
      <c r="F596" t="s">
        <v>66</v>
      </c>
      <c r="G596">
        <v>2023</v>
      </c>
      <c r="H596" t="s">
        <v>36</v>
      </c>
      <c r="I596" t="s">
        <v>9993</v>
      </c>
      <c r="J596" t="s">
        <v>31</v>
      </c>
      <c r="K596" t="s">
        <v>38</v>
      </c>
      <c r="L596" t="s">
        <v>172</v>
      </c>
      <c r="M596" t="s">
        <v>173</v>
      </c>
      <c r="N596" t="s">
        <v>780</v>
      </c>
      <c r="O596" t="s">
        <v>781</v>
      </c>
      <c r="P596" t="s">
        <v>787</v>
      </c>
      <c r="T596">
        <v>37.361828193999997</v>
      </c>
      <c r="U596">
        <v>-121.953415753</v>
      </c>
      <c r="V596">
        <f>SUM(W596:X596)+(Y596*0.8)+(Z596*0.4)</f>
        <v>38.4</v>
      </c>
      <c r="W596">
        <v>12</v>
      </c>
      <c r="X596">
        <v>0</v>
      </c>
      <c r="Y596">
        <v>30</v>
      </c>
      <c r="Z596">
        <v>6</v>
      </c>
      <c r="AA596" t="s">
        <v>43</v>
      </c>
      <c r="AB596">
        <v>12</v>
      </c>
      <c r="AD596" t="s">
        <v>9994</v>
      </c>
      <c r="AE596" t="s">
        <v>9995</v>
      </c>
    </row>
    <row r="597" spans="1:31" x14ac:dyDescent="0.25">
      <c r="A597" t="s">
        <v>31</v>
      </c>
      <c r="B597" t="s">
        <v>11350</v>
      </c>
      <c r="C597" t="s">
        <v>647</v>
      </c>
      <c r="D597" t="s">
        <v>733</v>
      </c>
      <c r="E597" t="s">
        <v>362</v>
      </c>
      <c r="F597" t="s">
        <v>649</v>
      </c>
      <c r="G597">
        <v>2020</v>
      </c>
      <c r="H597" t="s">
        <v>36</v>
      </c>
      <c r="I597" t="s">
        <v>734</v>
      </c>
      <c r="J597" t="s">
        <v>31</v>
      </c>
      <c r="K597" t="s">
        <v>38</v>
      </c>
      <c r="L597" t="s">
        <v>242</v>
      </c>
      <c r="M597" t="s">
        <v>243</v>
      </c>
      <c r="N597" t="s">
        <v>405</v>
      </c>
      <c r="O597" t="s">
        <v>516</v>
      </c>
      <c r="P597" t="s">
        <v>527</v>
      </c>
      <c r="T597">
        <v>39.017584073000002</v>
      </c>
      <c r="U597">
        <v>-77.438932097999995</v>
      </c>
      <c r="V597">
        <f>SUM(W597:X597)+(Y597*0.8)+(Z597*0.4)</f>
        <v>38</v>
      </c>
      <c r="W597">
        <v>38</v>
      </c>
      <c r="X597">
        <v>0</v>
      </c>
      <c r="Y597">
        <v>0</v>
      </c>
      <c r="Z597">
        <v>0</v>
      </c>
      <c r="AA597" t="s">
        <v>43</v>
      </c>
      <c r="AB597">
        <v>38</v>
      </c>
      <c r="AD597" t="s">
        <v>735</v>
      </c>
      <c r="AE597" t="s">
        <v>736</v>
      </c>
    </row>
    <row r="598" spans="1:31" x14ac:dyDescent="0.25">
      <c r="A598" t="s">
        <v>31</v>
      </c>
      <c r="B598" t="s">
        <v>11350</v>
      </c>
      <c r="C598" t="s">
        <v>647</v>
      </c>
      <c r="D598" t="s">
        <v>752</v>
      </c>
      <c r="E598" t="s">
        <v>362</v>
      </c>
      <c r="F598" t="s">
        <v>649</v>
      </c>
      <c r="G598">
        <v>2017</v>
      </c>
      <c r="H598" t="s">
        <v>36</v>
      </c>
      <c r="I598" t="s">
        <v>753</v>
      </c>
      <c r="J598" t="s">
        <v>31</v>
      </c>
      <c r="K598" t="s">
        <v>38</v>
      </c>
      <c r="L598" t="s">
        <v>242</v>
      </c>
      <c r="M598" t="s">
        <v>243</v>
      </c>
      <c r="N598" t="s">
        <v>405</v>
      </c>
      <c r="O598" t="s">
        <v>516</v>
      </c>
      <c r="P598" t="s">
        <v>517</v>
      </c>
      <c r="T598">
        <v>39.026707000999998</v>
      </c>
      <c r="U598">
        <v>-77.450492812999997</v>
      </c>
      <c r="V598">
        <f>SUM(W598:X598)+(Y598*0.8)+(Z598*0.4)</f>
        <v>38</v>
      </c>
      <c r="W598">
        <v>38</v>
      </c>
      <c r="X598">
        <v>0</v>
      </c>
      <c r="Y598">
        <v>0</v>
      </c>
      <c r="Z598">
        <v>0</v>
      </c>
      <c r="AA598" t="s">
        <v>43</v>
      </c>
      <c r="AB598">
        <v>38</v>
      </c>
      <c r="AD598" t="s">
        <v>754</v>
      </c>
      <c r="AE598" t="s">
        <v>755</v>
      </c>
    </row>
    <row r="599" spans="1:31" x14ac:dyDescent="0.25">
      <c r="A599" t="s">
        <v>31</v>
      </c>
      <c r="C599" t="s">
        <v>5181</v>
      </c>
      <c r="D599" t="s">
        <v>5290</v>
      </c>
      <c r="E599" t="s">
        <v>34</v>
      </c>
      <c r="F599" t="s">
        <v>35</v>
      </c>
      <c r="H599" t="s">
        <v>36</v>
      </c>
      <c r="I599" t="s">
        <v>5291</v>
      </c>
      <c r="J599" t="s">
        <v>31</v>
      </c>
      <c r="K599" t="s">
        <v>38</v>
      </c>
      <c r="L599" t="s">
        <v>242</v>
      </c>
      <c r="M599" t="s">
        <v>243</v>
      </c>
      <c r="N599" t="s">
        <v>405</v>
      </c>
      <c r="O599" t="s">
        <v>516</v>
      </c>
      <c r="P599" t="s">
        <v>517</v>
      </c>
      <c r="T599">
        <v>39.024907145999997</v>
      </c>
      <c r="U599">
        <v>-77.453258132000002</v>
      </c>
      <c r="V599">
        <f>SUM(W599:X599)+(Y599*0.8)+(Z599*0.4)</f>
        <v>38</v>
      </c>
      <c r="W599">
        <v>0</v>
      </c>
      <c r="X599">
        <v>38</v>
      </c>
      <c r="Y599">
        <v>0</v>
      </c>
      <c r="Z599">
        <v>0</v>
      </c>
      <c r="AA599" t="s">
        <v>43</v>
      </c>
      <c r="AB599">
        <v>19</v>
      </c>
      <c r="AD599" t="s">
        <v>5292</v>
      </c>
      <c r="AE599" t="s">
        <v>5293</v>
      </c>
    </row>
    <row r="600" spans="1:31" x14ac:dyDescent="0.25">
      <c r="A600" t="s">
        <v>31</v>
      </c>
      <c r="B600" t="s">
        <v>11350</v>
      </c>
      <c r="C600" t="s">
        <v>647</v>
      </c>
      <c r="D600" t="s">
        <v>1158</v>
      </c>
      <c r="E600" t="s">
        <v>362</v>
      </c>
      <c r="F600" t="s">
        <v>649</v>
      </c>
      <c r="G600">
        <v>2027</v>
      </c>
      <c r="H600" t="s">
        <v>36</v>
      </c>
      <c r="I600" t="s">
        <v>1159</v>
      </c>
      <c r="J600" t="s">
        <v>31</v>
      </c>
      <c r="K600" t="s">
        <v>38</v>
      </c>
      <c r="L600" t="s">
        <v>326</v>
      </c>
      <c r="M600" t="s">
        <v>327</v>
      </c>
      <c r="N600" t="s">
        <v>328</v>
      </c>
      <c r="O600" t="s">
        <v>1160</v>
      </c>
      <c r="T600">
        <v>33.296183980999999</v>
      </c>
      <c r="U600">
        <v>-111.608226724</v>
      </c>
      <c r="V600">
        <f>SUM(W600:X600)+(Y600*0.8)+(Z600*0.4)</f>
        <v>36.96</v>
      </c>
      <c r="W600">
        <v>0</v>
      </c>
      <c r="X600">
        <v>26.4</v>
      </c>
      <c r="Y600">
        <v>0</v>
      </c>
      <c r="Z600">
        <v>26.4</v>
      </c>
      <c r="AA600" t="s">
        <v>43</v>
      </c>
      <c r="AB600">
        <v>26.4</v>
      </c>
      <c r="AD600" t="s">
        <v>1161</v>
      </c>
      <c r="AE600" t="s">
        <v>1162</v>
      </c>
    </row>
    <row r="601" spans="1:31" x14ac:dyDescent="0.25">
      <c r="A601" t="s">
        <v>31</v>
      </c>
      <c r="C601" t="s">
        <v>11276</v>
      </c>
      <c r="D601" t="s">
        <v>11277</v>
      </c>
      <c r="E601" t="s">
        <v>34</v>
      </c>
      <c r="F601" t="s">
        <v>76</v>
      </c>
      <c r="H601" t="s">
        <v>36</v>
      </c>
      <c r="I601" t="s">
        <v>11278</v>
      </c>
      <c r="J601" t="s">
        <v>31</v>
      </c>
      <c r="K601" t="s">
        <v>38</v>
      </c>
      <c r="L601" t="s">
        <v>242</v>
      </c>
      <c r="M601" t="s">
        <v>243</v>
      </c>
      <c r="N601" t="s">
        <v>4690</v>
      </c>
      <c r="O601" t="s">
        <v>4691</v>
      </c>
      <c r="P601" t="s">
        <v>4692</v>
      </c>
      <c r="T601">
        <v>36.972449996999998</v>
      </c>
      <c r="U601">
        <v>-82.537573451</v>
      </c>
      <c r="V601">
        <f>SUM(W601:X601)+(Y601*0.8)+(Z601*0.4)</f>
        <v>36.800000000000004</v>
      </c>
      <c r="W601">
        <v>0</v>
      </c>
      <c r="X601">
        <v>0</v>
      </c>
      <c r="Y601">
        <v>46</v>
      </c>
      <c r="Z601">
        <v>0</v>
      </c>
      <c r="AA601" t="s">
        <v>43</v>
      </c>
      <c r="AB601">
        <v>0</v>
      </c>
      <c r="AD601" t="s">
        <v>11279</v>
      </c>
      <c r="AE601" t="s">
        <v>11280</v>
      </c>
    </row>
    <row r="602" spans="1:31" x14ac:dyDescent="0.25">
      <c r="A602" t="s">
        <v>31</v>
      </c>
      <c r="C602" t="s">
        <v>3849</v>
      </c>
      <c r="D602" t="s">
        <v>4396</v>
      </c>
      <c r="E602" t="s">
        <v>34</v>
      </c>
      <c r="F602" t="s">
        <v>66</v>
      </c>
      <c r="G602">
        <v>2009</v>
      </c>
      <c r="H602" t="s">
        <v>36</v>
      </c>
      <c r="I602" t="s">
        <v>4397</v>
      </c>
      <c r="J602" t="s">
        <v>31</v>
      </c>
      <c r="K602" t="s">
        <v>38</v>
      </c>
      <c r="L602" t="s">
        <v>242</v>
      </c>
      <c r="M602" t="s">
        <v>243</v>
      </c>
      <c r="N602" t="s">
        <v>405</v>
      </c>
      <c r="O602" t="s">
        <v>516</v>
      </c>
      <c r="P602" t="s">
        <v>517</v>
      </c>
      <c r="T602">
        <v>39.020173</v>
      </c>
      <c r="U602">
        <v>-77.463395000000006</v>
      </c>
      <c r="V602">
        <f>SUM(W602:X602)+(Y602*0.8)+(Z602*0.4)</f>
        <v>36.4</v>
      </c>
      <c r="W602">
        <v>36.4</v>
      </c>
      <c r="X602">
        <v>0</v>
      </c>
      <c r="Y602">
        <v>0</v>
      </c>
      <c r="Z602">
        <v>0</v>
      </c>
      <c r="AA602" t="s">
        <v>43</v>
      </c>
      <c r="AB602">
        <v>36.4</v>
      </c>
      <c r="AD602" t="s">
        <v>4398</v>
      </c>
      <c r="AE602" t="s">
        <v>4399</v>
      </c>
    </row>
    <row r="603" spans="1:31" x14ac:dyDescent="0.25">
      <c r="A603" t="s">
        <v>31</v>
      </c>
      <c r="C603" t="s">
        <v>3849</v>
      </c>
      <c r="D603" t="s">
        <v>3063</v>
      </c>
      <c r="E603" t="s">
        <v>34</v>
      </c>
      <c r="F603" t="s">
        <v>66</v>
      </c>
      <c r="G603">
        <v>2008</v>
      </c>
      <c r="H603" t="s">
        <v>36</v>
      </c>
      <c r="I603" t="s">
        <v>4437</v>
      </c>
      <c r="J603" t="s">
        <v>31</v>
      </c>
      <c r="K603" t="s">
        <v>38</v>
      </c>
      <c r="L603" t="s">
        <v>86</v>
      </c>
      <c r="M603" t="s">
        <v>87</v>
      </c>
      <c r="N603" t="s">
        <v>88</v>
      </c>
      <c r="O603" t="s">
        <v>554</v>
      </c>
      <c r="P603" t="s">
        <v>2216</v>
      </c>
      <c r="T603">
        <v>41.994518999999997</v>
      </c>
      <c r="U603">
        <v>-87.961944000000003</v>
      </c>
      <c r="V603">
        <f>SUM(W603:X603)+(Y603*0.8)+(Z603*0.4)</f>
        <v>36.4</v>
      </c>
      <c r="W603">
        <v>36.4</v>
      </c>
      <c r="X603">
        <v>0</v>
      </c>
      <c r="Y603">
        <v>0</v>
      </c>
      <c r="Z603">
        <v>0</v>
      </c>
      <c r="AA603" t="s">
        <v>43</v>
      </c>
      <c r="AB603">
        <v>36.386000000000003</v>
      </c>
      <c r="AD603" t="s">
        <v>4438</v>
      </c>
      <c r="AE603" t="s">
        <v>4439</v>
      </c>
    </row>
    <row r="604" spans="1:31" x14ac:dyDescent="0.25">
      <c r="A604" t="s">
        <v>31</v>
      </c>
      <c r="C604" t="s">
        <v>3849</v>
      </c>
      <c r="D604" t="s">
        <v>4392</v>
      </c>
      <c r="E604" t="s">
        <v>34</v>
      </c>
      <c r="F604" t="s">
        <v>66</v>
      </c>
      <c r="G604">
        <v>2007</v>
      </c>
      <c r="H604" t="s">
        <v>36</v>
      </c>
      <c r="I604" t="s">
        <v>4393</v>
      </c>
      <c r="J604" t="s">
        <v>31</v>
      </c>
      <c r="K604" t="s">
        <v>38</v>
      </c>
      <c r="L604" t="s">
        <v>242</v>
      </c>
      <c r="M604" t="s">
        <v>243</v>
      </c>
      <c r="N604" t="s">
        <v>405</v>
      </c>
      <c r="O604" t="s">
        <v>516</v>
      </c>
      <c r="P604" t="s">
        <v>517</v>
      </c>
      <c r="T604">
        <v>39.017665999999998</v>
      </c>
      <c r="U604">
        <v>-77.462517000000005</v>
      </c>
      <c r="V604">
        <f>SUM(W604:X604)+(Y604*0.8)+(Z604*0.4)</f>
        <v>36.4</v>
      </c>
      <c r="W604">
        <v>36.4</v>
      </c>
      <c r="X604">
        <v>0</v>
      </c>
      <c r="Y604">
        <v>0</v>
      </c>
      <c r="Z604">
        <v>0</v>
      </c>
      <c r="AA604" t="s">
        <v>43</v>
      </c>
      <c r="AB604">
        <v>36.4</v>
      </c>
      <c r="AD604" t="s">
        <v>4394</v>
      </c>
      <c r="AE604" t="s">
        <v>4395</v>
      </c>
    </row>
    <row r="605" spans="1:31" x14ac:dyDescent="0.25">
      <c r="A605" t="s">
        <v>31</v>
      </c>
      <c r="C605" t="s">
        <v>10208</v>
      </c>
      <c r="D605" t="s">
        <v>10232</v>
      </c>
      <c r="E605" t="s">
        <v>34</v>
      </c>
      <c r="F605" t="s">
        <v>35</v>
      </c>
      <c r="G605">
        <v>2026</v>
      </c>
      <c r="H605" t="s">
        <v>36</v>
      </c>
      <c r="I605" t="s">
        <v>1115</v>
      </c>
      <c r="J605" t="s">
        <v>31</v>
      </c>
      <c r="K605" t="s">
        <v>38</v>
      </c>
      <c r="L605" t="s">
        <v>86</v>
      </c>
      <c r="M605" t="s">
        <v>87</v>
      </c>
      <c r="N605" t="s">
        <v>88</v>
      </c>
      <c r="O605" t="s">
        <v>577</v>
      </c>
      <c r="P605" t="s">
        <v>578</v>
      </c>
      <c r="T605">
        <v>41.917491300999998</v>
      </c>
      <c r="U605">
        <v>-87.895605447999998</v>
      </c>
      <c r="V605">
        <f>SUM(W605:X605)+(Y605*0.8)+(Z605*0.4)</f>
        <v>36</v>
      </c>
      <c r="W605">
        <v>0</v>
      </c>
      <c r="X605">
        <v>36</v>
      </c>
      <c r="Y605">
        <v>0</v>
      </c>
      <c r="Z605">
        <v>0</v>
      </c>
      <c r="AA605" t="s">
        <v>43</v>
      </c>
      <c r="AB605">
        <v>0</v>
      </c>
      <c r="AD605" t="s">
        <v>10233</v>
      </c>
      <c r="AE605" t="s">
        <v>10234</v>
      </c>
    </row>
    <row r="606" spans="1:31" x14ac:dyDescent="0.25">
      <c r="A606" t="s">
        <v>31</v>
      </c>
      <c r="C606" t="s">
        <v>6832</v>
      </c>
      <c r="D606" t="s">
        <v>6860</v>
      </c>
      <c r="E606" t="s">
        <v>34</v>
      </c>
      <c r="F606" t="s">
        <v>66</v>
      </c>
      <c r="G606">
        <v>2026</v>
      </c>
      <c r="H606" t="s">
        <v>36</v>
      </c>
      <c r="I606" t="s">
        <v>6861</v>
      </c>
      <c r="J606" t="s">
        <v>31</v>
      </c>
      <c r="K606" t="s">
        <v>38</v>
      </c>
      <c r="L606" t="s">
        <v>86</v>
      </c>
      <c r="M606" t="s">
        <v>87</v>
      </c>
      <c r="N606" t="s">
        <v>88</v>
      </c>
      <c r="O606" t="s">
        <v>6862</v>
      </c>
      <c r="P606" t="s">
        <v>4850</v>
      </c>
      <c r="Q606" t="s">
        <v>6863</v>
      </c>
      <c r="T606">
        <v>42.011421251999998</v>
      </c>
      <c r="U606">
        <v>-87.881085729999995</v>
      </c>
      <c r="V606">
        <f>SUM(W606:X606)+(Y606*0.8)+(Z606*0.4)</f>
        <v>36</v>
      </c>
      <c r="W606">
        <v>0</v>
      </c>
      <c r="X606">
        <v>36</v>
      </c>
      <c r="Y606">
        <v>0</v>
      </c>
      <c r="Z606">
        <v>0</v>
      </c>
      <c r="AA606" t="s">
        <v>43</v>
      </c>
      <c r="AB606">
        <v>36</v>
      </c>
      <c r="AD606" t="s">
        <v>6864</v>
      </c>
      <c r="AE606" t="s">
        <v>6865</v>
      </c>
    </row>
    <row r="607" spans="1:31" x14ac:dyDescent="0.25">
      <c r="A607" t="s">
        <v>31</v>
      </c>
      <c r="C607" t="s">
        <v>5765</v>
      </c>
      <c r="D607" t="s">
        <v>5897</v>
      </c>
      <c r="E607" t="s">
        <v>34</v>
      </c>
      <c r="F607" t="s">
        <v>66</v>
      </c>
      <c r="G607">
        <v>2026</v>
      </c>
      <c r="H607" t="s">
        <v>36</v>
      </c>
      <c r="I607" t="s">
        <v>5898</v>
      </c>
      <c r="J607" t="s">
        <v>31</v>
      </c>
      <c r="K607" t="s">
        <v>38</v>
      </c>
      <c r="L607" t="s">
        <v>133</v>
      </c>
      <c r="M607" t="s">
        <v>134</v>
      </c>
      <c r="N607" t="s">
        <v>419</v>
      </c>
      <c r="O607" t="s">
        <v>420</v>
      </c>
      <c r="P607" t="s">
        <v>421</v>
      </c>
      <c r="S607" t="s">
        <v>4613</v>
      </c>
      <c r="T607">
        <v>45.556706030999997</v>
      </c>
      <c r="U607">
        <v>-122.939338599</v>
      </c>
      <c r="V607">
        <f>SUM(W607:X607)+(Y607*0.8)+(Z607*0.4)</f>
        <v>36</v>
      </c>
      <c r="W607">
        <v>0</v>
      </c>
      <c r="X607">
        <v>36</v>
      </c>
      <c r="Y607">
        <v>0</v>
      </c>
      <c r="Z607">
        <v>0</v>
      </c>
      <c r="AA607" t="s">
        <v>43</v>
      </c>
      <c r="AB607">
        <v>32</v>
      </c>
      <c r="AC607">
        <v>1.4</v>
      </c>
      <c r="AD607" t="s">
        <v>5899</v>
      </c>
      <c r="AE607" t="s">
        <v>5900</v>
      </c>
    </row>
    <row r="608" spans="1:31" x14ac:dyDescent="0.25">
      <c r="A608" t="s">
        <v>31</v>
      </c>
      <c r="C608" t="s">
        <v>6832</v>
      </c>
      <c r="D608" t="s">
        <v>6931</v>
      </c>
      <c r="E608" t="s">
        <v>34</v>
      </c>
      <c r="F608" t="s">
        <v>66</v>
      </c>
      <c r="G608">
        <v>2025</v>
      </c>
      <c r="H608" t="s">
        <v>36</v>
      </c>
      <c r="I608" t="s">
        <v>6932</v>
      </c>
      <c r="J608" t="s">
        <v>31</v>
      </c>
      <c r="K608" t="s">
        <v>38</v>
      </c>
      <c r="L608" t="s">
        <v>242</v>
      </c>
      <c r="M608" t="s">
        <v>243</v>
      </c>
      <c r="N608" t="s">
        <v>509</v>
      </c>
      <c r="O608" t="s">
        <v>510</v>
      </c>
      <c r="P608" t="s">
        <v>511</v>
      </c>
      <c r="T608">
        <v>38.774654876</v>
      </c>
      <c r="U608">
        <v>-77.539964236000003</v>
      </c>
      <c r="V608">
        <f>SUM(W608:X608)+(Y608*0.8)+(Z608*0.4)</f>
        <v>36</v>
      </c>
      <c r="W608">
        <v>36</v>
      </c>
      <c r="X608">
        <v>0</v>
      </c>
      <c r="Y608">
        <v>0</v>
      </c>
      <c r="Z608">
        <v>0</v>
      </c>
      <c r="AA608" t="s">
        <v>43</v>
      </c>
      <c r="AB608">
        <v>36</v>
      </c>
      <c r="AD608" t="s">
        <v>6933</v>
      </c>
      <c r="AE608" t="s">
        <v>6934</v>
      </c>
    </row>
    <row r="609" spans="1:31" x14ac:dyDescent="0.25">
      <c r="A609" t="s">
        <v>31</v>
      </c>
      <c r="C609" t="s">
        <v>5034</v>
      </c>
      <c r="D609" t="s">
        <v>5064</v>
      </c>
      <c r="E609" t="s">
        <v>34</v>
      </c>
      <c r="F609" t="s">
        <v>66</v>
      </c>
      <c r="G609">
        <v>2025</v>
      </c>
      <c r="H609" t="s">
        <v>36</v>
      </c>
      <c r="I609" t="s">
        <v>5065</v>
      </c>
      <c r="J609" t="s">
        <v>31</v>
      </c>
      <c r="K609" t="s">
        <v>38</v>
      </c>
      <c r="L609" t="s">
        <v>326</v>
      </c>
      <c r="M609" t="s">
        <v>327</v>
      </c>
      <c r="N609" t="s">
        <v>328</v>
      </c>
      <c r="O609" t="s">
        <v>1160</v>
      </c>
      <c r="P609" t="s">
        <v>1165</v>
      </c>
      <c r="T609">
        <v>33.335506684999999</v>
      </c>
      <c r="U609">
        <v>-111.645022896</v>
      </c>
      <c r="V609">
        <f>SUM(W609:X609)+(Y609*0.8)+(Z609*0.4)</f>
        <v>36</v>
      </c>
      <c r="W609">
        <v>36</v>
      </c>
      <c r="X609">
        <v>0</v>
      </c>
      <c r="Y609">
        <v>0</v>
      </c>
      <c r="Z609">
        <v>0</v>
      </c>
      <c r="AA609" t="s">
        <v>43</v>
      </c>
      <c r="AB609">
        <v>22.5</v>
      </c>
      <c r="AC609">
        <v>1.1499999999999999</v>
      </c>
      <c r="AD609" t="s">
        <v>5066</v>
      </c>
      <c r="AE609" t="s">
        <v>5067</v>
      </c>
    </row>
    <row r="610" spans="1:31" x14ac:dyDescent="0.25">
      <c r="A610" t="s">
        <v>31</v>
      </c>
      <c r="C610" t="s">
        <v>3710</v>
      </c>
      <c r="D610" t="s">
        <v>3832</v>
      </c>
      <c r="E610" t="s">
        <v>34</v>
      </c>
      <c r="F610" t="s">
        <v>66</v>
      </c>
      <c r="G610">
        <v>2025</v>
      </c>
      <c r="H610" t="s">
        <v>36</v>
      </c>
      <c r="I610" t="s">
        <v>3833</v>
      </c>
      <c r="J610" t="s">
        <v>31</v>
      </c>
      <c r="K610" t="s">
        <v>38</v>
      </c>
      <c r="L610" t="s">
        <v>123</v>
      </c>
      <c r="M610" t="s">
        <v>124</v>
      </c>
      <c r="N610" t="s">
        <v>125</v>
      </c>
      <c r="O610" t="s">
        <v>126</v>
      </c>
      <c r="P610" t="s">
        <v>127</v>
      </c>
      <c r="Q610" t="s">
        <v>128</v>
      </c>
      <c r="T610">
        <v>41.040309546000003</v>
      </c>
      <c r="U610">
        <v>-73.989868344000001</v>
      </c>
      <c r="V610">
        <f>SUM(W610:X610)+(Y610*0.8)+(Z610*0.4)</f>
        <v>36</v>
      </c>
      <c r="W610">
        <v>20</v>
      </c>
      <c r="X610">
        <v>0</v>
      </c>
      <c r="Y610">
        <v>20</v>
      </c>
      <c r="Z610">
        <v>0</v>
      </c>
      <c r="AA610" t="s">
        <v>43</v>
      </c>
      <c r="AB610">
        <v>20</v>
      </c>
      <c r="AD610" t="s">
        <v>3834</v>
      </c>
      <c r="AE610" t="s">
        <v>3835</v>
      </c>
    </row>
    <row r="611" spans="1:31" x14ac:dyDescent="0.25">
      <c r="A611" t="s">
        <v>31</v>
      </c>
      <c r="B611" t="s">
        <v>11350</v>
      </c>
      <c r="C611" t="s">
        <v>647</v>
      </c>
      <c r="D611" t="s">
        <v>934</v>
      </c>
      <c r="E611" t="s">
        <v>362</v>
      </c>
      <c r="F611" t="s">
        <v>649</v>
      </c>
      <c r="G611">
        <v>2023</v>
      </c>
      <c r="H611" t="s">
        <v>36</v>
      </c>
      <c r="I611" t="s">
        <v>935</v>
      </c>
      <c r="J611" t="s">
        <v>31</v>
      </c>
      <c r="K611" t="s">
        <v>38</v>
      </c>
      <c r="L611" t="s">
        <v>242</v>
      </c>
      <c r="M611" t="s">
        <v>243</v>
      </c>
      <c r="N611" t="s">
        <v>405</v>
      </c>
      <c r="O611" t="s">
        <v>516</v>
      </c>
      <c r="P611" t="s">
        <v>517</v>
      </c>
      <c r="T611">
        <v>39.016486475000001</v>
      </c>
      <c r="U611">
        <v>-77.453085497000004</v>
      </c>
      <c r="V611">
        <f>SUM(W611:X611)+(Y611*0.8)+(Z611*0.4)</f>
        <v>36</v>
      </c>
      <c r="W611">
        <v>36</v>
      </c>
      <c r="X611">
        <v>0</v>
      </c>
      <c r="Y611">
        <v>0</v>
      </c>
      <c r="Z611">
        <v>0</v>
      </c>
      <c r="AA611" t="s">
        <v>43</v>
      </c>
      <c r="AB611">
        <v>36</v>
      </c>
      <c r="AD611" t="s">
        <v>936</v>
      </c>
      <c r="AE611" t="s">
        <v>937</v>
      </c>
    </row>
    <row r="612" spans="1:31" x14ac:dyDescent="0.25">
      <c r="A612" t="s">
        <v>31</v>
      </c>
      <c r="C612" t="s">
        <v>5765</v>
      </c>
      <c r="D612" t="s">
        <v>5893</v>
      </c>
      <c r="E612" t="s">
        <v>34</v>
      </c>
      <c r="F612" t="s">
        <v>66</v>
      </c>
      <c r="G612">
        <v>2022</v>
      </c>
      <c r="H612" t="s">
        <v>36</v>
      </c>
      <c r="I612" t="s">
        <v>5894</v>
      </c>
      <c r="J612" t="s">
        <v>31</v>
      </c>
      <c r="K612" t="s">
        <v>38</v>
      </c>
      <c r="L612" t="s">
        <v>133</v>
      </c>
      <c r="M612" t="s">
        <v>134</v>
      </c>
      <c r="N612" t="s">
        <v>419</v>
      </c>
      <c r="O612" t="s">
        <v>420</v>
      </c>
      <c r="P612" t="s">
        <v>421</v>
      </c>
      <c r="S612" t="s">
        <v>4613</v>
      </c>
      <c r="T612">
        <v>45.559282463999999</v>
      </c>
      <c r="U612">
        <v>-122.93783498400001</v>
      </c>
      <c r="V612">
        <f>SUM(W612:X612)+(Y612*0.8)+(Z612*0.4)</f>
        <v>36</v>
      </c>
      <c r="W612">
        <v>36</v>
      </c>
      <c r="X612">
        <v>0</v>
      </c>
      <c r="Y612">
        <v>0</v>
      </c>
      <c r="Z612">
        <v>0</v>
      </c>
      <c r="AA612" t="s">
        <v>43</v>
      </c>
      <c r="AB612">
        <v>32</v>
      </c>
      <c r="AC612">
        <v>1.3</v>
      </c>
      <c r="AD612" t="s">
        <v>5895</v>
      </c>
      <c r="AE612" t="s">
        <v>5896</v>
      </c>
    </row>
    <row r="613" spans="1:31" x14ac:dyDescent="0.25">
      <c r="A613" t="s">
        <v>31</v>
      </c>
      <c r="C613" t="s">
        <v>6832</v>
      </c>
      <c r="D613" t="s">
        <v>6911</v>
      </c>
      <c r="E613" t="s">
        <v>34</v>
      </c>
      <c r="F613" t="s">
        <v>66</v>
      </c>
      <c r="G613">
        <v>2020</v>
      </c>
      <c r="H613" t="s">
        <v>36</v>
      </c>
      <c r="I613" t="s">
        <v>6912</v>
      </c>
      <c r="J613" t="s">
        <v>31</v>
      </c>
      <c r="K613" t="s">
        <v>38</v>
      </c>
      <c r="L613" t="s">
        <v>242</v>
      </c>
      <c r="M613" t="s">
        <v>243</v>
      </c>
      <c r="N613" t="s">
        <v>509</v>
      </c>
      <c r="O613" t="s">
        <v>510</v>
      </c>
      <c r="P613" t="s">
        <v>511</v>
      </c>
      <c r="T613">
        <v>38.777293</v>
      </c>
      <c r="U613">
        <v>-77.545991000000001</v>
      </c>
      <c r="V613">
        <f>SUM(W613:X613)+(Y613*0.8)+(Z613*0.4)</f>
        <v>36</v>
      </c>
      <c r="W613">
        <v>36</v>
      </c>
      <c r="X613">
        <v>0</v>
      </c>
      <c r="Y613">
        <v>0</v>
      </c>
      <c r="Z613">
        <v>0</v>
      </c>
      <c r="AA613" t="s">
        <v>43</v>
      </c>
      <c r="AB613">
        <v>36</v>
      </c>
      <c r="AD613" t="s">
        <v>6913</v>
      </c>
      <c r="AE613" t="s">
        <v>6914</v>
      </c>
    </row>
    <row r="614" spans="1:31" x14ac:dyDescent="0.25">
      <c r="A614" t="s">
        <v>31</v>
      </c>
      <c r="C614" t="s">
        <v>3849</v>
      </c>
      <c r="D614" t="s">
        <v>4483</v>
      </c>
      <c r="E614" t="s">
        <v>34</v>
      </c>
      <c r="F614" t="s">
        <v>66</v>
      </c>
      <c r="G614">
        <v>2017</v>
      </c>
      <c r="H614" t="s">
        <v>36</v>
      </c>
      <c r="I614" t="s">
        <v>4484</v>
      </c>
      <c r="J614" t="s">
        <v>31</v>
      </c>
      <c r="K614" t="s">
        <v>38</v>
      </c>
      <c r="L614" t="s">
        <v>68</v>
      </c>
      <c r="M614" t="s">
        <v>69</v>
      </c>
      <c r="N614" t="s">
        <v>297</v>
      </c>
      <c r="O614" t="s">
        <v>295</v>
      </c>
      <c r="P614" t="s">
        <v>298</v>
      </c>
      <c r="S614" t="s">
        <v>3849</v>
      </c>
      <c r="T614">
        <v>32.965029999999999</v>
      </c>
      <c r="U614">
        <v>-96.711633000000006</v>
      </c>
      <c r="V614">
        <f>SUM(W614:X614)+(Y614*0.8)+(Z614*0.4)</f>
        <v>36</v>
      </c>
      <c r="W614">
        <v>36</v>
      </c>
      <c r="X614">
        <v>0</v>
      </c>
      <c r="Y614">
        <v>0</v>
      </c>
      <c r="Z614">
        <v>0</v>
      </c>
      <c r="AA614" t="s">
        <v>43</v>
      </c>
      <c r="AB614">
        <v>34.787999999999997</v>
      </c>
      <c r="AD614" t="s">
        <v>4485</v>
      </c>
      <c r="AE614" t="s">
        <v>4486</v>
      </c>
    </row>
    <row r="615" spans="1:31" x14ac:dyDescent="0.25">
      <c r="A615" t="s">
        <v>31</v>
      </c>
      <c r="C615" t="s">
        <v>3312</v>
      </c>
      <c r="D615" t="s">
        <v>3521</v>
      </c>
      <c r="E615" t="s">
        <v>34</v>
      </c>
      <c r="F615" t="s">
        <v>35</v>
      </c>
      <c r="G615">
        <v>2016</v>
      </c>
      <c r="H615" t="s">
        <v>36</v>
      </c>
      <c r="I615" t="s">
        <v>3522</v>
      </c>
      <c r="J615" t="s">
        <v>31</v>
      </c>
      <c r="K615" t="s">
        <v>38</v>
      </c>
      <c r="L615" t="s">
        <v>68</v>
      </c>
      <c r="M615" t="s">
        <v>69</v>
      </c>
      <c r="N615" t="s">
        <v>712</v>
      </c>
      <c r="O615" t="s">
        <v>713</v>
      </c>
      <c r="P615" t="s">
        <v>3517</v>
      </c>
      <c r="S615" t="s">
        <v>3518</v>
      </c>
      <c r="T615">
        <v>29.470904999999998</v>
      </c>
      <c r="U615">
        <v>-98.672999000000004</v>
      </c>
      <c r="V615">
        <f>SUM(W615:X615)+(Y615*0.8)+(Z615*0.4)</f>
        <v>36</v>
      </c>
      <c r="W615">
        <v>36</v>
      </c>
      <c r="X615">
        <v>0</v>
      </c>
      <c r="Y615">
        <v>0</v>
      </c>
      <c r="Z615">
        <v>0</v>
      </c>
      <c r="AA615" t="s">
        <v>43</v>
      </c>
      <c r="AB615">
        <v>36</v>
      </c>
      <c r="AD615" t="s">
        <v>3523</v>
      </c>
      <c r="AE615" t="s">
        <v>3524</v>
      </c>
    </row>
    <row r="616" spans="1:31" x14ac:dyDescent="0.25">
      <c r="A616" t="s">
        <v>31</v>
      </c>
      <c r="C616" t="s">
        <v>6327</v>
      </c>
      <c r="D616" t="s">
        <v>6339</v>
      </c>
      <c r="E616" t="s">
        <v>34</v>
      </c>
      <c r="F616" t="s">
        <v>66</v>
      </c>
      <c r="H616" t="s">
        <v>36</v>
      </c>
      <c r="I616" t="s">
        <v>6340</v>
      </c>
      <c r="J616" t="s">
        <v>31</v>
      </c>
      <c r="K616" t="s">
        <v>38</v>
      </c>
      <c r="L616" t="s">
        <v>1380</v>
      </c>
      <c r="M616" t="s">
        <v>1381</v>
      </c>
      <c r="N616" t="s">
        <v>6330</v>
      </c>
      <c r="O616" t="s">
        <v>6339</v>
      </c>
      <c r="P616" t="s">
        <v>6341</v>
      </c>
      <c r="Q616" t="s">
        <v>6342</v>
      </c>
      <c r="T616">
        <v>41.585043951000003</v>
      </c>
      <c r="U616">
        <v>-72.105355888999995</v>
      </c>
      <c r="V616">
        <f>SUM(W616:X616)+(Y616*0.8)+(Z616*0.4)</f>
        <v>36</v>
      </c>
      <c r="W616">
        <v>0</v>
      </c>
      <c r="X616">
        <v>0</v>
      </c>
      <c r="Y616">
        <v>0</v>
      </c>
      <c r="Z616">
        <v>90</v>
      </c>
      <c r="AA616" t="s">
        <v>43</v>
      </c>
      <c r="AB616">
        <v>0</v>
      </c>
      <c r="AD616" t="s">
        <v>6343</v>
      </c>
      <c r="AE616" t="s">
        <v>6344</v>
      </c>
    </row>
    <row r="617" spans="1:31" x14ac:dyDescent="0.25">
      <c r="A617" t="s">
        <v>31</v>
      </c>
      <c r="B617" t="s">
        <v>11350</v>
      </c>
      <c r="C617" t="s">
        <v>647</v>
      </c>
      <c r="D617" t="s">
        <v>778</v>
      </c>
      <c r="E617" t="s">
        <v>362</v>
      </c>
      <c r="F617" t="s">
        <v>649</v>
      </c>
      <c r="G617">
        <v>2022</v>
      </c>
      <c r="H617" t="s">
        <v>36</v>
      </c>
      <c r="I617" t="s">
        <v>779</v>
      </c>
      <c r="J617" t="s">
        <v>31</v>
      </c>
      <c r="K617" t="s">
        <v>38</v>
      </c>
      <c r="L617" t="s">
        <v>172</v>
      </c>
      <c r="M617" t="s">
        <v>173</v>
      </c>
      <c r="N617" t="s">
        <v>780</v>
      </c>
      <c r="O617" t="s">
        <v>781</v>
      </c>
      <c r="P617" t="s">
        <v>782</v>
      </c>
      <c r="T617">
        <v>37.390441518000003</v>
      </c>
      <c r="U617">
        <v>-121.96596337299999</v>
      </c>
      <c r="V617">
        <f>SUM(W617:X617)+(Y617*0.8)+(Z617*0.4)</f>
        <v>35.799999999999997</v>
      </c>
      <c r="W617">
        <v>25.8</v>
      </c>
      <c r="X617">
        <v>0</v>
      </c>
      <c r="Y617">
        <v>0</v>
      </c>
      <c r="Z617">
        <v>25</v>
      </c>
      <c r="AA617" t="s">
        <v>43</v>
      </c>
      <c r="AB617">
        <v>25.8</v>
      </c>
      <c r="AD617" t="s">
        <v>783</v>
      </c>
      <c r="AE617" t="s">
        <v>784</v>
      </c>
    </row>
    <row r="618" spans="1:31" x14ac:dyDescent="0.25">
      <c r="A618" t="s">
        <v>31</v>
      </c>
      <c r="B618" t="s">
        <v>11350</v>
      </c>
      <c r="C618" t="s">
        <v>647</v>
      </c>
      <c r="D618" t="s">
        <v>835</v>
      </c>
      <c r="E618" t="s">
        <v>362</v>
      </c>
      <c r="F618" t="s">
        <v>649</v>
      </c>
      <c r="H618" t="s">
        <v>36</v>
      </c>
      <c r="I618" t="s">
        <v>836</v>
      </c>
      <c r="J618" t="s">
        <v>31</v>
      </c>
      <c r="K618" t="s">
        <v>38</v>
      </c>
      <c r="L618" t="s">
        <v>242</v>
      </c>
      <c r="M618" t="s">
        <v>243</v>
      </c>
      <c r="N618" t="s">
        <v>405</v>
      </c>
      <c r="O618" t="s">
        <v>768</v>
      </c>
      <c r="P618" t="s">
        <v>769</v>
      </c>
      <c r="T618">
        <v>38.920318752</v>
      </c>
      <c r="U618">
        <v>-77.474485514999998</v>
      </c>
      <c r="V618">
        <f>SUM(W618:X618)+(Y618*0.8)+(Z618*0.4)</f>
        <v>34.800000000000004</v>
      </c>
      <c r="W618">
        <v>0</v>
      </c>
      <c r="X618">
        <v>0</v>
      </c>
      <c r="Y618">
        <v>43.5</v>
      </c>
      <c r="Z618">
        <v>0</v>
      </c>
      <c r="AA618" t="s">
        <v>43</v>
      </c>
      <c r="AB618">
        <v>43.5</v>
      </c>
      <c r="AD618" t="s">
        <v>837</v>
      </c>
      <c r="AE618" t="s">
        <v>838</v>
      </c>
    </row>
    <row r="619" spans="1:31" x14ac:dyDescent="0.25">
      <c r="A619" t="s">
        <v>31</v>
      </c>
      <c r="C619" t="s">
        <v>3052</v>
      </c>
      <c r="D619" t="s">
        <v>3095</v>
      </c>
      <c r="E619" t="s">
        <v>34</v>
      </c>
      <c r="F619" t="s">
        <v>35</v>
      </c>
      <c r="G619">
        <v>2026</v>
      </c>
      <c r="H619" t="s">
        <v>36</v>
      </c>
      <c r="I619" t="s">
        <v>3096</v>
      </c>
      <c r="J619" t="s">
        <v>31</v>
      </c>
      <c r="K619" t="s">
        <v>38</v>
      </c>
      <c r="L619" t="s">
        <v>193</v>
      </c>
      <c r="M619" t="s">
        <v>194</v>
      </c>
      <c r="N619" t="s">
        <v>1342</v>
      </c>
      <c r="O619" t="s">
        <v>1343</v>
      </c>
      <c r="P619" t="s">
        <v>1344</v>
      </c>
      <c r="S619" t="s">
        <v>3097</v>
      </c>
      <c r="T619">
        <v>39.785688911999998</v>
      </c>
      <c r="U619">
        <v>-104.962990817</v>
      </c>
      <c r="V619">
        <f>SUM(W619:X619)+(Y619*0.8)+(Z619*0.4)</f>
        <v>34.799999999999997</v>
      </c>
      <c r="W619">
        <v>0</v>
      </c>
      <c r="X619">
        <v>18</v>
      </c>
      <c r="Y619">
        <v>0</v>
      </c>
      <c r="Z619">
        <v>42</v>
      </c>
      <c r="AA619" t="s">
        <v>43</v>
      </c>
      <c r="AB619">
        <v>2</v>
      </c>
      <c r="AD619" t="s">
        <v>3098</v>
      </c>
      <c r="AE619" t="s">
        <v>3099</v>
      </c>
    </row>
    <row r="620" spans="1:31" x14ac:dyDescent="0.25">
      <c r="A620" t="s">
        <v>31</v>
      </c>
      <c r="C620" t="s">
        <v>10977</v>
      </c>
      <c r="D620" t="s">
        <v>11054</v>
      </c>
      <c r="E620" t="s">
        <v>362</v>
      </c>
      <c r="F620" t="s">
        <v>1611</v>
      </c>
      <c r="G620">
        <v>2003</v>
      </c>
      <c r="H620" t="s">
        <v>36</v>
      </c>
      <c r="I620" t="s">
        <v>11055</v>
      </c>
      <c r="J620" t="s">
        <v>31</v>
      </c>
      <c r="K620" t="s">
        <v>38</v>
      </c>
      <c r="L620" t="s">
        <v>68</v>
      </c>
      <c r="M620" t="s">
        <v>69</v>
      </c>
      <c r="N620" t="s">
        <v>540</v>
      </c>
      <c r="O620" t="s">
        <v>11056</v>
      </c>
      <c r="P620" t="s">
        <v>11057</v>
      </c>
      <c r="T620">
        <v>32.972112228999997</v>
      </c>
      <c r="U620">
        <v>-97.156791149</v>
      </c>
      <c r="V620">
        <f>SUM(W620:X620)+(Y620*0.8)+(Z620*0.4)</f>
        <v>33.92</v>
      </c>
      <c r="W620">
        <v>27.2</v>
      </c>
      <c r="X620">
        <v>0</v>
      </c>
      <c r="Y620">
        <v>0</v>
      </c>
      <c r="Z620">
        <v>16.8</v>
      </c>
      <c r="AA620" t="s">
        <v>43</v>
      </c>
      <c r="AB620">
        <v>27.2</v>
      </c>
      <c r="AD620" t="s">
        <v>11058</v>
      </c>
      <c r="AE620" t="s">
        <v>11059</v>
      </c>
    </row>
    <row r="621" spans="1:31" x14ac:dyDescent="0.25">
      <c r="A621" t="s">
        <v>31</v>
      </c>
      <c r="C621" t="s">
        <v>11095</v>
      </c>
      <c r="D621" t="s">
        <v>11095</v>
      </c>
      <c r="E621" t="s">
        <v>34</v>
      </c>
      <c r="F621" t="s">
        <v>66</v>
      </c>
      <c r="H621" t="s">
        <v>36</v>
      </c>
      <c r="I621" t="s">
        <v>11096</v>
      </c>
      <c r="J621" t="s">
        <v>31</v>
      </c>
      <c r="K621" t="s">
        <v>38</v>
      </c>
      <c r="L621" t="s">
        <v>242</v>
      </c>
      <c r="M621" t="s">
        <v>243</v>
      </c>
      <c r="N621" t="s">
        <v>806</v>
      </c>
      <c r="O621" t="s">
        <v>8775</v>
      </c>
      <c r="P621" t="s">
        <v>3540</v>
      </c>
      <c r="S621" t="s">
        <v>8776</v>
      </c>
      <c r="T621">
        <v>38.743038886999997</v>
      </c>
      <c r="U621">
        <v>-77.686207793999998</v>
      </c>
      <c r="V621">
        <f>SUM(W621:X621)+(Y621*0.8)+(Z621*0.4)</f>
        <v>33.200000000000003</v>
      </c>
      <c r="W621">
        <v>0</v>
      </c>
      <c r="X621">
        <v>0</v>
      </c>
      <c r="Y621">
        <v>0</v>
      </c>
      <c r="Z621">
        <v>83</v>
      </c>
      <c r="AA621" t="s">
        <v>43</v>
      </c>
      <c r="AB621">
        <v>0</v>
      </c>
      <c r="AD621" t="s">
        <v>11097</v>
      </c>
      <c r="AE621" t="s">
        <v>11098</v>
      </c>
    </row>
    <row r="622" spans="1:31" x14ac:dyDescent="0.25">
      <c r="A622" t="s">
        <v>31</v>
      </c>
      <c r="C622" t="s">
        <v>3179</v>
      </c>
      <c r="D622" t="s">
        <v>3185</v>
      </c>
      <c r="E622" t="s">
        <v>362</v>
      </c>
      <c r="F622" t="s">
        <v>363</v>
      </c>
      <c r="G622">
        <v>2027</v>
      </c>
      <c r="H622" t="s">
        <v>36</v>
      </c>
      <c r="I622" t="s">
        <v>3186</v>
      </c>
      <c r="J622" t="s">
        <v>31</v>
      </c>
      <c r="K622" t="s">
        <v>38</v>
      </c>
      <c r="L622" t="s">
        <v>39</v>
      </c>
      <c r="M622" t="s">
        <v>40</v>
      </c>
      <c r="N622" t="s">
        <v>3187</v>
      </c>
      <c r="O622" t="s">
        <v>3188</v>
      </c>
      <c r="P622" t="s">
        <v>3189</v>
      </c>
      <c r="Q622" t="s">
        <v>3188</v>
      </c>
      <c r="T622">
        <v>40.675640608999998</v>
      </c>
      <c r="U622">
        <v>-74.274538536999998</v>
      </c>
      <c r="V622">
        <f>SUM(W622:X622)+(Y622*0.8)+(Z622*0.4)</f>
        <v>33</v>
      </c>
      <c r="W622">
        <v>0</v>
      </c>
      <c r="X622">
        <v>33</v>
      </c>
      <c r="Y622">
        <v>0</v>
      </c>
      <c r="Z622">
        <v>0</v>
      </c>
      <c r="AA622" t="s">
        <v>43</v>
      </c>
      <c r="AB622">
        <v>33</v>
      </c>
      <c r="AD622" t="s">
        <v>3190</v>
      </c>
      <c r="AE622" t="s">
        <v>3191</v>
      </c>
    </row>
    <row r="623" spans="1:31" x14ac:dyDescent="0.25">
      <c r="A623" t="s">
        <v>31</v>
      </c>
      <c r="C623" t="s">
        <v>9037</v>
      </c>
      <c r="D623" t="s">
        <v>9086</v>
      </c>
      <c r="E623" t="s">
        <v>34</v>
      </c>
      <c r="F623" t="s">
        <v>66</v>
      </c>
      <c r="G623">
        <v>2024</v>
      </c>
      <c r="H623" t="s">
        <v>36</v>
      </c>
      <c r="I623" t="s">
        <v>9087</v>
      </c>
      <c r="J623" t="s">
        <v>31</v>
      </c>
      <c r="K623" t="s">
        <v>38</v>
      </c>
      <c r="L623" t="s">
        <v>172</v>
      </c>
      <c r="M623" t="s">
        <v>173</v>
      </c>
      <c r="N623" t="s">
        <v>493</v>
      </c>
      <c r="O623" t="s">
        <v>9088</v>
      </c>
      <c r="P623" t="s">
        <v>9089</v>
      </c>
      <c r="T623">
        <v>34.001192553999999</v>
      </c>
      <c r="U623">
        <v>-118.231144739</v>
      </c>
      <c r="V623">
        <f>SUM(W623:X623)+(Y623*0.8)+(Z623*0.4)</f>
        <v>33</v>
      </c>
      <c r="W623">
        <v>33</v>
      </c>
      <c r="X623">
        <v>0</v>
      </c>
      <c r="Y623">
        <v>0</v>
      </c>
      <c r="Z623">
        <v>0</v>
      </c>
      <c r="AA623" t="s">
        <v>43</v>
      </c>
      <c r="AB623">
        <v>33</v>
      </c>
      <c r="AD623" t="s">
        <v>9090</v>
      </c>
      <c r="AE623" t="s">
        <v>9091</v>
      </c>
    </row>
    <row r="624" spans="1:31" x14ac:dyDescent="0.25">
      <c r="A624" t="s">
        <v>31</v>
      </c>
      <c r="C624" t="s">
        <v>2706</v>
      </c>
      <c r="D624" t="s">
        <v>2724</v>
      </c>
      <c r="E624" t="s">
        <v>34</v>
      </c>
      <c r="F624" t="s">
        <v>35</v>
      </c>
      <c r="G624">
        <v>2024</v>
      </c>
      <c r="H624" t="s">
        <v>36</v>
      </c>
      <c r="I624" t="s">
        <v>2725</v>
      </c>
      <c r="J624" t="s">
        <v>31</v>
      </c>
      <c r="K624" t="s">
        <v>38</v>
      </c>
      <c r="L624" t="s">
        <v>317</v>
      </c>
      <c r="M624" t="s">
        <v>318</v>
      </c>
      <c r="N624" t="s">
        <v>665</v>
      </c>
      <c r="O624" t="s">
        <v>2713</v>
      </c>
      <c r="P624" t="s">
        <v>2714</v>
      </c>
      <c r="Q624" t="s">
        <v>668</v>
      </c>
      <c r="T624">
        <v>40.118168425</v>
      </c>
      <c r="U624">
        <v>-82.999391238000001</v>
      </c>
      <c r="V624">
        <f>SUM(W624:X624)+(Y624*0.8)+(Z624*0.4)</f>
        <v>33</v>
      </c>
      <c r="W624">
        <v>33</v>
      </c>
      <c r="X624">
        <v>0</v>
      </c>
      <c r="Y624">
        <v>0</v>
      </c>
      <c r="Z624">
        <v>0</v>
      </c>
      <c r="AA624" t="s">
        <v>43</v>
      </c>
      <c r="AB624">
        <v>33</v>
      </c>
      <c r="AC624">
        <v>1.2</v>
      </c>
      <c r="AD624" t="s">
        <v>2726</v>
      </c>
      <c r="AE624" t="s">
        <v>2727</v>
      </c>
    </row>
    <row r="625" spans="1:31" x14ac:dyDescent="0.25">
      <c r="A625" t="s">
        <v>31</v>
      </c>
      <c r="B625" t="s">
        <v>11350</v>
      </c>
      <c r="C625" t="s">
        <v>647</v>
      </c>
      <c r="D625" t="s">
        <v>762</v>
      </c>
      <c r="E625" t="s">
        <v>362</v>
      </c>
      <c r="F625" t="s">
        <v>649</v>
      </c>
      <c r="G625">
        <v>2019</v>
      </c>
      <c r="H625" t="s">
        <v>36</v>
      </c>
      <c r="I625" t="s">
        <v>763</v>
      </c>
      <c r="J625" t="s">
        <v>31</v>
      </c>
      <c r="K625" t="s">
        <v>38</v>
      </c>
      <c r="L625" t="s">
        <v>242</v>
      </c>
      <c r="M625" t="s">
        <v>243</v>
      </c>
      <c r="N625" t="s">
        <v>405</v>
      </c>
      <c r="O625" t="s">
        <v>516</v>
      </c>
      <c r="P625" t="s">
        <v>517</v>
      </c>
      <c r="T625">
        <v>39.035933483000001</v>
      </c>
      <c r="U625">
        <v>-77.450258374000001</v>
      </c>
      <c r="V625">
        <f>SUM(W625:X625)+(Y625*0.8)+(Z625*0.4)</f>
        <v>33</v>
      </c>
      <c r="W625">
        <v>33</v>
      </c>
      <c r="X625">
        <v>0</v>
      </c>
      <c r="Y625">
        <v>0</v>
      </c>
      <c r="Z625">
        <v>0</v>
      </c>
      <c r="AA625" t="s">
        <v>43</v>
      </c>
      <c r="AB625">
        <v>33</v>
      </c>
      <c r="AD625" t="s">
        <v>764</v>
      </c>
      <c r="AE625" t="s">
        <v>765</v>
      </c>
    </row>
    <row r="626" spans="1:31" x14ac:dyDescent="0.25">
      <c r="A626" t="s">
        <v>31</v>
      </c>
      <c r="B626" t="s">
        <v>11350</v>
      </c>
      <c r="C626" t="s">
        <v>647</v>
      </c>
      <c r="D626" t="s">
        <v>756</v>
      </c>
      <c r="E626" t="s">
        <v>362</v>
      </c>
      <c r="F626" t="s">
        <v>649</v>
      </c>
      <c r="G626">
        <v>2017</v>
      </c>
      <c r="H626" t="s">
        <v>36</v>
      </c>
      <c r="I626" t="s">
        <v>757</v>
      </c>
      <c r="J626" t="s">
        <v>31</v>
      </c>
      <c r="K626" t="s">
        <v>38</v>
      </c>
      <c r="L626" t="s">
        <v>242</v>
      </c>
      <c r="M626" t="s">
        <v>243</v>
      </c>
      <c r="N626" t="s">
        <v>509</v>
      </c>
      <c r="O626" t="s">
        <v>758</v>
      </c>
      <c r="P626" t="s">
        <v>759</v>
      </c>
      <c r="T626">
        <v>38.815687756000003</v>
      </c>
      <c r="U626">
        <v>-77.652651597000002</v>
      </c>
      <c r="V626">
        <f>SUM(W626:X626)+(Y626*0.8)+(Z626*0.4)</f>
        <v>33</v>
      </c>
      <c r="W626">
        <v>33</v>
      </c>
      <c r="X626">
        <v>0</v>
      </c>
      <c r="Y626">
        <v>0</v>
      </c>
      <c r="Z626">
        <v>0</v>
      </c>
      <c r="AA626" t="s">
        <v>43</v>
      </c>
      <c r="AB626">
        <v>33</v>
      </c>
      <c r="AD626" t="s">
        <v>760</v>
      </c>
      <c r="AE626" t="s">
        <v>761</v>
      </c>
    </row>
    <row r="627" spans="1:31" x14ac:dyDescent="0.25">
      <c r="A627" t="s">
        <v>31</v>
      </c>
      <c r="C627" t="s">
        <v>6832</v>
      </c>
      <c r="D627" t="s">
        <v>6843</v>
      </c>
      <c r="E627" t="s">
        <v>34</v>
      </c>
      <c r="F627" t="s">
        <v>66</v>
      </c>
      <c r="G627">
        <v>2025</v>
      </c>
      <c r="H627" t="s">
        <v>36</v>
      </c>
      <c r="I627" t="s">
        <v>6844</v>
      </c>
      <c r="J627" t="s">
        <v>31</v>
      </c>
      <c r="K627" t="s">
        <v>38</v>
      </c>
      <c r="L627" t="s">
        <v>326</v>
      </c>
      <c r="M627" t="s">
        <v>327</v>
      </c>
      <c r="N627" t="s">
        <v>328</v>
      </c>
      <c r="O627" t="s">
        <v>590</v>
      </c>
      <c r="P627" t="s">
        <v>6835</v>
      </c>
      <c r="S627" t="s">
        <v>6845</v>
      </c>
      <c r="T627">
        <v>33.457755605999999</v>
      </c>
      <c r="U627">
        <v>-111.973003725</v>
      </c>
      <c r="V627">
        <f>SUM(W627:X627)+(Y627*0.8)+(Z627*0.4)</f>
        <v>32.4</v>
      </c>
      <c r="W627">
        <v>0</v>
      </c>
      <c r="X627">
        <v>18</v>
      </c>
      <c r="Y627">
        <v>18</v>
      </c>
      <c r="Z627">
        <v>0</v>
      </c>
      <c r="AA627" t="s">
        <v>43</v>
      </c>
      <c r="AB627">
        <v>36</v>
      </c>
      <c r="AD627" t="s">
        <v>6846</v>
      </c>
      <c r="AE627" t="s">
        <v>6847</v>
      </c>
    </row>
    <row r="628" spans="1:31" x14ac:dyDescent="0.25">
      <c r="A628" t="s">
        <v>31</v>
      </c>
      <c r="C628" t="s">
        <v>3312</v>
      </c>
      <c r="D628" t="s">
        <v>3383</v>
      </c>
      <c r="E628" t="s">
        <v>34</v>
      </c>
      <c r="F628" t="s">
        <v>66</v>
      </c>
      <c r="H628" t="s">
        <v>36</v>
      </c>
      <c r="I628" t="s">
        <v>3384</v>
      </c>
      <c r="J628" t="s">
        <v>31</v>
      </c>
      <c r="K628" t="s">
        <v>38</v>
      </c>
      <c r="L628" t="s">
        <v>317</v>
      </c>
      <c r="M628" t="s">
        <v>318</v>
      </c>
      <c r="N628" t="s">
        <v>584</v>
      </c>
      <c r="O628" t="s">
        <v>1177</v>
      </c>
      <c r="P628" t="s">
        <v>1171</v>
      </c>
      <c r="Q628" t="s">
        <v>1170</v>
      </c>
      <c r="T628">
        <v>40.093450566000001</v>
      </c>
      <c r="U628">
        <v>-82.716709519999995</v>
      </c>
      <c r="V628">
        <f>SUM(W628:X628)+(Y628*0.8)+(Z628*0.4)</f>
        <v>32.4</v>
      </c>
      <c r="W628">
        <v>0</v>
      </c>
      <c r="X628">
        <v>18</v>
      </c>
      <c r="Y628">
        <v>18</v>
      </c>
      <c r="Z628">
        <v>0</v>
      </c>
      <c r="AA628" t="s">
        <v>43</v>
      </c>
      <c r="AB628">
        <v>0</v>
      </c>
      <c r="AD628" t="s">
        <v>3385</v>
      </c>
      <c r="AE628" t="s">
        <v>3386</v>
      </c>
    </row>
    <row r="629" spans="1:31" x14ac:dyDescent="0.25">
      <c r="A629" t="s">
        <v>31</v>
      </c>
      <c r="C629" t="s">
        <v>5086</v>
      </c>
      <c r="D629" t="s">
        <v>5102</v>
      </c>
      <c r="E629" t="s">
        <v>34</v>
      </c>
      <c r="F629" t="s">
        <v>66</v>
      </c>
      <c r="G629">
        <v>2015</v>
      </c>
      <c r="H629" t="s">
        <v>36</v>
      </c>
      <c r="I629" t="s">
        <v>5103</v>
      </c>
      <c r="J629" t="s">
        <v>31</v>
      </c>
      <c r="K629" t="s">
        <v>38</v>
      </c>
      <c r="L629" t="s">
        <v>68</v>
      </c>
      <c r="M629" t="s">
        <v>69</v>
      </c>
      <c r="N629" t="s">
        <v>1951</v>
      </c>
      <c r="O629" t="s">
        <v>4976</v>
      </c>
      <c r="P629" t="s">
        <v>4977</v>
      </c>
      <c r="S629" t="s">
        <v>4978</v>
      </c>
      <c r="T629">
        <v>29.802967465999998</v>
      </c>
      <c r="U629">
        <v>-95.755670824000006</v>
      </c>
      <c r="V629">
        <f>SUM(W629:X629)+(Y629*0.8)+(Z629*0.4)</f>
        <v>32.200000000000003</v>
      </c>
      <c r="W629">
        <v>22.2</v>
      </c>
      <c r="X629">
        <v>10</v>
      </c>
      <c r="Y629">
        <v>0</v>
      </c>
      <c r="Z629">
        <v>0</v>
      </c>
      <c r="AA629" t="s">
        <v>43</v>
      </c>
      <c r="AB629">
        <v>26.6</v>
      </c>
      <c r="AD629" t="s">
        <v>5104</v>
      </c>
      <c r="AE629" t="s">
        <v>5105</v>
      </c>
    </row>
    <row r="630" spans="1:31" x14ac:dyDescent="0.25">
      <c r="A630" t="s">
        <v>31</v>
      </c>
      <c r="C630" t="s">
        <v>3849</v>
      </c>
      <c r="D630" t="s">
        <v>4515</v>
      </c>
      <c r="E630" t="s">
        <v>34</v>
      </c>
      <c r="F630" t="s">
        <v>66</v>
      </c>
      <c r="G630">
        <v>2027</v>
      </c>
      <c r="H630" t="s">
        <v>36</v>
      </c>
      <c r="I630" t="s">
        <v>4516</v>
      </c>
      <c r="J630" t="s">
        <v>31</v>
      </c>
      <c r="K630" t="s">
        <v>38</v>
      </c>
      <c r="L630" t="s">
        <v>242</v>
      </c>
      <c r="M630" t="s">
        <v>243</v>
      </c>
      <c r="N630" t="s">
        <v>405</v>
      </c>
      <c r="O630" t="s">
        <v>516</v>
      </c>
      <c r="P630" t="s">
        <v>853</v>
      </c>
      <c r="T630">
        <v>39.014319896000003</v>
      </c>
      <c r="U630">
        <v>-77.456847146000001</v>
      </c>
      <c r="V630">
        <f>SUM(W630:X630)+(Y630*0.8)+(Z630*0.4)</f>
        <v>32</v>
      </c>
      <c r="W630">
        <v>0</v>
      </c>
      <c r="X630">
        <v>0</v>
      </c>
      <c r="Y630">
        <v>40</v>
      </c>
      <c r="Z630">
        <v>0</v>
      </c>
      <c r="AA630" t="s">
        <v>43</v>
      </c>
      <c r="AB630">
        <v>0</v>
      </c>
      <c r="AD630" t="s">
        <v>4517</v>
      </c>
      <c r="AE630" t="s">
        <v>4518</v>
      </c>
    </row>
    <row r="631" spans="1:31" x14ac:dyDescent="0.25">
      <c r="A631" t="s">
        <v>31</v>
      </c>
      <c r="C631" t="s">
        <v>6832</v>
      </c>
      <c r="D631" t="s">
        <v>6920</v>
      </c>
      <c r="E631" t="s">
        <v>34</v>
      </c>
      <c r="F631" t="s">
        <v>66</v>
      </c>
      <c r="G631">
        <v>2024</v>
      </c>
      <c r="H631" t="s">
        <v>36</v>
      </c>
      <c r="I631" t="s">
        <v>6921</v>
      </c>
      <c r="J631" t="s">
        <v>31</v>
      </c>
      <c r="K631" t="s">
        <v>38</v>
      </c>
      <c r="L631" t="s">
        <v>242</v>
      </c>
      <c r="M631" t="s">
        <v>243</v>
      </c>
      <c r="N631" t="s">
        <v>509</v>
      </c>
      <c r="O631" t="s">
        <v>6917</v>
      </c>
      <c r="P631" t="s">
        <v>725</v>
      </c>
      <c r="Q631" t="s">
        <v>726</v>
      </c>
      <c r="T631">
        <v>38.774424580000002</v>
      </c>
      <c r="U631">
        <v>-77.542132413000004</v>
      </c>
      <c r="V631">
        <f>SUM(W631:X631)+(Y631*0.8)+(Z631*0.4)</f>
        <v>32</v>
      </c>
      <c r="W631">
        <v>32</v>
      </c>
      <c r="X631">
        <v>0</v>
      </c>
      <c r="Y631">
        <v>0</v>
      </c>
      <c r="Z631">
        <v>0</v>
      </c>
      <c r="AA631" t="s">
        <v>43</v>
      </c>
      <c r="AB631">
        <v>32</v>
      </c>
      <c r="AD631" t="s">
        <v>6922</v>
      </c>
      <c r="AE631" t="s">
        <v>6923</v>
      </c>
    </row>
    <row r="632" spans="1:31" x14ac:dyDescent="0.25">
      <c r="A632" t="s">
        <v>31</v>
      </c>
      <c r="C632" t="s">
        <v>6832</v>
      </c>
      <c r="D632" t="s">
        <v>6927</v>
      </c>
      <c r="E632" t="s">
        <v>34</v>
      </c>
      <c r="F632" t="s">
        <v>43</v>
      </c>
      <c r="G632">
        <v>2024</v>
      </c>
      <c r="H632" t="s">
        <v>36</v>
      </c>
      <c r="I632" t="s">
        <v>6928</v>
      </c>
      <c r="J632" t="s">
        <v>31</v>
      </c>
      <c r="K632" t="s">
        <v>38</v>
      </c>
      <c r="L632" t="s">
        <v>242</v>
      </c>
      <c r="M632" t="s">
        <v>243</v>
      </c>
      <c r="N632" t="s">
        <v>509</v>
      </c>
      <c r="O632" t="s">
        <v>510</v>
      </c>
      <c r="P632" t="s">
        <v>511</v>
      </c>
      <c r="Q632" t="s">
        <v>726</v>
      </c>
      <c r="T632">
        <v>38.768288886000001</v>
      </c>
      <c r="U632">
        <v>-77.538645200999994</v>
      </c>
      <c r="V632">
        <f>SUM(W632:X632)+(Y632*0.8)+(Z632*0.4)</f>
        <v>32</v>
      </c>
      <c r="W632">
        <v>32</v>
      </c>
      <c r="X632">
        <v>0</v>
      </c>
      <c r="Y632">
        <v>0</v>
      </c>
      <c r="Z632">
        <v>0</v>
      </c>
      <c r="AA632" t="s">
        <v>43</v>
      </c>
      <c r="AB632">
        <v>32</v>
      </c>
      <c r="AD632" t="s">
        <v>6929</v>
      </c>
      <c r="AE632" t="s">
        <v>6930</v>
      </c>
    </row>
    <row r="633" spans="1:31" x14ac:dyDescent="0.25">
      <c r="A633" t="s">
        <v>31</v>
      </c>
      <c r="C633" t="s">
        <v>10037</v>
      </c>
      <c r="D633" t="s">
        <v>5098</v>
      </c>
      <c r="E633" t="s">
        <v>34</v>
      </c>
      <c r="F633" t="s">
        <v>66</v>
      </c>
      <c r="G633">
        <v>2023</v>
      </c>
      <c r="H633" t="s">
        <v>36</v>
      </c>
      <c r="I633" t="s">
        <v>10045</v>
      </c>
      <c r="J633" t="s">
        <v>31</v>
      </c>
      <c r="K633" t="s">
        <v>38</v>
      </c>
      <c r="L633" t="s">
        <v>86</v>
      </c>
      <c r="M633" t="s">
        <v>87</v>
      </c>
      <c r="N633" t="s">
        <v>88</v>
      </c>
      <c r="O633" t="s">
        <v>554</v>
      </c>
      <c r="P633" t="s">
        <v>2216</v>
      </c>
      <c r="T633">
        <v>41.999031955</v>
      </c>
      <c r="U633">
        <v>-87.957625813999996</v>
      </c>
      <c r="V633">
        <f>SUM(W633:X633)+(Y633*0.8)+(Z633*0.4)</f>
        <v>32</v>
      </c>
      <c r="W633">
        <v>32</v>
      </c>
      <c r="X633">
        <v>0</v>
      </c>
      <c r="Y633">
        <v>0</v>
      </c>
      <c r="Z633">
        <v>0</v>
      </c>
      <c r="AA633" t="s">
        <v>43</v>
      </c>
      <c r="AB633">
        <v>31.8</v>
      </c>
      <c r="AD633" t="s">
        <v>10046</v>
      </c>
      <c r="AE633" t="s">
        <v>10047</v>
      </c>
    </row>
    <row r="634" spans="1:31" x14ac:dyDescent="0.25">
      <c r="A634" t="s">
        <v>31</v>
      </c>
      <c r="C634" t="s">
        <v>10876</v>
      </c>
      <c r="D634" t="s">
        <v>10898</v>
      </c>
      <c r="E634" t="s">
        <v>34</v>
      </c>
      <c r="F634" t="s">
        <v>66</v>
      </c>
      <c r="G634">
        <v>2022</v>
      </c>
      <c r="H634" t="s">
        <v>36</v>
      </c>
      <c r="I634" t="s">
        <v>10899</v>
      </c>
      <c r="J634" t="s">
        <v>31</v>
      </c>
      <c r="K634" t="s">
        <v>38</v>
      </c>
      <c r="L634" t="s">
        <v>326</v>
      </c>
      <c r="M634" t="s">
        <v>327</v>
      </c>
      <c r="N634" t="s">
        <v>328</v>
      </c>
      <c r="O634" t="s">
        <v>329</v>
      </c>
      <c r="P634" t="s">
        <v>2878</v>
      </c>
      <c r="T634">
        <v>33.447315484000001</v>
      </c>
      <c r="U634">
        <v>-112.372510276</v>
      </c>
      <c r="V634">
        <f>SUM(W634:X634)+(Y634*0.8)+(Z634*0.4)</f>
        <v>32</v>
      </c>
      <c r="W634">
        <v>0</v>
      </c>
      <c r="X634">
        <v>0</v>
      </c>
      <c r="Y634">
        <v>16</v>
      </c>
      <c r="Z634">
        <v>48</v>
      </c>
      <c r="AA634" t="s">
        <v>43</v>
      </c>
      <c r="AB634">
        <v>0</v>
      </c>
      <c r="AC634">
        <v>1.2</v>
      </c>
      <c r="AD634" t="s">
        <v>10900</v>
      </c>
      <c r="AE634" t="s">
        <v>10901</v>
      </c>
    </row>
    <row r="635" spans="1:31" x14ac:dyDescent="0.25">
      <c r="A635" t="s">
        <v>31</v>
      </c>
      <c r="C635" t="s">
        <v>9886</v>
      </c>
      <c r="D635" t="s">
        <v>9989</v>
      </c>
      <c r="E635" t="s">
        <v>34</v>
      </c>
      <c r="F635" t="s">
        <v>76</v>
      </c>
      <c r="G635">
        <v>2021</v>
      </c>
      <c r="H635" t="s">
        <v>36</v>
      </c>
      <c r="I635" t="s">
        <v>9986</v>
      </c>
      <c r="J635" t="s">
        <v>31</v>
      </c>
      <c r="K635" t="s">
        <v>38</v>
      </c>
      <c r="L635" t="s">
        <v>172</v>
      </c>
      <c r="M635" t="s">
        <v>173</v>
      </c>
      <c r="N635" t="s">
        <v>780</v>
      </c>
      <c r="O635" t="s">
        <v>2067</v>
      </c>
      <c r="P635" t="s">
        <v>5468</v>
      </c>
      <c r="T635">
        <v>37.402695002000002</v>
      </c>
      <c r="U635">
        <v>-121.892481182</v>
      </c>
      <c r="V635">
        <f>SUM(W635:X635)+(Y635*0.8)+(Z635*0.4)</f>
        <v>32</v>
      </c>
      <c r="W635">
        <v>32</v>
      </c>
      <c r="X635">
        <v>0</v>
      </c>
      <c r="Y635">
        <v>0</v>
      </c>
      <c r="Z635">
        <v>0</v>
      </c>
      <c r="AA635" t="s">
        <v>43</v>
      </c>
      <c r="AB635">
        <v>32</v>
      </c>
      <c r="AD635" t="s">
        <v>9990</v>
      </c>
      <c r="AE635" t="s">
        <v>9991</v>
      </c>
    </row>
    <row r="636" spans="1:31" x14ac:dyDescent="0.25">
      <c r="A636" t="s">
        <v>31</v>
      </c>
      <c r="C636" t="s">
        <v>8571</v>
      </c>
      <c r="D636" t="s">
        <v>8588</v>
      </c>
      <c r="E636" t="s">
        <v>34</v>
      </c>
      <c r="F636" t="s">
        <v>66</v>
      </c>
      <c r="G636">
        <v>2021</v>
      </c>
      <c r="H636" t="s">
        <v>36</v>
      </c>
      <c r="I636" t="s">
        <v>8589</v>
      </c>
      <c r="J636" t="s">
        <v>31</v>
      </c>
      <c r="K636" t="s">
        <v>38</v>
      </c>
      <c r="L636" t="s">
        <v>242</v>
      </c>
      <c r="M636" t="s">
        <v>243</v>
      </c>
      <c r="N636" t="s">
        <v>405</v>
      </c>
      <c r="O636" t="s">
        <v>516</v>
      </c>
      <c r="P636" t="s">
        <v>517</v>
      </c>
      <c r="T636">
        <v>39.017960000000002</v>
      </c>
      <c r="U636">
        <v>-77.472880000000004</v>
      </c>
      <c r="V636">
        <f>SUM(W636:X636)+(Y636*0.8)+(Z636*0.4)</f>
        <v>32</v>
      </c>
      <c r="W636">
        <v>32</v>
      </c>
      <c r="X636">
        <v>0</v>
      </c>
      <c r="Y636">
        <v>0</v>
      </c>
      <c r="Z636">
        <v>0</v>
      </c>
      <c r="AA636" t="s">
        <v>43</v>
      </c>
      <c r="AB636">
        <v>32</v>
      </c>
      <c r="AD636" t="s">
        <v>8590</v>
      </c>
      <c r="AE636" t="s">
        <v>8591</v>
      </c>
    </row>
    <row r="637" spans="1:31" x14ac:dyDescent="0.25">
      <c r="A637" t="s">
        <v>31</v>
      </c>
      <c r="C637" t="s">
        <v>8571</v>
      </c>
      <c r="D637" t="s">
        <v>8584</v>
      </c>
      <c r="E637" t="s">
        <v>34</v>
      </c>
      <c r="F637" t="s">
        <v>66</v>
      </c>
      <c r="G637">
        <v>2020</v>
      </c>
      <c r="H637" t="s">
        <v>36</v>
      </c>
      <c r="I637" t="s">
        <v>8585</v>
      </c>
      <c r="J637" t="s">
        <v>31</v>
      </c>
      <c r="K637" t="s">
        <v>38</v>
      </c>
      <c r="L637" t="s">
        <v>242</v>
      </c>
      <c r="M637" t="s">
        <v>243</v>
      </c>
      <c r="N637" t="s">
        <v>405</v>
      </c>
      <c r="O637" t="s">
        <v>516</v>
      </c>
      <c r="P637" t="s">
        <v>517</v>
      </c>
      <c r="T637">
        <v>39.020235018000001</v>
      </c>
      <c r="U637">
        <v>-77.472702459999994</v>
      </c>
      <c r="V637">
        <f>SUM(W637:X637)+(Y637*0.8)+(Z637*0.4)</f>
        <v>32</v>
      </c>
      <c r="W637">
        <v>32</v>
      </c>
      <c r="X637">
        <v>0</v>
      </c>
      <c r="Y637">
        <v>0</v>
      </c>
      <c r="Z637">
        <v>0</v>
      </c>
      <c r="AA637" t="s">
        <v>43</v>
      </c>
      <c r="AB637">
        <v>32</v>
      </c>
      <c r="AD637" t="s">
        <v>8586</v>
      </c>
      <c r="AE637" t="s">
        <v>8587</v>
      </c>
    </row>
    <row r="638" spans="1:31" x14ac:dyDescent="0.25">
      <c r="A638" t="s">
        <v>31</v>
      </c>
      <c r="B638" t="s">
        <v>11350</v>
      </c>
      <c r="C638" t="s">
        <v>647</v>
      </c>
      <c r="D638" t="s">
        <v>876</v>
      </c>
      <c r="E638" t="s">
        <v>362</v>
      </c>
      <c r="F638" t="s">
        <v>649</v>
      </c>
      <c r="G638">
        <v>2017</v>
      </c>
      <c r="H638" t="s">
        <v>36</v>
      </c>
      <c r="I638" t="s">
        <v>877</v>
      </c>
      <c r="J638" t="s">
        <v>31</v>
      </c>
      <c r="K638" t="s">
        <v>38</v>
      </c>
      <c r="L638" t="s">
        <v>242</v>
      </c>
      <c r="M638" t="s">
        <v>243</v>
      </c>
      <c r="N638" t="s">
        <v>405</v>
      </c>
      <c r="O638" t="s">
        <v>526</v>
      </c>
      <c r="P638" t="s">
        <v>527</v>
      </c>
      <c r="T638">
        <v>38.988021711999998</v>
      </c>
      <c r="U638">
        <v>-77.411152838000007</v>
      </c>
      <c r="V638">
        <f>SUM(W638:X638)+(Y638*0.8)+(Z638*0.4)</f>
        <v>32</v>
      </c>
      <c r="W638">
        <v>32</v>
      </c>
      <c r="X638">
        <v>0</v>
      </c>
      <c r="Y638">
        <v>0</v>
      </c>
      <c r="Z638">
        <v>0</v>
      </c>
      <c r="AA638" t="s">
        <v>43</v>
      </c>
      <c r="AB638">
        <v>32</v>
      </c>
      <c r="AD638" t="s">
        <v>878</v>
      </c>
      <c r="AE638" t="s">
        <v>879</v>
      </c>
    </row>
    <row r="639" spans="1:31" x14ac:dyDescent="0.25">
      <c r="A639" t="s">
        <v>31</v>
      </c>
      <c r="B639" t="s">
        <v>11350</v>
      </c>
      <c r="C639" t="s">
        <v>7857</v>
      </c>
      <c r="D639" t="s">
        <v>8161</v>
      </c>
      <c r="E639" t="s">
        <v>362</v>
      </c>
      <c r="F639" t="s">
        <v>649</v>
      </c>
      <c r="H639" t="s">
        <v>36</v>
      </c>
      <c r="I639" t="s">
        <v>8162</v>
      </c>
      <c r="J639" t="s">
        <v>31</v>
      </c>
      <c r="K639" t="s">
        <v>38</v>
      </c>
      <c r="L639" t="s">
        <v>383</v>
      </c>
      <c r="M639" t="s">
        <v>384</v>
      </c>
      <c r="N639" t="s">
        <v>1441</v>
      </c>
      <c r="O639" t="s">
        <v>8163</v>
      </c>
      <c r="P639" t="s">
        <v>8164</v>
      </c>
      <c r="T639">
        <v>35.616598179999997</v>
      </c>
      <c r="U639">
        <v>-81.318466000000001</v>
      </c>
      <c r="V639">
        <f>SUM(W639:X639)+(Y639*0.8)+(Z639*0.4)</f>
        <v>32</v>
      </c>
      <c r="W639">
        <v>0</v>
      </c>
      <c r="X639">
        <v>0</v>
      </c>
      <c r="Y639">
        <v>40</v>
      </c>
      <c r="Z639">
        <v>0</v>
      </c>
      <c r="AA639" t="s">
        <v>43</v>
      </c>
      <c r="AB639">
        <v>40</v>
      </c>
      <c r="AD639" t="s">
        <v>8165</v>
      </c>
      <c r="AE639" t="s">
        <v>8166</v>
      </c>
    </row>
    <row r="640" spans="1:31" x14ac:dyDescent="0.25">
      <c r="A640" t="s">
        <v>31</v>
      </c>
      <c r="C640" t="s">
        <v>6327</v>
      </c>
      <c r="D640" t="s">
        <v>6328</v>
      </c>
      <c r="E640" t="s">
        <v>34</v>
      </c>
      <c r="F640" t="s">
        <v>76</v>
      </c>
      <c r="H640" t="s">
        <v>36</v>
      </c>
      <c r="I640" t="s">
        <v>6329</v>
      </c>
      <c r="J640" t="s">
        <v>31</v>
      </c>
      <c r="K640" t="s">
        <v>38</v>
      </c>
      <c r="L640" t="s">
        <v>1380</v>
      </c>
      <c r="M640" t="s">
        <v>1381</v>
      </c>
      <c r="N640" t="s">
        <v>6330</v>
      </c>
      <c r="O640" t="s">
        <v>6331</v>
      </c>
      <c r="P640" t="s">
        <v>6332</v>
      </c>
      <c r="Q640" t="s">
        <v>6331</v>
      </c>
      <c r="T640">
        <v>41.585275203000002</v>
      </c>
      <c r="U640">
        <v>-71.973423947000001</v>
      </c>
      <c r="V640">
        <f>SUM(W640:X640)+(Y640*0.8)+(Z640*0.4)</f>
        <v>32</v>
      </c>
      <c r="W640">
        <v>0</v>
      </c>
      <c r="X640">
        <v>0</v>
      </c>
      <c r="Y640">
        <v>0</v>
      </c>
      <c r="Z640">
        <v>80</v>
      </c>
      <c r="AA640" t="s">
        <v>43</v>
      </c>
      <c r="AB640">
        <v>0</v>
      </c>
      <c r="AD640" t="s">
        <v>6333</v>
      </c>
      <c r="AE640" t="s">
        <v>6334</v>
      </c>
    </row>
    <row r="641" spans="1:31" x14ac:dyDescent="0.25">
      <c r="A641" t="s">
        <v>31</v>
      </c>
      <c r="C641" t="s">
        <v>360</v>
      </c>
      <c r="D641" t="s">
        <v>361</v>
      </c>
      <c r="E641" t="s">
        <v>362</v>
      </c>
      <c r="F641" t="s">
        <v>363</v>
      </c>
      <c r="H641" t="s">
        <v>36</v>
      </c>
      <c r="I641" t="s">
        <v>364</v>
      </c>
      <c r="J641" t="s">
        <v>31</v>
      </c>
      <c r="K641" t="s">
        <v>38</v>
      </c>
      <c r="L641" t="s">
        <v>123</v>
      </c>
      <c r="M641" t="s">
        <v>124</v>
      </c>
      <c r="N641" t="s">
        <v>365</v>
      </c>
      <c r="O641" t="s">
        <v>366</v>
      </c>
      <c r="P641" t="s">
        <v>367</v>
      </c>
      <c r="T641">
        <v>43.122946589999998</v>
      </c>
      <c r="U641">
        <v>-79.040921936000004</v>
      </c>
      <c r="V641">
        <f>SUM(W641:X641)+(Y641*0.8)+(Z641*0.4)</f>
        <v>32</v>
      </c>
      <c r="W641">
        <v>0</v>
      </c>
      <c r="X641">
        <v>0</v>
      </c>
      <c r="Y641">
        <v>0</v>
      </c>
      <c r="Z641">
        <v>80</v>
      </c>
      <c r="AA641" t="s">
        <v>43</v>
      </c>
      <c r="AB641">
        <v>0</v>
      </c>
      <c r="AD641" t="s">
        <v>368</v>
      </c>
      <c r="AE641" t="s">
        <v>369</v>
      </c>
    </row>
    <row r="642" spans="1:31" x14ac:dyDescent="0.25">
      <c r="A642" t="s">
        <v>31</v>
      </c>
      <c r="C642" t="s">
        <v>506</v>
      </c>
      <c r="D642" t="s">
        <v>588</v>
      </c>
      <c r="E642" t="s">
        <v>34</v>
      </c>
      <c r="F642" t="s">
        <v>66</v>
      </c>
      <c r="G642">
        <v>2017</v>
      </c>
      <c r="H642" t="s">
        <v>36</v>
      </c>
      <c r="I642" t="s">
        <v>589</v>
      </c>
      <c r="J642" t="s">
        <v>31</v>
      </c>
      <c r="K642" t="s">
        <v>38</v>
      </c>
      <c r="L642" t="s">
        <v>326</v>
      </c>
      <c r="M642" t="s">
        <v>327</v>
      </c>
      <c r="N642" t="s">
        <v>328</v>
      </c>
      <c r="O642" t="s">
        <v>590</v>
      </c>
      <c r="P642" t="s">
        <v>591</v>
      </c>
      <c r="T642">
        <v>33.658862999999997</v>
      </c>
      <c r="U642">
        <v>-112.11139900000001</v>
      </c>
      <c r="V642">
        <f>SUM(W642:X642)+(Y642*0.8)+(Z642*0.4)</f>
        <v>31.5</v>
      </c>
      <c r="W642">
        <v>31.5</v>
      </c>
      <c r="X642">
        <v>0</v>
      </c>
      <c r="Y642">
        <v>0</v>
      </c>
      <c r="Z642">
        <v>0</v>
      </c>
      <c r="AA642" t="s">
        <v>43</v>
      </c>
      <c r="AB642">
        <v>28.8</v>
      </c>
      <c r="AC642">
        <v>1.1499999999999999</v>
      </c>
      <c r="AD642" t="s">
        <v>592</v>
      </c>
      <c r="AE642" t="s">
        <v>593</v>
      </c>
    </row>
    <row r="643" spans="1:31" x14ac:dyDescent="0.25">
      <c r="A643" t="s">
        <v>31</v>
      </c>
      <c r="C643" t="s">
        <v>6103</v>
      </c>
      <c r="D643" t="s">
        <v>6104</v>
      </c>
      <c r="E643" t="s">
        <v>34</v>
      </c>
      <c r="F643" t="s">
        <v>35</v>
      </c>
      <c r="G643">
        <v>2018</v>
      </c>
      <c r="H643" t="s">
        <v>36</v>
      </c>
      <c r="I643" t="s">
        <v>6105</v>
      </c>
      <c r="J643" t="s">
        <v>31</v>
      </c>
      <c r="K643" t="s">
        <v>38</v>
      </c>
      <c r="L643" t="s">
        <v>242</v>
      </c>
      <c r="M643" t="s">
        <v>243</v>
      </c>
      <c r="N643" t="s">
        <v>6106</v>
      </c>
      <c r="O643" t="s">
        <v>6107</v>
      </c>
      <c r="P643" t="s">
        <v>6108</v>
      </c>
      <c r="T643">
        <v>36.784211132999999</v>
      </c>
      <c r="U643">
        <v>-76.008588895000003</v>
      </c>
      <c r="V643">
        <f>SUM(W643:X643)+(Y643*0.8)+(Z643*0.4)</f>
        <v>30.6</v>
      </c>
      <c r="W643">
        <v>0.5</v>
      </c>
      <c r="X643">
        <v>30.1</v>
      </c>
      <c r="Y643">
        <v>0</v>
      </c>
      <c r="Z643">
        <v>0</v>
      </c>
      <c r="AA643" t="s">
        <v>43</v>
      </c>
      <c r="AB643">
        <v>0.43</v>
      </c>
      <c r="AD643" t="s">
        <v>6109</v>
      </c>
      <c r="AE643" t="s">
        <v>6110</v>
      </c>
    </row>
    <row r="644" spans="1:31" x14ac:dyDescent="0.25">
      <c r="A644" t="s">
        <v>31</v>
      </c>
      <c r="C644" t="s">
        <v>3849</v>
      </c>
      <c r="D644" t="s">
        <v>4267</v>
      </c>
      <c r="E644" t="s">
        <v>34</v>
      </c>
      <c r="F644" t="s">
        <v>66</v>
      </c>
      <c r="G644">
        <v>2017</v>
      </c>
      <c r="H644" t="s">
        <v>36</v>
      </c>
      <c r="I644" t="s">
        <v>4268</v>
      </c>
      <c r="J644" t="s">
        <v>31</v>
      </c>
      <c r="K644" t="s">
        <v>38</v>
      </c>
      <c r="L644" t="s">
        <v>172</v>
      </c>
      <c r="M644" t="s">
        <v>173</v>
      </c>
      <c r="N644" t="s">
        <v>780</v>
      </c>
      <c r="O644" t="s">
        <v>781</v>
      </c>
      <c r="P644" t="s">
        <v>4257</v>
      </c>
      <c r="T644">
        <v>37.361632999999998</v>
      </c>
      <c r="U644">
        <v>-121.943822</v>
      </c>
      <c r="V644">
        <f>SUM(W644:X644)+(Y644*0.8)+(Z644*0.4)</f>
        <v>30.5</v>
      </c>
      <c r="W644">
        <v>18.3</v>
      </c>
      <c r="X644">
        <v>12.2</v>
      </c>
      <c r="Y644">
        <v>0</v>
      </c>
      <c r="Z644">
        <v>0</v>
      </c>
      <c r="AA644" t="s">
        <v>43</v>
      </c>
      <c r="AB644">
        <v>24.3</v>
      </c>
      <c r="AD644" t="s">
        <v>4269</v>
      </c>
      <c r="AE644" t="s">
        <v>4270</v>
      </c>
    </row>
    <row r="645" spans="1:31" x14ac:dyDescent="0.25">
      <c r="A645" t="s">
        <v>31</v>
      </c>
      <c r="C645" t="s">
        <v>2706</v>
      </c>
      <c r="D645" t="s">
        <v>2728</v>
      </c>
      <c r="E645" t="s">
        <v>34</v>
      </c>
      <c r="F645" t="s">
        <v>66</v>
      </c>
      <c r="G645">
        <v>2026</v>
      </c>
      <c r="H645" t="s">
        <v>36</v>
      </c>
      <c r="I645" t="s">
        <v>2729</v>
      </c>
      <c r="J645" t="s">
        <v>31</v>
      </c>
      <c r="K645" t="s">
        <v>38</v>
      </c>
      <c r="L645" t="s">
        <v>317</v>
      </c>
      <c r="M645" t="s">
        <v>318</v>
      </c>
      <c r="N645" t="s">
        <v>918</v>
      </c>
      <c r="O645" t="s">
        <v>2109</v>
      </c>
      <c r="P645" t="s">
        <v>2110</v>
      </c>
      <c r="Q645" t="s">
        <v>2111</v>
      </c>
      <c r="T645">
        <v>40.190870885999999</v>
      </c>
      <c r="U645">
        <v>-83.011122546999999</v>
      </c>
      <c r="V645">
        <f>SUM(W645:X645)+(Y645*0.8)+(Z645*0.4)</f>
        <v>30</v>
      </c>
      <c r="W645">
        <v>0</v>
      </c>
      <c r="X645">
        <v>0</v>
      </c>
      <c r="Y645">
        <v>25</v>
      </c>
      <c r="Z645">
        <v>25</v>
      </c>
      <c r="AA645" t="s">
        <v>43</v>
      </c>
      <c r="AB645">
        <v>0</v>
      </c>
      <c r="AD645" t="s">
        <v>2730</v>
      </c>
      <c r="AE645" t="s">
        <v>2731</v>
      </c>
    </row>
    <row r="646" spans="1:31" x14ac:dyDescent="0.25">
      <c r="A646" t="s">
        <v>31</v>
      </c>
      <c r="C646" t="s">
        <v>9784</v>
      </c>
      <c r="D646" t="s">
        <v>242</v>
      </c>
      <c r="E646" t="s">
        <v>34</v>
      </c>
      <c r="F646" t="s">
        <v>66</v>
      </c>
      <c r="G646">
        <v>2025</v>
      </c>
      <c r="H646" t="s">
        <v>36</v>
      </c>
      <c r="I646" t="s">
        <v>9810</v>
      </c>
      <c r="J646" t="s">
        <v>31</v>
      </c>
      <c r="K646" t="s">
        <v>38</v>
      </c>
      <c r="L646" t="s">
        <v>242</v>
      </c>
      <c r="M646" t="s">
        <v>243</v>
      </c>
      <c r="N646" t="s">
        <v>405</v>
      </c>
      <c r="O646" t="s">
        <v>526</v>
      </c>
      <c r="P646" t="s">
        <v>527</v>
      </c>
      <c r="T646">
        <v>38.989289776</v>
      </c>
      <c r="U646">
        <v>-77.449843283000007</v>
      </c>
      <c r="V646">
        <f>SUM(W646:X646)+(Y646*0.8)+(Z646*0.4)</f>
        <v>30</v>
      </c>
      <c r="W646">
        <v>16</v>
      </c>
      <c r="X646">
        <v>14</v>
      </c>
      <c r="Y646">
        <v>0</v>
      </c>
      <c r="Z646">
        <v>0</v>
      </c>
      <c r="AA646" t="s">
        <v>43</v>
      </c>
      <c r="AB646">
        <v>30</v>
      </c>
      <c r="AD646" t="s">
        <v>9811</v>
      </c>
      <c r="AE646" t="s">
        <v>9812</v>
      </c>
    </row>
    <row r="647" spans="1:31" x14ac:dyDescent="0.25">
      <c r="A647" t="s">
        <v>31</v>
      </c>
      <c r="C647" t="s">
        <v>1859</v>
      </c>
      <c r="D647" t="s">
        <v>1876</v>
      </c>
      <c r="E647" t="s">
        <v>34</v>
      </c>
      <c r="F647" t="s">
        <v>35</v>
      </c>
      <c r="G647">
        <v>2024</v>
      </c>
      <c r="H647" t="s">
        <v>36</v>
      </c>
      <c r="I647" t="s">
        <v>1877</v>
      </c>
      <c r="J647" t="s">
        <v>31</v>
      </c>
      <c r="K647" t="s">
        <v>38</v>
      </c>
      <c r="L647" t="s">
        <v>242</v>
      </c>
      <c r="M647" t="s">
        <v>243</v>
      </c>
      <c r="N647" t="s">
        <v>405</v>
      </c>
      <c r="O647" t="s">
        <v>1140</v>
      </c>
      <c r="P647" t="s">
        <v>1285</v>
      </c>
      <c r="T647">
        <v>39.077897718999999</v>
      </c>
      <c r="U647">
        <v>-77.532754127000004</v>
      </c>
      <c r="V647">
        <f>SUM(W647:X647)+(Y647*0.8)+(Z647*0.4)</f>
        <v>30</v>
      </c>
      <c r="W647">
        <v>0</v>
      </c>
      <c r="X647">
        <v>0</v>
      </c>
      <c r="Y647">
        <v>0</v>
      </c>
      <c r="Z647">
        <v>75</v>
      </c>
      <c r="AA647" t="s">
        <v>43</v>
      </c>
      <c r="AB647">
        <v>0</v>
      </c>
      <c r="AD647" t="s">
        <v>1878</v>
      </c>
      <c r="AE647" t="s">
        <v>1879</v>
      </c>
    </row>
    <row r="648" spans="1:31" x14ac:dyDescent="0.25">
      <c r="A648" t="s">
        <v>31</v>
      </c>
      <c r="C648" t="s">
        <v>10102</v>
      </c>
      <c r="D648" t="s">
        <v>10134</v>
      </c>
      <c r="E648" t="s">
        <v>34</v>
      </c>
      <c r="F648" t="s">
        <v>66</v>
      </c>
      <c r="G648">
        <v>2022</v>
      </c>
      <c r="H648" t="s">
        <v>36</v>
      </c>
      <c r="I648" t="s">
        <v>10130</v>
      </c>
      <c r="J648" t="s">
        <v>31</v>
      </c>
      <c r="K648" t="s">
        <v>38</v>
      </c>
      <c r="L648" t="s">
        <v>1457</v>
      </c>
      <c r="M648" t="s">
        <v>1458</v>
      </c>
      <c r="N648" t="s">
        <v>319</v>
      </c>
      <c r="O648" t="s">
        <v>10113</v>
      </c>
      <c r="P648" t="s">
        <v>10114</v>
      </c>
      <c r="S648" t="s">
        <v>10131</v>
      </c>
      <c r="T648">
        <v>36.063899665999998</v>
      </c>
      <c r="U648">
        <v>-115.22123496899999</v>
      </c>
      <c r="V648">
        <f>SUM(W648:X648)+(Y648*0.8)+(Z648*0.4)</f>
        <v>30</v>
      </c>
      <c r="W648">
        <v>30</v>
      </c>
      <c r="X648">
        <v>0</v>
      </c>
      <c r="Y648">
        <v>0</v>
      </c>
      <c r="Z648">
        <v>0</v>
      </c>
      <c r="AA648" t="s">
        <v>43</v>
      </c>
      <c r="AB648">
        <v>26.08</v>
      </c>
      <c r="AD648" t="s">
        <v>10135</v>
      </c>
      <c r="AE648" t="s">
        <v>10136</v>
      </c>
    </row>
    <row r="649" spans="1:31" x14ac:dyDescent="0.25">
      <c r="A649" t="s">
        <v>31</v>
      </c>
      <c r="C649" t="s">
        <v>3312</v>
      </c>
      <c r="D649" t="s">
        <v>3467</v>
      </c>
      <c r="E649" t="s">
        <v>34</v>
      </c>
      <c r="F649" t="s">
        <v>66</v>
      </c>
      <c r="G649">
        <v>2011</v>
      </c>
      <c r="H649" t="s">
        <v>36</v>
      </c>
      <c r="I649" t="s">
        <v>3468</v>
      </c>
      <c r="J649" t="s">
        <v>31</v>
      </c>
      <c r="K649" t="s">
        <v>38</v>
      </c>
      <c r="L649" t="s">
        <v>39</v>
      </c>
      <c r="M649" t="s">
        <v>40</v>
      </c>
      <c r="N649" t="s">
        <v>210</v>
      </c>
      <c r="O649" t="s">
        <v>3469</v>
      </c>
      <c r="P649" t="s">
        <v>3470</v>
      </c>
      <c r="Q649" t="s">
        <v>533</v>
      </c>
      <c r="T649">
        <v>40.538150999999999</v>
      </c>
      <c r="U649">
        <v>-74.546189999999996</v>
      </c>
      <c r="V649">
        <f>SUM(W649:X649)+(Y649*0.8)+(Z649*0.4)</f>
        <v>30</v>
      </c>
      <c r="W649">
        <v>30</v>
      </c>
      <c r="X649">
        <v>0</v>
      </c>
      <c r="Y649">
        <v>0</v>
      </c>
      <c r="Z649">
        <v>0</v>
      </c>
      <c r="AA649" t="s">
        <v>43</v>
      </c>
      <c r="AB649">
        <v>28.1</v>
      </c>
      <c r="AD649" t="s">
        <v>3471</v>
      </c>
      <c r="AE649" t="s">
        <v>3472</v>
      </c>
    </row>
    <row r="650" spans="1:31" x14ac:dyDescent="0.25">
      <c r="A650" t="s">
        <v>31</v>
      </c>
      <c r="C650" t="s">
        <v>9202</v>
      </c>
      <c r="D650" t="s">
        <v>9371</v>
      </c>
      <c r="E650" t="s">
        <v>34</v>
      </c>
      <c r="F650" t="s">
        <v>66</v>
      </c>
      <c r="G650">
        <v>2006</v>
      </c>
      <c r="H650" t="s">
        <v>36</v>
      </c>
      <c r="I650" t="s">
        <v>9372</v>
      </c>
      <c r="J650" t="s">
        <v>31</v>
      </c>
      <c r="K650" t="s">
        <v>38</v>
      </c>
      <c r="L650" t="s">
        <v>185</v>
      </c>
      <c r="M650" t="s">
        <v>186</v>
      </c>
      <c r="N650" t="s">
        <v>9366</v>
      </c>
      <c r="O650" t="s">
        <v>9367</v>
      </c>
      <c r="P650" t="s">
        <v>9368</v>
      </c>
      <c r="T650">
        <v>34.036039045000003</v>
      </c>
      <c r="U650">
        <v>-84.057523899000003</v>
      </c>
      <c r="V650">
        <f>SUM(W650:X650)+(Y650*0.8)+(Z650*0.4)</f>
        <v>30</v>
      </c>
      <c r="W650">
        <v>30</v>
      </c>
      <c r="X650">
        <v>0</v>
      </c>
      <c r="Y650">
        <v>0</v>
      </c>
      <c r="Z650">
        <v>0</v>
      </c>
      <c r="AA650" t="s">
        <v>43</v>
      </c>
      <c r="AB650">
        <v>26.2</v>
      </c>
      <c r="AD650" t="s">
        <v>9373</v>
      </c>
      <c r="AE650" t="s">
        <v>9374</v>
      </c>
    </row>
    <row r="651" spans="1:31" x14ac:dyDescent="0.25">
      <c r="A651" t="s">
        <v>31</v>
      </c>
      <c r="C651" t="s">
        <v>5181</v>
      </c>
      <c r="D651" t="s">
        <v>5229</v>
      </c>
      <c r="E651" t="s">
        <v>34</v>
      </c>
      <c r="F651" t="s">
        <v>35</v>
      </c>
      <c r="G651">
        <v>2020</v>
      </c>
      <c r="H651" t="s">
        <v>36</v>
      </c>
      <c r="I651" t="s">
        <v>5230</v>
      </c>
      <c r="J651" t="s">
        <v>31</v>
      </c>
      <c r="K651" t="s">
        <v>38</v>
      </c>
      <c r="L651" t="s">
        <v>68</v>
      </c>
      <c r="M651" t="s">
        <v>69</v>
      </c>
      <c r="N651" t="s">
        <v>297</v>
      </c>
      <c r="O651" t="s">
        <v>2116</v>
      </c>
      <c r="P651" t="s">
        <v>5231</v>
      </c>
      <c r="T651">
        <v>32.801553898999998</v>
      </c>
      <c r="U651">
        <v>-96.821052343999995</v>
      </c>
      <c r="V651">
        <f>SUM(W651:X651)+(Y651*0.8)+(Z651*0.4)</f>
        <v>29.625</v>
      </c>
      <c r="W651">
        <v>29.625</v>
      </c>
      <c r="X651">
        <v>0</v>
      </c>
      <c r="Y651">
        <v>0</v>
      </c>
      <c r="Z651">
        <v>0</v>
      </c>
      <c r="AA651" t="s">
        <v>43</v>
      </c>
      <c r="AB651">
        <v>21.125</v>
      </c>
      <c r="AD651" t="s">
        <v>5232</v>
      </c>
      <c r="AE651" t="s">
        <v>5233</v>
      </c>
    </row>
    <row r="652" spans="1:31" x14ac:dyDescent="0.25">
      <c r="A652" t="s">
        <v>31</v>
      </c>
      <c r="C652" t="s">
        <v>5181</v>
      </c>
      <c r="D652" t="s">
        <v>5286</v>
      </c>
      <c r="E652" t="s">
        <v>34</v>
      </c>
      <c r="F652" t="s">
        <v>35</v>
      </c>
      <c r="G652">
        <v>2023</v>
      </c>
      <c r="H652" t="s">
        <v>36</v>
      </c>
      <c r="I652" t="s">
        <v>5287</v>
      </c>
      <c r="J652" t="s">
        <v>31</v>
      </c>
      <c r="K652" t="s">
        <v>38</v>
      </c>
      <c r="L652" t="s">
        <v>242</v>
      </c>
      <c r="M652" t="s">
        <v>243</v>
      </c>
      <c r="N652" t="s">
        <v>405</v>
      </c>
      <c r="O652" t="s">
        <v>516</v>
      </c>
      <c r="P652" t="s">
        <v>517</v>
      </c>
      <c r="T652">
        <v>39.024635191000002</v>
      </c>
      <c r="U652">
        <v>-77.452466494000006</v>
      </c>
      <c r="V652">
        <f>SUM(W652:X652)+(Y652*0.8)+(Z652*0.4)</f>
        <v>29.440000000000005</v>
      </c>
      <c r="W652">
        <v>6.4</v>
      </c>
      <c r="X652">
        <v>12.8</v>
      </c>
      <c r="Y652">
        <v>12.8</v>
      </c>
      <c r="Z652">
        <v>0</v>
      </c>
      <c r="AA652" t="s">
        <v>43</v>
      </c>
      <c r="AB652">
        <v>5.8</v>
      </c>
      <c r="AD652" t="s">
        <v>5288</v>
      </c>
      <c r="AE652" t="s">
        <v>5289</v>
      </c>
    </row>
    <row r="653" spans="1:31" x14ac:dyDescent="0.25">
      <c r="A653" t="s">
        <v>31</v>
      </c>
      <c r="C653" t="s">
        <v>3710</v>
      </c>
      <c r="D653" t="s">
        <v>3976</v>
      </c>
      <c r="E653" t="s">
        <v>34</v>
      </c>
      <c r="F653" t="s">
        <v>66</v>
      </c>
      <c r="G653">
        <v>2011</v>
      </c>
      <c r="H653" t="s">
        <v>36</v>
      </c>
      <c r="I653" t="s">
        <v>3977</v>
      </c>
      <c r="J653" t="s">
        <v>31</v>
      </c>
      <c r="K653" t="s">
        <v>38</v>
      </c>
      <c r="L653" t="s">
        <v>68</v>
      </c>
      <c r="M653" t="s">
        <v>69</v>
      </c>
      <c r="N653" t="s">
        <v>1951</v>
      </c>
      <c r="O653" t="s">
        <v>1952</v>
      </c>
      <c r="P653" t="s">
        <v>3880</v>
      </c>
      <c r="S653" t="s">
        <v>3881</v>
      </c>
      <c r="T653">
        <v>29.844410086</v>
      </c>
      <c r="U653">
        <v>-95.555035934000003</v>
      </c>
      <c r="V653">
        <f>SUM(W653:X653)+(Y653*0.8)+(Z653*0.4)</f>
        <v>29.1</v>
      </c>
      <c r="W653">
        <v>29.1</v>
      </c>
      <c r="X653">
        <v>0</v>
      </c>
      <c r="Y653">
        <v>0</v>
      </c>
      <c r="Z653">
        <v>0</v>
      </c>
      <c r="AA653" t="s">
        <v>43</v>
      </c>
      <c r="AB653">
        <v>28.3</v>
      </c>
      <c r="AD653" t="s">
        <v>3978</v>
      </c>
      <c r="AE653" t="s">
        <v>3979</v>
      </c>
    </row>
    <row r="654" spans="1:31" x14ac:dyDescent="0.25">
      <c r="A654" t="s">
        <v>31</v>
      </c>
      <c r="C654" t="s">
        <v>9886</v>
      </c>
      <c r="D654" t="s">
        <v>9954</v>
      </c>
      <c r="E654" t="s">
        <v>34</v>
      </c>
      <c r="F654" t="s">
        <v>66</v>
      </c>
      <c r="G654">
        <v>2030</v>
      </c>
      <c r="H654" t="s">
        <v>36</v>
      </c>
      <c r="I654" t="s">
        <v>9955</v>
      </c>
      <c r="J654" t="s">
        <v>31</v>
      </c>
      <c r="K654" t="s">
        <v>38</v>
      </c>
      <c r="L654" t="s">
        <v>242</v>
      </c>
      <c r="M654" t="s">
        <v>243</v>
      </c>
      <c r="N654" t="s">
        <v>405</v>
      </c>
      <c r="O654" t="s">
        <v>1140</v>
      </c>
      <c r="P654" t="s">
        <v>1285</v>
      </c>
      <c r="T654">
        <v>39.086341015999999</v>
      </c>
      <c r="U654">
        <v>-77.520658302000001</v>
      </c>
      <c r="V654">
        <f>SUM(W654:X654)+(Y654*0.8)+(Z654*0.4)</f>
        <v>28.8</v>
      </c>
      <c r="W654">
        <v>0</v>
      </c>
      <c r="X654">
        <v>0</v>
      </c>
      <c r="Y654">
        <v>36</v>
      </c>
      <c r="Z654">
        <v>0</v>
      </c>
      <c r="AA654" t="s">
        <v>43</v>
      </c>
      <c r="AB654">
        <v>0</v>
      </c>
      <c r="AD654" t="s">
        <v>9956</v>
      </c>
      <c r="AE654" t="s">
        <v>9957</v>
      </c>
    </row>
    <row r="655" spans="1:31" x14ac:dyDescent="0.25">
      <c r="A655" t="s">
        <v>31</v>
      </c>
      <c r="C655" t="s">
        <v>10208</v>
      </c>
      <c r="D655" t="s">
        <v>10242</v>
      </c>
      <c r="E655" t="s">
        <v>34</v>
      </c>
      <c r="F655" t="s">
        <v>66</v>
      </c>
      <c r="G655">
        <v>2028</v>
      </c>
      <c r="H655" t="s">
        <v>36</v>
      </c>
      <c r="I655" t="s">
        <v>10243</v>
      </c>
      <c r="J655" t="s">
        <v>31</v>
      </c>
      <c r="K655" t="s">
        <v>38</v>
      </c>
      <c r="L655" t="s">
        <v>86</v>
      </c>
      <c r="M655" t="s">
        <v>87</v>
      </c>
      <c r="N655" t="s">
        <v>88</v>
      </c>
      <c r="O655" t="s">
        <v>554</v>
      </c>
      <c r="P655" t="s">
        <v>2216</v>
      </c>
      <c r="Q655" t="s">
        <v>555</v>
      </c>
      <c r="T655">
        <v>42.000588049000001</v>
      </c>
      <c r="U655">
        <v>-87.972199571000004</v>
      </c>
      <c r="V655">
        <f>SUM(W655:X655)+(Y655*0.8)+(Z655*0.4)</f>
        <v>28.8</v>
      </c>
      <c r="W655">
        <v>0</v>
      </c>
      <c r="X655">
        <v>0</v>
      </c>
      <c r="Y655">
        <v>36</v>
      </c>
      <c r="Z655">
        <v>0</v>
      </c>
      <c r="AA655" t="s">
        <v>43</v>
      </c>
      <c r="AB655">
        <v>0</v>
      </c>
      <c r="AD655" t="s">
        <v>10244</v>
      </c>
      <c r="AE655" t="s">
        <v>10245</v>
      </c>
    </row>
    <row r="656" spans="1:31" x14ac:dyDescent="0.25">
      <c r="A656" t="s">
        <v>31</v>
      </c>
      <c r="C656" t="s">
        <v>8571</v>
      </c>
      <c r="D656" t="s">
        <v>8596</v>
      </c>
      <c r="E656" t="s">
        <v>34</v>
      </c>
      <c r="F656" t="s">
        <v>66</v>
      </c>
      <c r="G656">
        <v>2026</v>
      </c>
      <c r="H656" t="s">
        <v>36</v>
      </c>
      <c r="I656" t="s">
        <v>8597</v>
      </c>
      <c r="J656" t="s">
        <v>31</v>
      </c>
      <c r="K656" t="s">
        <v>38</v>
      </c>
      <c r="L656" t="s">
        <v>242</v>
      </c>
      <c r="M656" t="s">
        <v>243</v>
      </c>
      <c r="N656" t="s">
        <v>405</v>
      </c>
      <c r="O656" t="s">
        <v>516</v>
      </c>
      <c r="P656" t="s">
        <v>517</v>
      </c>
      <c r="T656">
        <v>39.016370350999999</v>
      </c>
      <c r="U656">
        <v>-77.472260270000007</v>
      </c>
      <c r="V656">
        <f>SUM(W656:X656)+(Y656*0.8)+(Z656*0.4)</f>
        <v>28.8</v>
      </c>
      <c r="W656">
        <v>0</v>
      </c>
      <c r="X656">
        <v>0</v>
      </c>
      <c r="Y656">
        <v>36</v>
      </c>
      <c r="Z656">
        <v>0</v>
      </c>
      <c r="AA656" t="s">
        <v>43</v>
      </c>
      <c r="AB656">
        <v>30</v>
      </c>
      <c r="AD656" t="s">
        <v>8598</v>
      </c>
      <c r="AE656" t="s">
        <v>8599</v>
      </c>
    </row>
    <row r="657" spans="1:31" x14ac:dyDescent="0.25">
      <c r="A657" t="s">
        <v>31</v>
      </c>
      <c r="B657" t="s">
        <v>11350</v>
      </c>
      <c r="C657" t="s">
        <v>647</v>
      </c>
      <c r="D657" t="s">
        <v>870</v>
      </c>
      <c r="E657" t="s">
        <v>362</v>
      </c>
      <c r="F657" t="s">
        <v>649</v>
      </c>
      <c r="G657">
        <v>2026</v>
      </c>
      <c r="H657" t="s">
        <v>36</v>
      </c>
      <c r="I657" t="s">
        <v>871</v>
      </c>
      <c r="J657" t="s">
        <v>31</v>
      </c>
      <c r="K657" t="s">
        <v>38</v>
      </c>
      <c r="L657" t="s">
        <v>242</v>
      </c>
      <c r="M657" t="s">
        <v>243</v>
      </c>
      <c r="N657" t="s">
        <v>872</v>
      </c>
      <c r="O657" t="s">
        <v>510</v>
      </c>
      <c r="P657" t="s">
        <v>873</v>
      </c>
      <c r="T657">
        <v>38.749911335999997</v>
      </c>
      <c r="U657">
        <v>-77.492686939999999</v>
      </c>
      <c r="V657">
        <f>SUM(W657:X657)+(Y657*0.8)+(Z657*0.4)</f>
        <v>28.8</v>
      </c>
      <c r="W657">
        <v>0</v>
      </c>
      <c r="X657">
        <v>28.8</v>
      </c>
      <c r="Y657">
        <v>0</v>
      </c>
      <c r="Z657">
        <v>0</v>
      </c>
      <c r="AA657" t="s">
        <v>43</v>
      </c>
      <c r="AB657">
        <v>28.8</v>
      </c>
      <c r="AD657" t="s">
        <v>874</v>
      </c>
      <c r="AE657" t="s">
        <v>875</v>
      </c>
    </row>
    <row r="658" spans="1:31" x14ac:dyDescent="0.25">
      <c r="A658" t="s">
        <v>31</v>
      </c>
      <c r="B658" t="s">
        <v>11350</v>
      </c>
      <c r="C658" t="s">
        <v>7857</v>
      </c>
      <c r="D658" t="s">
        <v>8066</v>
      </c>
      <c r="E658" t="s">
        <v>362</v>
      </c>
      <c r="F658" t="s">
        <v>649</v>
      </c>
      <c r="G658">
        <v>2023</v>
      </c>
      <c r="H658" t="s">
        <v>36</v>
      </c>
      <c r="I658" t="s">
        <v>8067</v>
      </c>
      <c r="J658" t="s">
        <v>31</v>
      </c>
      <c r="K658" t="s">
        <v>38</v>
      </c>
      <c r="L658" t="s">
        <v>242</v>
      </c>
      <c r="M658" t="s">
        <v>243</v>
      </c>
      <c r="N658" t="s">
        <v>509</v>
      </c>
      <c r="O658" t="s">
        <v>510</v>
      </c>
      <c r="P658" t="s">
        <v>511</v>
      </c>
      <c r="T658">
        <v>38.795655236999998</v>
      </c>
      <c r="U658">
        <v>-77.534612101999997</v>
      </c>
      <c r="V658">
        <f>SUM(W658:X658)+(Y658*0.8)+(Z658*0.4)</f>
        <v>28.8</v>
      </c>
      <c r="W658">
        <v>0</v>
      </c>
      <c r="X658">
        <v>0</v>
      </c>
      <c r="Y658">
        <v>36</v>
      </c>
      <c r="Z658">
        <v>0</v>
      </c>
      <c r="AA658" t="s">
        <v>43</v>
      </c>
      <c r="AB658">
        <v>36</v>
      </c>
      <c r="AD658" t="s">
        <v>8068</v>
      </c>
      <c r="AE658" t="s">
        <v>8069</v>
      </c>
    </row>
    <row r="659" spans="1:31" x14ac:dyDescent="0.25">
      <c r="A659" t="s">
        <v>31</v>
      </c>
      <c r="C659" t="s">
        <v>3849</v>
      </c>
      <c r="D659" t="s">
        <v>4408</v>
      </c>
      <c r="E659" t="s">
        <v>34</v>
      </c>
      <c r="F659" t="s">
        <v>66</v>
      </c>
      <c r="G659">
        <v>2017</v>
      </c>
      <c r="H659" t="s">
        <v>36</v>
      </c>
      <c r="I659" t="s">
        <v>4409</v>
      </c>
      <c r="J659" t="s">
        <v>31</v>
      </c>
      <c r="K659" t="s">
        <v>38</v>
      </c>
      <c r="L659" t="s">
        <v>242</v>
      </c>
      <c r="M659" t="s">
        <v>243</v>
      </c>
      <c r="N659" t="s">
        <v>405</v>
      </c>
      <c r="O659" t="s">
        <v>516</v>
      </c>
      <c r="P659" t="s">
        <v>853</v>
      </c>
      <c r="T659">
        <v>39.015555999999997</v>
      </c>
      <c r="U659">
        <v>-77.467207000000002</v>
      </c>
      <c r="V659">
        <f>SUM(W659:X659)+(Y659*0.8)+(Z659*0.4)</f>
        <v>28.8</v>
      </c>
      <c r="W659">
        <v>28.8</v>
      </c>
      <c r="X659">
        <v>0</v>
      </c>
      <c r="Y659">
        <v>0</v>
      </c>
      <c r="Z659">
        <v>0</v>
      </c>
      <c r="AA659" t="s">
        <v>43</v>
      </c>
      <c r="AB659">
        <v>28.8</v>
      </c>
      <c r="AD659" t="s">
        <v>4410</v>
      </c>
      <c r="AE659" t="s">
        <v>4411</v>
      </c>
    </row>
    <row r="660" spans="1:31" x14ac:dyDescent="0.25">
      <c r="A660" t="s">
        <v>31</v>
      </c>
      <c r="C660" t="s">
        <v>8571</v>
      </c>
      <c r="D660" t="s">
        <v>4443</v>
      </c>
      <c r="E660" t="s">
        <v>34</v>
      </c>
      <c r="F660" t="s">
        <v>66</v>
      </c>
      <c r="H660" t="s">
        <v>36</v>
      </c>
      <c r="I660" t="s">
        <v>8625</v>
      </c>
      <c r="J660" t="s">
        <v>31</v>
      </c>
      <c r="K660" t="s">
        <v>38</v>
      </c>
      <c r="L660" t="s">
        <v>86</v>
      </c>
      <c r="M660" t="s">
        <v>87</v>
      </c>
      <c r="N660" t="s">
        <v>2215</v>
      </c>
      <c r="O660" t="s">
        <v>8621</v>
      </c>
      <c r="P660" t="s">
        <v>8622</v>
      </c>
      <c r="Q660" t="s">
        <v>3397</v>
      </c>
      <c r="T660">
        <v>41.989651780999999</v>
      </c>
      <c r="U660">
        <v>-88.004605538999996</v>
      </c>
      <c r="V660">
        <f>SUM(W660:X660)+(Y660*0.8)+(Z660*0.4)</f>
        <v>28.8</v>
      </c>
      <c r="W660">
        <v>0</v>
      </c>
      <c r="X660">
        <v>0</v>
      </c>
      <c r="Y660">
        <v>36</v>
      </c>
      <c r="Z660">
        <v>0</v>
      </c>
      <c r="AA660" t="s">
        <v>43</v>
      </c>
      <c r="AB660">
        <v>0</v>
      </c>
      <c r="AD660" t="s">
        <v>8626</v>
      </c>
      <c r="AE660" t="s">
        <v>8627</v>
      </c>
    </row>
    <row r="661" spans="1:31" x14ac:dyDescent="0.25">
      <c r="A661" t="s">
        <v>31</v>
      </c>
      <c r="C661" t="s">
        <v>8571</v>
      </c>
      <c r="D661" t="s">
        <v>8628</v>
      </c>
      <c r="E661" t="s">
        <v>34</v>
      </c>
      <c r="F661" t="s">
        <v>66</v>
      </c>
      <c r="H661" t="s">
        <v>36</v>
      </c>
      <c r="I661" t="s">
        <v>8629</v>
      </c>
      <c r="J661" t="s">
        <v>31</v>
      </c>
      <c r="K661" t="s">
        <v>38</v>
      </c>
      <c r="L661" t="s">
        <v>86</v>
      </c>
      <c r="M661" t="s">
        <v>87</v>
      </c>
      <c r="N661" t="s">
        <v>2215</v>
      </c>
      <c r="O661" t="s">
        <v>8621</v>
      </c>
      <c r="P661" t="s">
        <v>8622</v>
      </c>
      <c r="Q661" t="s">
        <v>3397</v>
      </c>
      <c r="T661">
        <v>41.988805034000002</v>
      </c>
      <c r="U661">
        <v>-88.004234842000002</v>
      </c>
      <c r="V661">
        <f>SUM(W661:X661)+(Y661*0.8)+(Z661*0.4)</f>
        <v>28.8</v>
      </c>
      <c r="W661">
        <v>0</v>
      </c>
      <c r="X661">
        <v>0</v>
      </c>
      <c r="Y661">
        <v>36</v>
      </c>
      <c r="Z661">
        <v>0</v>
      </c>
      <c r="AA661" t="s">
        <v>43</v>
      </c>
      <c r="AB661">
        <v>0</v>
      </c>
      <c r="AD661" t="s">
        <v>8630</v>
      </c>
      <c r="AE661" t="s">
        <v>8631</v>
      </c>
    </row>
    <row r="662" spans="1:31" x14ac:dyDescent="0.25">
      <c r="A662" t="s">
        <v>31</v>
      </c>
      <c r="B662" t="s">
        <v>11350</v>
      </c>
      <c r="C662" t="s">
        <v>647</v>
      </c>
      <c r="D662" t="s">
        <v>861</v>
      </c>
      <c r="E662" t="s">
        <v>362</v>
      </c>
      <c r="F662" t="s">
        <v>649</v>
      </c>
      <c r="H662" t="s">
        <v>36</v>
      </c>
      <c r="I662" t="s">
        <v>862</v>
      </c>
      <c r="J662" t="s">
        <v>31</v>
      </c>
      <c r="K662" t="s">
        <v>38</v>
      </c>
      <c r="L662" t="s">
        <v>242</v>
      </c>
      <c r="M662" t="s">
        <v>243</v>
      </c>
      <c r="N662" t="s">
        <v>405</v>
      </c>
      <c r="O662" t="s">
        <v>526</v>
      </c>
      <c r="P662" t="s">
        <v>527</v>
      </c>
      <c r="T662">
        <v>39.023967786</v>
      </c>
      <c r="U662">
        <v>-77.408002353000001</v>
      </c>
      <c r="V662">
        <f>SUM(W662:X662)+(Y662*0.8)+(Z662*0.4)</f>
        <v>28.8</v>
      </c>
      <c r="W662">
        <v>0</v>
      </c>
      <c r="X662">
        <v>0</v>
      </c>
      <c r="Y662">
        <v>0</v>
      </c>
      <c r="Z662">
        <v>72</v>
      </c>
      <c r="AA662" t="s">
        <v>43</v>
      </c>
      <c r="AB662">
        <v>0</v>
      </c>
      <c r="AD662" t="s">
        <v>863</v>
      </c>
      <c r="AE662" t="s">
        <v>864</v>
      </c>
    </row>
    <row r="663" spans="1:31" x14ac:dyDescent="0.25">
      <c r="A663" t="s">
        <v>31</v>
      </c>
      <c r="B663" t="s">
        <v>11350</v>
      </c>
      <c r="C663" t="s">
        <v>647</v>
      </c>
      <c r="D663" t="s">
        <v>865</v>
      </c>
      <c r="E663" t="s">
        <v>362</v>
      </c>
      <c r="F663" t="s">
        <v>649</v>
      </c>
      <c r="H663" t="s">
        <v>36</v>
      </c>
      <c r="I663" t="s">
        <v>866</v>
      </c>
      <c r="J663" t="s">
        <v>31</v>
      </c>
      <c r="K663" t="s">
        <v>38</v>
      </c>
      <c r="L663" t="s">
        <v>242</v>
      </c>
      <c r="M663" t="s">
        <v>243</v>
      </c>
      <c r="N663" t="s">
        <v>405</v>
      </c>
      <c r="O663" t="s">
        <v>867</v>
      </c>
      <c r="P663" t="s">
        <v>527</v>
      </c>
      <c r="T663">
        <v>39.021956686999999</v>
      </c>
      <c r="U663">
        <v>-77.410745601000002</v>
      </c>
      <c r="V663">
        <f>SUM(W663:X663)+(Y663*0.8)+(Z663*0.4)</f>
        <v>28.8</v>
      </c>
      <c r="W663">
        <v>0</v>
      </c>
      <c r="X663">
        <v>0</v>
      </c>
      <c r="Y663">
        <v>0</v>
      </c>
      <c r="Z663">
        <v>72</v>
      </c>
      <c r="AA663" t="s">
        <v>43</v>
      </c>
      <c r="AB663">
        <v>0</v>
      </c>
      <c r="AD663" t="s">
        <v>868</v>
      </c>
      <c r="AE663" t="s">
        <v>869</v>
      </c>
    </row>
    <row r="664" spans="1:31" x14ac:dyDescent="0.25">
      <c r="A664" t="s">
        <v>31</v>
      </c>
      <c r="C664" t="s">
        <v>11324</v>
      </c>
      <c r="D664" t="s">
        <v>3509</v>
      </c>
      <c r="E664" t="s">
        <v>362</v>
      </c>
      <c r="F664" t="s">
        <v>43</v>
      </c>
      <c r="G664">
        <v>2008</v>
      </c>
      <c r="H664" t="s">
        <v>36</v>
      </c>
      <c r="I664" t="s">
        <v>11330</v>
      </c>
      <c r="J664" t="s">
        <v>31</v>
      </c>
      <c r="K664" t="s">
        <v>38</v>
      </c>
      <c r="L664" t="s">
        <v>843</v>
      </c>
      <c r="M664" t="s">
        <v>1644</v>
      </c>
      <c r="N664" t="s">
        <v>3511</v>
      </c>
      <c r="O664" t="s">
        <v>3509</v>
      </c>
      <c r="P664" t="s">
        <v>3512</v>
      </c>
      <c r="T664">
        <v>47.246617915999998</v>
      </c>
      <c r="U664">
        <v>-119.829332001</v>
      </c>
      <c r="V664">
        <f>SUM(W664:X664)+(Y664*0.8)+(Z664*0.4)</f>
        <v>28.75</v>
      </c>
      <c r="W664">
        <v>16.75</v>
      </c>
      <c r="X664">
        <v>0</v>
      </c>
      <c r="Y664">
        <v>9</v>
      </c>
      <c r="Z664">
        <v>12</v>
      </c>
      <c r="AA664" t="s">
        <v>43</v>
      </c>
      <c r="AB664">
        <v>25.75</v>
      </c>
      <c r="AD664" t="s">
        <v>11331</v>
      </c>
      <c r="AE664" t="s">
        <v>11332</v>
      </c>
    </row>
    <row r="665" spans="1:31" x14ac:dyDescent="0.25">
      <c r="A665" t="s">
        <v>31</v>
      </c>
      <c r="C665" t="s">
        <v>64</v>
      </c>
      <c r="D665" t="s">
        <v>131</v>
      </c>
      <c r="E665" t="s">
        <v>34</v>
      </c>
      <c r="F665" t="s">
        <v>35</v>
      </c>
      <c r="G665">
        <v>1990</v>
      </c>
      <c r="H665" t="s">
        <v>36</v>
      </c>
      <c r="I665" t="s">
        <v>132</v>
      </c>
      <c r="J665" t="s">
        <v>31</v>
      </c>
      <c r="K665" t="s">
        <v>38</v>
      </c>
      <c r="L665" t="s">
        <v>133</v>
      </c>
      <c r="M665" t="s">
        <v>134</v>
      </c>
      <c r="N665" t="s">
        <v>135</v>
      </c>
      <c r="O665" t="s">
        <v>136</v>
      </c>
      <c r="P665" t="s">
        <v>137</v>
      </c>
      <c r="S665" t="s">
        <v>138</v>
      </c>
      <c r="T665">
        <v>45.521606312000003</v>
      </c>
      <c r="U665">
        <v>-122.680684532</v>
      </c>
      <c r="V665">
        <f>SUM(W665:X665)+(Y665*0.8)+(Z665*0.4)</f>
        <v>28.47</v>
      </c>
      <c r="W665">
        <v>14.67</v>
      </c>
      <c r="X665">
        <v>13.8</v>
      </c>
      <c r="Y665">
        <v>0</v>
      </c>
      <c r="Z665">
        <v>0</v>
      </c>
      <c r="AA665" t="s">
        <v>43</v>
      </c>
      <c r="AB665">
        <v>11.385</v>
      </c>
      <c r="AD665" t="s">
        <v>139</v>
      </c>
      <c r="AE665" t="s">
        <v>140</v>
      </c>
    </row>
    <row r="666" spans="1:31" x14ac:dyDescent="0.25">
      <c r="A666" t="s">
        <v>31</v>
      </c>
      <c r="C666" t="s">
        <v>6832</v>
      </c>
      <c r="D666" t="s">
        <v>6935</v>
      </c>
      <c r="E666" t="s">
        <v>34</v>
      </c>
      <c r="F666" t="s">
        <v>35</v>
      </c>
      <c r="G666">
        <v>2026</v>
      </c>
      <c r="H666" t="s">
        <v>36</v>
      </c>
      <c r="I666" t="s">
        <v>6936</v>
      </c>
      <c r="J666" t="s">
        <v>31</v>
      </c>
      <c r="K666" t="s">
        <v>38</v>
      </c>
      <c r="L666" t="s">
        <v>242</v>
      </c>
      <c r="M666" t="s">
        <v>243</v>
      </c>
      <c r="N666" t="s">
        <v>509</v>
      </c>
      <c r="P666" t="s">
        <v>511</v>
      </c>
      <c r="T666">
        <v>38.772321302000002</v>
      </c>
      <c r="U666">
        <v>-77.543498564000004</v>
      </c>
      <c r="V666">
        <f>SUM(W666:X666)+(Y666*0.8)+(Z666*0.4)</f>
        <v>28</v>
      </c>
      <c r="W666">
        <v>0</v>
      </c>
      <c r="X666">
        <v>28</v>
      </c>
      <c r="Y666">
        <v>0</v>
      </c>
      <c r="Z666">
        <v>0</v>
      </c>
      <c r="AA666" t="s">
        <v>43</v>
      </c>
      <c r="AB666">
        <v>28</v>
      </c>
      <c r="AD666" t="s">
        <v>6937</v>
      </c>
      <c r="AE666" t="s">
        <v>6938</v>
      </c>
    </row>
    <row r="667" spans="1:31" x14ac:dyDescent="0.25">
      <c r="A667" t="s">
        <v>31</v>
      </c>
      <c r="C667" t="s">
        <v>3312</v>
      </c>
      <c r="D667" t="s">
        <v>3379</v>
      </c>
      <c r="E667" t="s">
        <v>34</v>
      </c>
      <c r="F667" t="s">
        <v>66</v>
      </c>
      <c r="G667">
        <v>2026</v>
      </c>
      <c r="H667" t="s">
        <v>36</v>
      </c>
      <c r="I667" t="s">
        <v>3380</v>
      </c>
      <c r="J667" t="s">
        <v>31</v>
      </c>
      <c r="K667" t="s">
        <v>38</v>
      </c>
      <c r="L667" t="s">
        <v>86</v>
      </c>
      <c r="M667" t="s">
        <v>87</v>
      </c>
      <c r="N667" t="s">
        <v>1805</v>
      </c>
      <c r="O667" t="s">
        <v>196</v>
      </c>
      <c r="P667" t="s">
        <v>3328</v>
      </c>
      <c r="Q667" t="s">
        <v>3329</v>
      </c>
      <c r="T667">
        <v>41.802774306000003</v>
      </c>
      <c r="U667">
        <v>-88.246970094999995</v>
      </c>
      <c r="V667">
        <f>SUM(W667:X667)+(Y667*0.8)+(Z667*0.4)</f>
        <v>28</v>
      </c>
      <c r="W667">
        <v>0</v>
      </c>
      <c r="X667">
        <v>20</v>
      </c>
      <c r="Y667">
        <v>0</v>
      </c>
      <c r="Z667">
        <v>20</v>
      </c>
      <c r="AA667" t="s">
        <v>43</v>
      </c>
      <c r="AB667">
        <v>0</v>
      </c>
      <c r="AD667" t="s">
        <v>3381</v>
      </c>
      <c r="AE667" t="s">
        <v>3382</v>
      </c>
    </row>
    <row r="668" spans="1:31" x14ac:dyDescent="0.25">
      <c r="A668" t="s">
        <v>31</v>
      </c>
      <c r="C668" t="s">
        <v>4142</v>
      </c>
      <c r="D668" t="s">
        <v>4143</v>
      </c>
      <c r="E668" t="s">
        <v>34</v>
      </c>
      <c r="F668" t="s">
        <v>66</v>
      </c>
      <c r="G668">
        <v>2020</v>
      </c>
      <c r="H668" t="s">
        <v>36</v>
      </c>
      <c r="I668" t="s">
        <v>4144</v>
      </c>
      <c r="J668" t="s">
        <v>31</v>
      </c>
      <c r="K668" t="s">
        <v>38</v>
      </c>
      <c r="L668" t="s">
        <v>143</v>
      </c>
      <c r="M668" t="s">
        <v>144</v>
      </c>
      <c r="N668" t="s">
        <v>1002</v>
      </c>
      <c r="O668" t="s">
        <v>4115</v>
      </c>
      <c r="P668" t="s">
        <v>4145</v>
      </c>
      <c r="T668">
        <v>41.707258119999999</v>
      </c>
      <c r="U668">
        <v>-87.520211571000004</v>
      </c>
      <c r="V668">
        <f>SUM(W668:X668)+(Y668*0.8)+(Z668*0.4)</f>
        <v>28</v>
      </c>
      <c r="W668">
        <v>12</v>
      </c>
      <c r="X668">
        <v>0</v>
      </c>
      <c r="Y668">
        <v>20</v>
      </c>
      <c r="Z668">
        <v>0</v>
      </c>
      <c r="AA668" t="s">
        <v>43</v>
      </c>
      <c r="AB668">
        <v>12</v>
      </c>
      <c r="AC668">
        <v>1.3</v>
      </c>
      <c r="AD668" t="s">
        <v>4146</v>
      </c>
      <c r="AE668" t="s">
        <v>4147</v>
      </c>
    </row>
    <row r="669" spans="1:31" x14ac:dyDescent="0.25">
      <c r="A669" t="s">
        <v>31</v>
      </c>
      <c r="C669" t="s">
        <v>10102</v>
      </c>
      <c r="D669" t="s">
        <v>10156</v>
      </c>
      <c r="E669" t="s">
        <v>34</v>
      </c>
      <c r="F669" t="s">
        <v>66</v>
      </c>
      <c r="G669">
        <v>2016</v>
      </c>
      <c r="H669" t="s">
        <v>36</v>
      </c>
      <c r="I669" t="s">
        <v>10157</v>
      </c>
      <c r="J669" t="s">
        <v>31</v>
      </c>
      <c r="K669" t="s">
        <v>38</v>
      </c>
      <c r="L669" t="s">
        <v>1457</v>
      </c>
      <c r="M669" t="s">
        <v>1458</v>
      </c>
      <c r="N669" t="s">
        <v>319</v>
      </c>
      <c r="O669" t="s">
        <v>10113</v>
      </c>
      <c r="P669" t="s">
        <v>10114</v>
      </c>
      <c r="T669">
        <v>36.055723251000003</v>
      </c>
      <c r="U669">
        <v>-115.220142905</v>
      </c>
      <c r="V669">
        <f>SUM(W669:X669)+(Y669*0.8)+(Z669*0.4)</f>
        <v>28</v>
      </c>
      <c r="W669">
        <v>28</v>
      </c>
      <c r="X669">
        <v>0</v>
      </c>
      <c r="Y669">
        <v>0</v>
      </c>
      <c r="Z669">
        <v>0</v>
      </c>
      <c r="AA669" t="s">
        <v>43</v>
      </c>
      <c r="AB669">
        <v>28</v>
      </c>
      <c r="AD669" t="s">
        <v>10158</v>
      </c>
      <c r="AE669" t="s">
        <v>10159</v>
      </c>
    </row>
    <row r="670" spans="1:31" x14ac:dyDescent="0.25">
      <c r="A670" t="s">
        <v>31</v>
      </c>
      <c r="C670" t="s">
        <v>9124</v>
      </c>
      <c r="D670" t="s">
        <v>9140</v>
      </c>
      <c r="E670" t="s">
        <v>34</v>
      </c>
      <c r="F670" t="s">
        <v>76</v>
      </c>
      <c r="H670" t="s">
        <v>36</v>
      </c>
      <c r="I670" t="s">
        <v>9141</v>
      </c>
      <c r="J670" t="s">
        <v>31</v>
      </c>
      <c r="K670" t="s">
        <v>38</v>
      </c>
      <c r="L670" t="s">
        <v>242</v>
      </c>
      <c r="M670" t="s">
        <v>243</v>
      </c>
      <c r="N670" t="s">
        <v>405</v>
      </c>
      <c r="O670" t="s">
        <v>526</v>
      </c>
      <c r="P670" t="s">
        <v>527</v>
      </c>
      <c r="T670">
        <v>38.989421554000003</v>
      </c>
      <c r="U670">
        <v>-77.442105045000005</v>
      </c>
      <c r="V670">
        <f>SUM(W670:X670)+(Y670*0.8)+(Z670*0.4)</f>
        <v>28</v>
      </c>
      <c r="W670">
        <v>0</v>
      </c>
      <c r="X670">
        <v>0</v>
      </c>
      <c r="Y670">
        <v>0</v>
      </c>
      <c r="Z670">
        <v>70</v>
      </c>
      <c r="AA670" t="s">
        <v>43</v>
      </c>
      <c r="AB670">
        <v>0</v>
      </c>
      <c r="AD670" t="s">
        <v>9142</v>
      </c>
      <c r="AE670" t="s">
        <v>9143</v>
      </c>
    </row>
    <row r="671" spans="1:31" x14ac:dyDescent="0.25">
      <c r="A671" t="s">
        <v>31</v>
      </c>
      <c r="C671" t="s">
        <v>5963</v>
      </c>
      <c r="D671" t="s">
        <v>5964</v>
      </c>
      <c r="E671" t="s">
        <v>362</v>
      </c>
      <c r="F671" t="s">
        <v>43</v>
      </c>
      <c r="H671" t="s">
        <v>36</v>
      </c>
      <c r="I671" t="s">
        <v>5965</v>
      </c>
      <c r="J671" t="s">
        <v>31</v>
      </c>
      <c r="K671" t="s">
        <v>38</v>
      </c>
      <c r="L671" t="s">
        <v>1733</v>
      </c>
      <c r="M671" t="s">
        <v>1734</v>
      </c>
      <c r="N671" t="s">
        <v>5966</v>
      </c>
      <c r="O671" t="s">
        <v>5964</v>
      </c>
      <c r="P671" t="s">
        <v>5967</v>
      </c>
      <c r="T671">
        <v>35.019288987000003</v>
      </c>
      <c r="U671">
        <v>-92.546225187000005</v>
      </c>
      <c r="V671">
        <f>SUM(W671:X671)+(Y671*0.8)+(Z671*0.4)</f>
        <v>28</v>
      </c>
      <c r="W671">
        <v>0</v>
      </c>
      <c r="X671">
        <v>0</v>
      </c>
      <c r="Y671">
        <v>0</v>
      </c>
      <c r="Z671">
        <v>70</v>
      </c>
      <c r="AA671" t="s">
        <v>43</v>
      </c>
      <c r="AB671">
        <v>0</v>
      </c>
      <c r="AD671" t="s">
        <v>5968</v>
      </c>
      <c r="AE671" t="s">
        <v>5969</v>
      </c>
    </row>
    <row r="672" spans="1:31" x14ac:dyDescent="0.25">
      <c r="A672" t="s">
        <v>31</v>
      </c>
      <c r="C672" t="s">
        <v>11242</v>
      </c>
      <c r="D672" t="s">
        <v>11243</v>
      </c>
      <c r="E672" t="s">
        <v>34</v>
      </c>
      <c r="F672" t="s">
        <v>66</v>
      </c>
      <c r="H672" t="s">
        <v>36</v>
      </c>
      <c r="I672" t="s">
        <v>11244</v>
      </c>
      <c r="J672" t="s">
        <v>31</v>
      </c>
      <c r="K672" t="s">
        <v>38</v>
      </c>
      <c r="L672" t="s">
        <v>1733</v>
      </c>
      <c r="M672" t="s">
        <v>1734</v>
      </c>
      <c r="N672" t="s">
        <v>1735</v>
      </c>
      <c r="O672" t="s">
        <v>10371</v>
      </c>
      <c r="P672" t="s">
        <v>1737</v>
      </c>
      <c r="T672">
        <v>34.712691694999997</v>
      </c>
      <c r="U672">
        <v>-92.161425714000003</v>
      </c>
      <c r="V672">
        <f>SUM(W672:X672)+(Y672*0.8)+(Z672*0.4)</f>
        <v>27.84</v>
      </c>
      <c r="W672">
        <v>0</v>
      </c>
      <c r="X672">
        <v>0</v>
      </c>
      <c r="Y672">
        <v>34.799999999999997</v>
      </c>
      <c r="Z672">
        <v>0</v>
      </c>
      <c r="AA672" t="s">
        <v>43</v>
      </c>
      <c r="AB672">
        <v>0</v>
      </c>
      <c r="AD672" t="s">
        <v>11245</v>
      </c>
      <c r="AE672" t="s">
        <v>11246</v>
      </c>
    </row>
    <row r="673" spans="1:31" x14ac:dyDescent="0.25">
      <c r="A673" t="s">
        <v>31</v>
      </c>
      <c r="C673" t="s">
        <v>10876</v>
      </c>
      <c r="D673" t="s">
        <v>10953</v>
      </c>
      <c r="E673" t="s">
        <v>34</v>
      </c>
      <c r="F673" t="s">
        <v>66</v>
      </c>
      <c r="G673">
        <v>2026</v>
      </c>
      <c r="H673" t="s">
        <v>36</v>
      </c>
      <c r="I673" t="s">
        <v>10954</v>
      </c>
      <c r="J673" t="s">
        <v>31</v>
      </c>
      <c r="K673" t="s">
        <v>38</v>
      </c>
      <c r="L673" t="s">
        <v>68</v>
      </c>
      <c r="M673" t="s">
        <v>69</v>
      </c>
      <c r="N673" t="s">
        <v>712</v>
      </c>
      <c r="O673" t="s">
        <v>713</v>
      </c>
      <c r="P673" t="s">
        <v>714</v>
      </c>
      <c r="T673">
        <v>29.416066220000001</v>
      </c>
      <c r="U673">
        <v>-98.790064747000002</v>
      </c>
      <c r="V673">
        <f>SUM(W673:X673)+(Y673*0.8)+(Z673*0.4)</f>
        <v>27.200000000000003</v>
      </c>
      <c r="W673">
        <v>0</v>
      </c>
      <c r="X673">
        <v>8</v>
      </c>
      <c r="Y673">
        <v>24</v>
      </c>
      <c r="Z673">
        <v>0</v>
      </c>
      <c r="AA673" t="s">
        <v>43</v>
      </c>
      <c r="AB673">
        <v>0</v>
      </c>
      <c r="AD673" t="s">
        <v>10955</v>
      </c>
      <c r="AE673" t="s">
        <v>10956</v>
      </c>
    </row>
    <row r="674" spans="1:31" x14ac:dyDescent="0.25">
      <c r="A674" t="s">
        <v>31</v>
      </c>
      <c r="C674" t="s">
        <v>3312</v>
      </c>
      <c r="D674" t="s">
        <v>781</v>
      </c>
      <c r="E674" t="s">
        <v>34</v>
      </c>
      <c r="F674" t="s">
        <v>66</v>
      </c>
      <c r="H674" t="s">
        <v>36</v>
      </c>
      <c r="I674" t="s">
        <v>3529</v>
      </c>
      <c r="J674" t="s">
        <v>31</v>
      </c>
      <c r="K674" t="s">
        <v>38</v>
      </c>
      <c r="L674" t="s">
        <v>172</v>
      </c>
      <c r="M674" t="s">
        <v>173</v>
      </c>
      <c r="N674" t="s">
        <v>780</v>
      </c>
      <c r="O674" t="s">
        <v>781</v>
      </c>
      <c r="P674" t="s">
        <v>787</v>
      </c>
      <c r="S674" t="s">
        <v>788</v>
      </c>
      <c r="T674">
        <v>37.369174739000002</v>
      </c>
      <c r="U674">
        <v>-121.944123084</v>
      </c>
      <c r="V674">
        <f>SUM(W674:X674)+(Y674*0.8)+(Z674*0.4)</f>
        <v>27</v>
      </c>
      <c r="W674">
        <v>0</v>
      </c>
      <c r="X674">
        <v>0</v>
      </c>
      <c r="Y674">
        <v>0</v>
      </c>
      <c r="Z674">
        <v>67.5</v>
      </c>
      <c r="AA674" t="s">
        <v>43</v>
      </c>
      <c r="AB674">
        <v>0</v>
      </c>
      <c r="AC674">
        <v>1.23</v>
      </c>
      <c r="AD674" t="s">
        <v>3530</v>
      </c>
      <c r="AE674" t="s">
        <v>3531</v>
      </c>
    </row>
    <row r="675" spans="1:31" x14ac:dyDescent="0.25">
      <c r="A675" t="s">
        <v>31</v>
      </c>
      <c r="B675" t="s">
        <v>11350</v>
      </c>
      <c r="C675" t="s">
        <v>647</v>
      </c>
      <c r="D675" t="s">
        <v>856</v>
      </c>
      <c r="E675" t="s">
        <v>362</v>
      </c>
      <c r="F675" t="s">
        <v>649</v>
      </c>
      <c r="H675" t="s">
        <v>36</v>
      </c>
      <c r="I675" t="s">
        <v>857</v>
      </c>
      <c r="J675" t="s">
        <v>31</v>
      </c>
      <c r="K675" t="s">
        <v>38</v>
      </c>
      <c r="L675" t="s">
        <v>242</v>
      </c>
      <c r="M675" t="s">
        <v>243</v>
      </c>
      <c r="N675" t="s">
        <v>244</v>
      </c>
      <c r="O675" t="s">
        <v>320</v>
      </c>
      <c r="P675" t="s">
        <v>858</v>
      </c>
      <c r="T675">
        <v>38.742199825</v>
      </c>
      <c r="U675">
        <v>-77.185869776000004</v>
      </c>
      <c r="V675">
        <f>SUM(W675:X675)+(Y675*0.8)+(Z675*0.4)</f>
        <v>27</v>
      </c>
      <c r="W675">
        <v>0</v>
      </c>
      <c r="X675">
        <v>27</v>
      </c>
      <c r="Y675">
        <v>0</v>
      </c>
      <c r="Z675">
        <v>0</v>
      </c>
      <c r="AA675" t="s">
        <v>43</v>
      </c>
      <c r="AB675">
        <v>27</v>
      </c>
      <c r="AD675" t="s">
        <v>859</v>
      </c>
      <c r="AE675" t="s">
        <v>860</v>
      </c>
    </row>
    <row r="676" spans="1:31" x14ac:dyDescent="0.25">
      <c r="A676" t="s">
        <v>31</v>
      </c>
      <c r="C676" t="s">
        <v>3849</v>
      </c>
      <c r="D676" t="s">
        <v>4443</v>
      </c>
      <c r="E676" t="s">
        <v>34</v>
      </c>
      <c r="F676" t="s">
        <v>66</v>
      </c>
      <c r="G676">
        <v>2018</v>
      </c>
      <c r="H676" t="s">
        <v>36</v>
      </c>
      <c r="I676" t="s">
        <v>4444</v>
      </c>
      <c r="J676" t="s">
        <v>31</v>
      </c>
      <c r="K676" t="s">
        <v>38</v>
      </c>
      <c r="L676" t="s">
        <v>86</v>
      </c>
      <c r="M676" t="s">
        <v>87</v>
      </c>
      <c r="N676" t="s">
        <v>2215</v>
      </c>
      <c r="O676" t="s">
        <v>554</v>
      </c>
      <c r="P676" t="s">
        <v>4445</v>
      </c>
      <c r="Q676" t="s">
        <v>555</v>
      </c>
      <c r="T676">
        <v>41.993547</v>
      </c>
      <c r="U676">
        <v>-87.965477000000007</v>
      </c>
      <c r="V676">
        <f>SUM(W676:X676)+(Y676*0.8)+(Z676*0.4)</f>
        <v>26.9</v>
      </c>
      <c r="W676">
        <v>26.9</v>
      </c>
      <c r="X676">
        <v>0</v>
      </c>
      <c r="Y676">
        <v>0</v>
      </c>
      <c r="Z676">
        <v>0</v>
      </c>
      <c r="AA676" t="s">
        <v>43</v>
      </c>
      <c r="AB676">
        <v>22.74</v>
      </c>
      <c r="AD676" t="s">
        <v>4446</v>
      </c>
      <c r="AE676" t="s">
        <v>4447</v>
      </c>
    </row>
    <row r="677" spans="1:31" x14ac:dyDescent="0.25">
      <c r="A677" t="s">
        <v>31</v>
      </c>
      <c r="C677" t="s">
        <v>3849</v>
      </c>
      <c r="D677" t="s">
        <v>3068</v>
      </c>
      <c r="E677" t="s">
        <v>34</v>
      </c>
      <c r="F677" t="s">
        <v>66</v>
      </c>
      <c r="G677">
        <v>2015</v>
      </c>
      <c r="H677" t="s">
        <v>36</v>
      </c>
      <c r="I677" t="s">
        <v>4440</v>
      </c>
      <c r="J677" t="s">
        <v>31</v>
      </c>
      <c r="K677" t="s">
        <v>38</v>
      </c>
      <c r="L677" t="s">
        <v>86</v>
      </c>
      <c r="M677" t="s">
        <v>87</v>
      </c>
      <c r="N677" t="s">
        <v>88</v>
      </c>
      <c r="O677" t="s">
        <v>554</v>
      </c>
      <c r="P677" t="s">
        <v>2216</v>
      </c>
      <c r="T677">
        <v>41.99438</v>
      </c>
      <c r="U677">
        <v>-87.957689000000002</v>
      </c>
      <c r="V677">
        <f>SUM(W677:X677)+(Y677*0.8)+(Z677*0.4)</f>
        <v>26.8</v>
      </c>
      <c r="W677">
        <v>26.8</v>
      </c>
      <c r="X677">
        <v>0</v>
      </c>
      <c r="Y677">
        <v>0</v>
      </c>
      <c r="Z677">
        <v>0</v>
      </c>
      <c r="AA677" t="s">
        <v>43</v>
      </c>
      <c r="AB677">
        <v>26.68</v>
      </c>
      <c r="AD677" t="s">
        <v>4441</v>
      </c>
      <c r="AE677" t="s">
        <v>4442</v>
      </c>
    </row>
    <row r="678" spans="1:31" x14ac:dyDescent="0.25">
      <c r="A678" t="s">
        <v>31</v>
      </c>
      <c r="C678" t="s">
        <v>10208</v>
      </c>
      <c r="D678" t="s">
        <v>10228</v>
      </c>
      <c r="E678" t="s">
        <v>34</v>
      </c>
      <c r="F678" t="s">
        <v>66</v>
      </c>
      <c r="G678">
        <v>2021</v>
      </c>
      <c r="H678" t="s">
        <v>36</v>
      </c>
      <c r="I678" t="s">
        <v>10229</v>
      </c>
      <c r="J678" t="s">
        <v>31</v>
      </c>
      <c r="K678" t="s">
        <v>38</v>
      </c>
      <c r="L678" t="s">
        <v>86</v>
      </c>
      <c r="M678" t="s">
        <v>87</v>
      </c>
      <c r="N678" t="s">
        <v>88</v>
      </c>
      <c r="O678" t="s">
        <v>554</v>
      </c>
      <c r="P678" t="s">
        <v>2216</v>
      </c>
      <c r="S678" t="s">
        <v>7933</v>
      </c>
      <c r="T678">
        <v>42.023014728</v>
      </c>
      <c r="U678">
        <v>-87.974693162999998</v>
      </c>
      <c r="V678">
        <f>SUM(W678:X678)+(Y678*0.8)+(Z678*0.4)</f>
        <v>26.6</v>
      </c>
      <c r="W678">
        <v>26.6</v>
      </c>
      <c r="X678">
        <v>0</v>
      </c>
      <c r="Y678">
        <v>0</v>
      </c>
      <c r="Z678">
        <v>0</v>
      </c>
      <c r="AA678" t="s">
        <v>43</v>
      </c>
      <c r="AB678">
        <v>24.8</v>
      </c>
      <c r="AD678" t="s">
        <v>10230</v>
      </c>
      <c r="AE678" t="s">
        <v>10231</v>
      </c>
    </row>
    <row r="679" spans="1:31" x14ac:dyDescent="0.25">
      <c r="A679" t="s">
        <v>31</v>
      </c>
      <c r="C679" t="s">
        <v>8540</v>
      </c>
      <c r="D679" t="s">
        <v>8541</v>
      </c>
      <c r="E679" t="s">
        <v>34</v>
      </c>
      <c r="F679" t="s">
        <v>66</v>
      </c>
      <c r="G679">
        <v>2022</v>
      </c>
      <c r="H679" t="s">
        <v>36</v>
      </c>
      <c r="I679" t="s">
        <v>8542</v>
      </c>
      <c r="J679" t="s">
        <v>31</v>
      </c>
      <c r="K679" t="s">
        <v>38</v>
      </c>
      <c r="L679" t="s">
        <v>172</v>
      </c>
      <c r="M679" t="s">
        <v>173</v>
      </c>
      <c r="N679" t="s">
        <v>3661</v>
      </c>
      <c r="O679" t="s">
        <v>3662</v>
      </c>
      <c r="P679" t="s">
        <v>8543</v>
      </c>
      <c r="S679" t="s">
        <v>8544</v>
      </c>
      <c r="T679">
        <v>37.724788476000001</v>
      </c>
      <c r="U679">
        <v>-122.39892576299999</v>
      </c>
      <c r="V679">
        <f>SUM(W679:X679)+(Y679*0.8)+(Z679*0.4)</f>
        <v>26.560000000000002</v>
      </c>
      <c r="W679">
        <v>4.8</v>
      </c>
      <c r="X679">
        <v>4.8</v>
      </c>
      <c r="Y679">
        <v>0</v>
      </c>
      <c r="Z679">
        <v>42.4</v>
      </c>
      <c r="AA679" t="s">
        <v>43</v>
      </c>
      <c r="AB679">
        <v>4.8</v>
      </c>
      <c r="AD679" t="s">
        <v>8545</v>
      </c>
      <c r="AE679" t="s">
        <v>8546</v>
      </c>
    </row>
    <row r="680" spans="1:31" x14ac:dyDescent="0.25">
      <c r="A680" t="s">
        <v>31</v>
      </c>
      <c r="C680" t="s">
        <v>8571</v>
      </c>
      <c r="D680" t="s">
        <v>8612</v>
      </c>
      <c r="E680" t="s">
        <v>34</v>
      </c>
      <c r="F680" t="s">
        <v>66</v>
      </c>
      <c r="G680">
        <v>2014</v>
      </c>
      <c r="H680" t="s">
        <v>36</v>
      </c>
      <c r="I680" t="s">
        <v>8608</v>
      </c>
      <c r="J680" t="s">
        <v>31</v>
      </c>
      <c r="K680" t="s">
        <v>38</v>
      </c>
      <c r="L680" t="s">
        <v>172</v>
      </c>
      <c r="M680" t="s">
        <v>173</v>
      </c>
      <c r="N680" t="s">
        <v>174</v>
      </c>
      <c r="O680" t="s">
        <v>7371</v>
      </c>
      <c r="P680" t="s">
        <v>8609</v>
      </c>
      <c r="T680">
        <v>38.650420511</v>
      </c>
      <c r="U680">
        <v>-121.49185220299999</v>
      </c>
      <c r="V680">
        <f>SUM(W680:X680)+(Y680*0.8)+(Z680*0.4)</f>
        <v>26.1</v>
      </c>
      <c r="W680">
        <v>26.1</v>
      </c>
      <c r="X680">
        <v>0</v>
      </c>
      <c r="Y680">
        <v>0</v>
      </c>
      <c r="Z680">
        <v>0</v>
      </c>
      <c r="AA680" t="s">
        <v>43</v>
      </c>
      <c r="AB680">
        <v>24.71</v>
      </c>
      <c r="AD680" t="s">
        <v>8613</v>
      </c>
      <c r="AE680" t="s">
        <v>8614</v>
      </c>
    </row>
    <row r="681" spans="1:31" x14ac:dyDescent="0.25">
      <c r="A681" t="s">
        <v>31</v>
      </c>
      <c r="B681" t="s">
        <v>11350</v>
      </c>
      <c r="C681" t="s">
        <v>647</v>
      </c>
      <c r="D681" t="s">
        <v>655</v>
      </c>
      <c r="E681" t="s">
        <v>362</v>
      </c>
      <c r="F681" t="s">
        <v>649</v>
      </c>
      <c r="G681">
        <v>2025</v>
      </c>
      <c r="H681" t="s">
        <v>36</v>
      </c>
      <c r="I681" t="s">
        <v>656</v>
      </c>
      <c r="J681" t="s">
        <v>31</v>
      </c>
      <c r="K681" t="s">
        <v>38</v>
      </c>
      <c r="L681" t="s">
        <v>242</v>
      </c>
      <c r="M681" t="s">
        <v>243</v>
      </c>
      <c r="N681" t="s">
        <v>405</v>
      </c>
      <c r="O681" t="s">
        <v>526</v>
      </c>
      <c r="P681" t="s">
        <v>527</v>
      </c>
      <c r="T681">
        <v>38.987009049000001</v>
      </c>
      <c r="U681">
        <v>-77.435693881999995</v>
      </c>
      <c r="V681">
        <f>SUM(W681:X681)+(Y681*0.8)+(Z681*0.4)</f>
        <v>26</v>
      </c>
      <c r="W681">
        <v>13</v>
      </c>
      <c r="X681">
        <v>13</v>
      </c>
      <c r="Y681">
        <v>0</v>
      </c>
      <c r="Z681">
        <v>0</v>
      </c>
      <c r="AA681" t="s">
        <v>43</v>
      </c>
      <c r="AB681">
        <v>26</v>
      </c>
      <c r="AD681" t="s">
        <v>657</v>
      </c>
      <c r="AE681" t="s">
        <v>658</v>
      </c>
    </row>
    <row r="682" spans="1:31" x14ac:dyDescent="0.25">
      <c r="A682" t="s">
        <v>31</v>
      </c>
      <c r="B682" t="s">
        <v>11350</v>
      </c>
      <c r="C682" t="s">
        <v>7857</v>
      </c>
      <c r="D682" t="s">
        <v>8142</v>
      </c>
      <c r="E682" t="s">
        <v>362</v>
      </c>
      <c r="F682" t="s">
        <v>649</v>
      </c>
      <c r="G682">
        <v>2022</v>
      </c>
      <c r="H682" t="s">
        <v>36</v>
      </c>
      <c r="I682" t="s">
        <v>8143</v>
      </c>
      <c r="J682" t="s">
        <v>31</v>
      </c>
      <c r="K682" t="s">
        <v>38</v>
      </c>
      <c r="L682" t="s">
        <v>68</v>
      </c>
      <c r="M682" t="s">
        <v>69</v>
      </c>
      <c r="N682" t="s">
        <v>712</v>
      </c>
      <c r="O682" t="s">
        <v>713</v>
      </c>
      <c r="P682" t="s">
        <v>3517</v>
      </c>
      <c r="S682" t="s">
        <v>8144</v>
      </c>
      <c r="T682">
        <v>29.473924133000001</v>
      </c>
      <c r="U682">
        <v>-98.682525342000005</v>
      </c>
      <c r="V682">
        <f>SUM(W682:X682)+(Y682*0.8)+(Z682*0.4)</f>
        <v>26</v>
      </c>
      <c r="W682">
        <v>24</v>
      </c>
      <c r="X682">
        <v>0</v>
      </c>
      <c r="Y682">
        <v>0</v>
      </c>
      <c r="Z682">
        <v>5</v>
      </c>
      <c r="AA682" t="s">
        <v>43</v>
      </c>
      <c r="AB682">
        <v>24</v>
      </c>
      <c r="AD682" t="s">
        <v>8145</v>
      </c>
      <c r="AE682" t="s">
        <v>8146</v>
      </c>
    </row>
    <row r="683" spans="1:31" x14ac:dyDescent="0.25">
      <c r="A683" t="s">
        <v>31</v>
      </c>
      <c r="B683" t="s">
        <v>11350</v>
      </c>
      <c r="C683" t="s">
        <v>6116</v>
      </c>
      <c r="D683" t="s">
        <v>6234</v>
      </c>
      <c r="E683" t="s">
        <v>362</v>
      </c>
      <c r="F683" t="s">
        <v>649</v>
      </c>
      <c r="G683">
        <v>2022</v>
      </c>
      <c r="H683" t="s">
        <v>36</v>
      </c>
      <c r="I683" t="s">
        <v>6235</v>
      </c>
      <c r="J683" t="s">
        <v>31</v>
      </c>
      <c r="K683" t="s">
        <v>38</v>
      </c>
      <c r="L683" t="s">
        <v>68</v>
      </c>
      <c r="M683" t="s">
        <v>69</v>
      </c>
      <c r="N683" t="s">
        <v>2900</v>
      </c>
      <c r="O683" t="s">
        <v>6236</v>
      </c>
      <c r="T683">
        <v>32.443199892999999</v>
      </c>
      <c r="U683">
        <v>-97.062508820999994</v>
      </c>
      <c r="V683">
        <f>SUM(W683:X683)+(Y683*0.8)+(Z683*0.4)</f>
        <v>26</v>
      </c>
      <c r="W683">
        <v>26</v>
      </c>
      <c r="X683">
        <v>0</v>
      </c>
      <c r="Y683">
        <v>0</v>
      </c>
      <c r="Z683">
        <v>0</v>
      </c>
      <c r="AA683" t="s">
        <v>43</v>
      </c>
      <c r="AB683">
        <v>26</v>
      </c>
      <c r="AD683" t="s">
        <v>6237</v>
      </c>
      <c r="AE683" t="s">
        <v>6238</v>
      </c>
    </row>
    <row r="684" spans="1:31" x14ac:dyDescent="0.25">
      <c r="A684" t="s">
        <v>31</v>
      </c>
      <c r="B684" t="s">
        <v>11350</v>
      </c>
      <c r="C684" t="s">
        <v>647</v>
      </c>
      <c r="D684" t="s">
        <v>799</v>
      </c>
      <c r="E684" t="s">
        <v>362</v>
      </c>
      <c r="F684" t="s">
        <v>649</v>
      </c>
      <c r="G684">
        <v>2018</v>
      </c>
      <c r="H684" t="s">
        <v>36</v>
      </c>
      <c r="I684" t="s">
        <v>800</v>
      </c>
      <c r="J684" t="s">
        <v>31</v>
      </c>
      <c r="K684" t="s">
        <v>38</v>
      </c>
      <c r="L684" t="s">
        <v>242</v>
      </c>
      <c r="M684" t="s">
        <v>243</v>
      </c>
      <c r="N684" t="s">
        <v>405</v>
      </c>
      <c r="O684" t="s">
        <v>516</v>
      </c>
      <c r="P684" t="s">
        <v>801</v>
      </c>
      <c r="T684">
        <v>39.020193141999997</v>
      </c>
      <c r="U684">
        <v>-77.433671829000005</v>
      </c>
      <c r="V684">
        <f>SUM(W684:X684)+(Y684*0.8)+(Z684*0.4)</f>
        <v>26</v>
      </c>
      <c r="W684">
        <v>26</v>
      </c>
      <c r="X684">
        <v>0</v>
      </c>
      <c r="Y684">
        <v>0</v>
      </c>
      <c r="Z684">
        <v>0</v>
      </c>
      <c r="AA684" t="s">
        <v>43</v>
      </c>
      <c r="AB684">
        <v>26</v>
      </c>
      <c r="AD684" t="s">
        <v>802</v>
      </c>
      <c r="AE684" t="s">
        <v>803</v>
      </c>
    </row>
    <row r="685" spans="1:31" x14ac:dyDescent="0.25">
      <c r="A685" t="s">
        <v>31</v>
      </c>
      <c r="C685" t="s">
        <v>3849</v>
      </c>
      <c r="D685" t="s">
        <v>4400</v>
      </c>
      <c r="E685" t="s">
        <v>34</v>
      </c>
      <c r="F685" t="s">
        <v>66</v>
      </c>
      <c r="G685">
        <v>2011</v>
      </c>
      <c r="H685" t="s">
        <v>36</v>
      </c>
      <c r="I685" t="s">
        <v>4401</v>
      </c>
      <c r="J685" t="s">
        <v>31</v>
      </c>
      <c r="K685" t="s">
        <v>38</v>
      </c>
      <c r="L685" t="s">
        <v>242</v>
      </c>
      <c r="M685" t="s">
        <v>243</v>
      </c>
      <c r="N685" t="s">
        <v>405</v>
      </c>
      <c r="O685" t="s">
        <v>516</v>
      </c>
      <c r="P685" t="s">
        <v>517</v>
      </c>
      <c r="T685">
        <v>39.020952798000003</v>
      </c>
      <c r="U685">
        <v>-77.463638931999995</v>
      </c>
      <c r="V685">
        <f>SUM(W685:X685)+(Y685*0.8)+(Z685*0.4)</f>
        <v>26</v>
      </c>
      <c r="W685">
        <v>26</v>
      </c>
      <c r="X685">
        <v>0</v>
      </c>
      <c r="Y685">
        <v>0</v>
      </c>
      <c r="Z685">
        <v>0</v>
      </c>
      <c r="AA685" t="s">
        <v>43</v>
      </c>
      <c r="AB685">
        <v>26</v>
      </c>
      <c r="AD685" t="s">
        <v>4402</v>
      </c>
      <c r="AE685" t="s">
        <v>4403</v>
      </c>
    </row>
    <row r="686" spans="1:31" x14ac:dyDescent="0.25">
      <c r="A686" t="s">
        <v>31</v>
      </c>
      <c r="C686" t="s">
        <v>3849</v>
      </c>
      <c r="D686" t="s">
        <v>4541</v>
      </c>
      <c r="E686" t="s">
        <v>34</v>
      </c>
      <c r="F686" t="s">
        <v>35</v>
      </c>
      <c r="G686">
        <v>2014</v>
      </c>
      <c r="H686" t="s">
        <v>36</v>
      </c>
      <c r="I686" t="s">
        <v>4542</v>
      </c>
      <c r="J686" t="s">
        <v>31</v>
      </c>
      <c r="K686" t="s">
        <v>38</v>
      </c>
      <c r="L686" t="s">
        <v>242</v>
      </c>
      <c r="M686" t="s">
        <v>243</v>
      </c>
      <c r="N686" t="s">
        <v>405</v>
      </c>
      <c r="O686" t="s">
        <v>516</v>
      </c>
      <c r="P686" t="s">
        <v>853</v>
      </c>
      <c r="T686">
        <v>39.000428999999997</v>
      </c>
      <c r="U686">
        <v>-77.480042999999995</v>
      </c>
      <c r="V686">
        <f>SUM(W686:X686)+(Y686*0.8)+(Z686*0.4)</f>
        <v>25.65</v>
      </c>
      <c r="W686">
        <v>25.65</v>
      </c>
      <c r="X686">
        <v>0</v>
      </c>
      <c r="Y686">
        <v>0</v>
      </c>
      <c r="Z686">
        <v>0</v>
      </c>
      <c r="AA686" t="s">
        <v>43</v>
      </c>
      <c r="AB686">
        <v>25.65</v>
      </c>
      <c r="AD686" t="s">
        <v>4543</v>
      </c>
      <c r="AE686" t="s">
        <v>4544</v>
      </c>
    </row>
    <row r="687" spans="1:31" x14ac:dyDescent="0.25">
      <c r="A687" t="s">
        <v>31</v>
      </c>
      <c r="C687" t="s">
        <v>10876</v>
      </c>
      <c r="D687" t="s">
        <v>10943</v>
      </c>
      <c r="E687" t="s">
        <v>34</v>
      </c>
      <c r="F687" t="s">
        <v>66</v>
      </c>
      <c r="G687">
        <v>2027</v>
      </c>
      <c r="H687" t="s">
        <v>36</v>
      </c>
      <c r="I687" t="s">
        <v>10944</v>
      </c>
      <c r="J687" t="s">
        <v>31</v>
      </c>
      <c r="K687" t="s">
        <v>38</v>
      </c>
      <c r="L687" t="s">
        <v>185</v>
      </c>
      <c r="M687" t="s">
        <v>186</v>
      </c>
      <c r="N687" t="s">
        <v>187</v>
      </c>
      <c r="O687" t="s">
        <v>1606</v>
      </c>
      <c r="P687" t="s">
        <v>7922</v>
      </c>
      <c r="T687">
        <v>33.605263424999997</v>
      </c>
      <c r="U687">
        <v>-84.532248314</v>
      </c>
      <c r="V687">
        <f>SUM(W687:X687)+(Y687*0.8)+(Z687*0.4)</f>
        <v>25.6</v>
      </c>
      <c r="W687">
        <v>0</v>
      </c>
      <c r="X687">
        <v>0</v>
      </c>
      <c r="Y687">
        <v>0</v>
      </c>
      <c r="Z687">
        <v>64</v>
      </c>
      <c r="AA687" t="s">
        <v>43</v>
      </c>
      <c r="AB687">
        <v>0</v>
      </c>
      <c r="AD687" t="s">
        <v>10945</v>
      </c>
      <c r="AE687" t="s">
        <v>10946</v>
      </c>
    </row>
    <row r="688" spans="1:31" x14ac:dyDescent="0.25">
      <c r="A688" t="s">
        <v>31</v>
      </c>
      <c r="C688" t="s">
        <v>6970</v>
      </c>
      <c r="D688" t="s">
        <v>6983</v>
      </c>
      <c r="E688" t="s">
        <v>362</v>
      </c>
      <c r="F688" t="s">
        <v>43</v>
      </c>
      <c r="H688" t="s">
        <v>36</v>
      </c>
      <c r="I688" t="s">
        <v>6984</v>
      </c>
      <c r="J688" t="s">
        <v>31</v>
      </c>
      <c r="K688" t="s">
        <v>38</v>
      </c>
      <c r="L688" t="s">
        <v>242</v>
      </c>
      <c r="M688" t="s">
        <v>243</v>
      </c>
      <c r="N688" t="s">
        <v>405</v>
      </c>
      <c r="O688" t="s">
        <v>6985</v>
      </c>
      <c r="P688" t="s">
        <v>1285</v>
      </c>
      <c r="T688">
        <v>39.063917467000003</v>
      </c>
      <c r="U688">
        <v>-77.550597096000004</v>
      </c>
      <c r="V688">
        <f>SUM(W688:X688)+(Y688*0.8)+(Z688*0.4)</f>
        <v>25.6</v>
      </c>
      <c r="W688">
        <v>0</v>
      </c>
      <c r="X688">
        <v>0</v>
      </c>
      <c r="Y688">
        <v>0</v>
      </c>
      <c r="Z688">
        <v>64</v>
      </c>
      <c r="AA688" t="s">
        <v>43</v>
      </c>
      <c r="AB688">
        <v>0</v>
      </c>
      <c r="AD688" t="s">
        <v>6986</v>
      </c>
      <c r="AE688" t="s">
        <v>6987</v>
      </c>
    </row>
    <row r="689" spans="1:31" x14ac:dyDescent="0.25">
      <c r="A689" t="s">
        <v>31</v>
      </c>
      <c r="C689" t="s">
        <v>6832</v>
      </c>
      <c r="D689" t="s">
        <v>6875</v>
      </c>
      <c r="E689" t="s">
        <v>34</v>
      </c>
      <c r="F689" t="s">
        <v>66</v>
      </c>
      <c r="H689" t="s">
        <v>411</v>
      </c>
      <c r="I689" t="s">
        <v>6871</v>
      </c>
      <c r="J689" t="s">
        <v>31</v>
      </c>
      <c r="K689" t="s">
        <v>38</v>
      </c>
      <c r="L689" t="s">
        <v>242</v>
      </c>
      <c r="M689" t="s">
        <v>243</v>
      </c>
      <c r="N689" t="s">
        <v>509</v>
      </c>
      <c r="O689" t="s">
        <v>510</v>
      </c>
      <c r="P689" t="s">
        <v>511</v>
      </c>
      <c r="T689">
        <v>38.774861999999999</v>
      </c>
      <c r="U689">
        <v>-77.539184000000006</v>
      </c>
      <c r="V689">
        <f>SUM(W689:X689)+(Y689*0.8)+(Z689*0.4)</f>
        <v>25.6</v>
      </c>
      <c r="W689">
        <v>0</v>
      </c>
      <c r="X689">
        <v>0</v>
      </c>
      <c r="Y689">
        <v>32</v>
      </c>
      <c r="Z689">
        <v>0</v>
      </c>
      <c r="AA689" t="s">
        <v>43</v>
      </c>
      <c r="AB689">
        <v>32</v>
      </c>
      <c r="AD689" t="s">
        <v>6876</v>
      </c>
      <c r="AE689" t="s">
        <v>6877</v>
      </c>
    </row>
    <row r="690" spans="1:31" x14ac:dyDescent="0.25">
      <c r="A690" t="s">
        <v>31</v>
      </c>
      <c r="B690" t="s">
        <v>11350</v>
      </c>
      <c r="C690" t="s">
        <v>7857</v>
      </c>
      <c r="D690" t="s">
        <v>7961</v>
      </c>
      <c r="E690" t="s">
        <v>362</v>
      </c>
      <c r="F690" t="s">
        <v>649</v>
      </c>
      <c r="G690">
        <v>2026</v>
      </c>
      <c r="H690" t="s">
        <v>36</v>
      </c>
      <c r="I690" t="s">
        <v>7962</v>
      </c>
      <c r="J690" t="s">
        <v>31</v>
      </c>
      <c r="K690" t="s">
        <v>38</v>
      </c>
      <c r="L690" t="s">
        <v>242</v>
      </c>
      <c r="M690" t="s">
        <v>243</v>
      </c>
      <c r="N690" t="s">
        <v>509</v>
      </c>
      <c r="O690" t="s">
        <v>685</v>
      </c>
      <c r="P690" t="s">
        <v>686</v>
      </c>
      <c r="T690">
        <v>38.779658574000003</v>
      </c>
      <c r="U690">
        <v>-77.568743815999994</v>
      </c>
      <c r="V690">
        <f>SUM(W690:X690)+(Y690*0.8)+(Z690*0.4)</f>
        <v>25.22</v>
      </c>
      <c r="W690">
        <v>0</v>
      </c>
      <c r="X690">
        <v>9.6999999999999993</v>
      </c>
      <c r="Y690">
        <v>19.399999999999999</v>
      </c>
      <c r="Z690">
        <v>0</v>
      </c>
      <c r="AA690" t="s">
        <v>43</v>
      </c>
      <c r="AB690">
        <v>29.1</v>
      </c>
      <c r="AD690" t="s">
        <v>7963</v>
      </c>
      <c r="AE690" t="s">
        <v>7964</v>
      </c>
    </row>
    <row r="691" spans="1:31" x14ac:dyDescent="0.25">
      <c r="A691" t="s">
        <v>31</v>
      </c>
      <c r="C691" t="s">
        <v>5765</v>
      </c>
      <c r="D691" t="s">
        <v>5818</v>
      </c>
      <c r="E691" t="s">
        <v>34</v>
      </c>
      <c r="F691" t="s">
        <v>66</v>
      </c>
      <c r="G691">
        <v>2025</v>
      </c>
      <c r="H691" t="s">
        <v>36</v>
      </c>
      <c r="I691" t="s">
        <v>5819</v>
      </c>
      <c r="J691" t="s">
        <v>31</v>
      </c>
      <c r="K691" t="s">
        <v>38</v>
      </c>
      <c r="L691" t="s">
        <v>193</v>
      </c>
      <c r="M691" t="s">
        <v>194</v>
      </c>
      <c r="N691" t="s">
        <v>155</v>
      </c>
      <c r="O691" t="s">
        <v>5820</v>
      </c>
      <c r="P691" t="s">
        <v>2129</v>
      </c>
      <c r="T691">
        <v>39.561320363</v>
      </c>
      <c r="U691">
        <v>-104.810997911</v>
      </c>
      <c r="V691">
        <f>SUM(W691:X691)+(Y691*0.8)+(Z691*0.4)</f>
        <v>25.2</v>
      </c>
      <c r="W691">
        <v>0</v>
      </c>
      <c r="X691">
        <v>0</v>
      </c>
      <c r="Y691">
        <v>22.5</v>
      </c>
      <c r="Z691">
        <v>18</v>
      </c>
      <c r="AA691" t="s">
        <v>43</v>
      </c>
      <c r="AB691">
        <v>0</v>
      </c>
      <c r="AC691">
        <v>1.3</v>
      </c>
      <c r="AD691" t="s">
        <v>5821</v>
      </c>
      <c r="AE691" t="s">
        <v>5822</v>
      </c>
    </row>
    <row r="692" spans="1:31" x14ac:dyDescent="0.25">
      <c r="A692" t="s">
        <v>31</v>
      </c>
      <c r="C692" t="s">
        <v>2064</v>
      </c>
      <c r="D692" t="s">
        <v>2146</v>
      </c>
      <c r="E692" t="s">
        <v>34</v>
      </c>
      <c r="F692" t="s">
        <v>35</v>
      </c>
      <c r="G692">
        <v>2002</v>
      </c>
      <c r="H692" t="s">
        <v>36</v>
      </c>
      <c r="I692" t="s">
        <v>2147</v>
      </c>
      <c r="J692" t="s">
        <v>31</v>
      </c>
      <c r="K692" t="s">
        <v>38</v>
      </c>
      <c r="L692" t="s">
        <v>39</v>
      </c>
      <c r="M692" t="s">
        <v>40</v>
      </c>
      <c r="N692" t="s">
        <v>2140</v>
      </c>
      <c r="O692" t="s">
        <v>2148</v>
      </c>
      <c r="P692" t="s">
        <v>2149</v>
      </c>
      <c r="Q692" t="s">
        <v>2150</v>
      </c>
      <c r="T692">
        <v>40.761851999999998</v>
      </c>
      <c r="U692">
        <v>-74.025229999999993</v>
      </c>
      <c r="V692">
        <f>SUM(W692:X692)+(Y692*0.8)+(Z692*0.4)</f>
        <v>25.2</v>
      </c>
      <c r="W692">
        <v>25.2</v>
      </c>
      <c r="X692">
        <v>0</v>
      </c>
      <c r="Y692">
        <v>0</v>
      </c>
      <c r="Z692">
        <v>0</v>
      </c>
      <c r="AA692" t="s">
        <v>43</v>
      </c>
      <c r="AB692">
        <v>16.100000000000001</v>
      </c>
      <c r="AD692" t="s">
        <v>2151</v>
      </c>
      <c r="AE692" t="s">
        <v>2152</v>
      </c>
    </row>
    <row r="693" spans="1:31" x14ac:dyDescent="0.25">
      <c r="A693" t="s">
        <v>31</v>
      </c>
      <c r="C693" t="s">
        <v>8711</v>
      </c>
      <c r="D693" t="s">
        <v>337</v>
      </c>
      <c r="E693" t="s">
        <v>34</v>
      </c>
      <c r="F693" t="s">
        <v>35</v>
      </c>
      <c r="G693">
        <v>2025</v>
      </c>
      <c r="H693" t="s">
        <v>36</v>
      </c>
      <c r="I693" t="s">
        <v>8720</v>
      </c>
      <c r="J693" t="s">
        <v>31</v>
      </c>
      <c r="K693" t="s">
        <v>38</v>
      </c>
      <c r="L693" t="s">
        <v>260</v>
      </c>
      <c r="M693" t="s">
        <v>261</v>
      </c>
      <c r="N693" t="s">
        <v>336</v>
      </c>
      <c r="O693" t="s">
        <v>337</v>
      </c>
      <c r="P693" t="s">
        <v>4875</v>
      </c>
      <c r="S693" t="s">
        <v>8721</v>
      </c>
      <c r="T693">
        <v>35.041939296999999</v>
      </c>
      <c r="U693">
        <v>-89.884595273000002</v>
      </c>
      <c r="V693">
        <f>SUM(W693:X693)+(Y693*0.8)+(Z693*0.4)</f>
        <v>25</v>
      </c>
      <c r="W693">
        <v>25</v>
      </c>
      <c r="X693">
        <v>0</v>
      </c>
      <c r="Y693">
        <v>0</v>
      </c>
      <c r="Z693">
        <v>0</v>
      </c>
      <c r="AA693" t="s">
        <v>43</v>
      </c>
      <c r="AB693">
        <v>25</v>
      </c>
      <c r="AD693" t="s">
        <v>8722</v>
      </c>
      <c r="AE693" t="s">
        <v>8723</v>
      </c>
    </row>
    <row r="694" spans="1:31" x14ac:dyDescent="0.25">
      <c r="A694" t="s">
        <v>31</v>
      </c>
      <c r="C694" t="s">
        <v>9886</v>
      </c>
      <c r="D694" t="s">
        <v>10000</v>
      </c>
      <c r="E694" t="s">
        <v>34</v>
      </c>
      <c r="F694" t="s">
        <v>66</v>
      </c>
      <c r="G694">
        <v>2027</v>
      </c>
      <c r="H694" t="s">
        <v>36</v>
      </c>
      <c r="I694" t="s">
        <v>10001</v>
      </c>
      <c r="J694" t="s">
        <v>31</v>
      </c>
      <c r="K694" t="s">
        <v>38</v>
      </c>
      <c r="L694" t="s">
        <v>172</v>
      </c>
      <c r="M694" t="s">
        <v>173</v>
      </c>
      <c r="N694" t="s">
        <v>780</v>
      </c>
      <c r="O694" t="s">
        <v>2067</v>
      </c>
      <c r="P694" t="s">
        <v>5468</v>
      </c>
      <c r="T694">
        <v>37.401577707999998</v>
      </c>
      <c r="U694">
        <v>-121.895324375</v>
      </c>
      <c r="V694">
        <f>SUM(W694:X694)+(Y694*0.8)+(Z694*0.4)</f>
        <v>24.240000000000002</v>
      </c>
      <c r="W694">
        <v>0</v>
      </c>
      <c r="X694">
        <v>17.2</v>
      </c>
      <c r="Y694">
        <v>8.8000000000000007</v>
      </c>
      <c r="Z694">
        <v>0</v>
      </c>
      <c r="AA694" t="s">
        <v>43</v>
      </c>
      <c r="AB694">
        <v>0</v>
      </c>
      <c r="AD694" t="s">
        <v>10002</v>
      </c>
      <c r="AE694" t="s">
        <v>10003</v>
      </c>
    </row>
    <row r="695" spans="1:31" x14ac:dyDescent="0.25">
      <c r="A695" t="s">
        <v>31</v>
      </c>
      <c r="C695" t="s">
        <v>9886</v>
      </c>
      <c r="D695" t="s">
        <v>9996</v>
      </c>
      <c r="E695" t="s">
        <v>34</v>
      </c>
      <c r="F695" t="s">
        <v>66</v>
      </c>
      <c r="G695">
        <v>2026</v>
      </c>
      <c r="H695" t="s">
        <v>36</v>
      </c>
      <c r="I695" t="s">
        <v>9997</v>
      </c>
      <c r="J695" t="s">
        <v>31</v>
      </c>
      <c r="K695" t="s">
        <v>38</v>
      </c>
      <c r="L695" t="s">
        <v>172</v>
      </c>
      <c r="M695" t="s">
        <v>173</v>
      </c>
      <c r="N695" t="s">
        <v>780</v>
      </c>
      <c r="O695" t="s">
        <v>2067</v>
      </c>
      <c r="P695" t="s">
        <v>5468</v>
      </c>
      <c r="T695">
        <v>37.403011511999999</v>
      </c>
      <c r="U695">
        <v>-121.895033445</v>
      </c>
      <c r="V695">
        <f>SUM(W695:X695)+(Y695*0.8)+(Z695*0.4)</f>
        <v>24</v>
      </c>
      <c r="W695">
        <v>0</v>
      </c>
      <c r="X695">
        <v>24</v>
      </c>
      <c r="Y695">
        <v>0</v>
      </c>
      <c r="Z695">
        <v>0</v>
      </c>
      <c r="AA695" t="s">
        <v>43</v>
      </c>
      <c r="AB695">
        <v>0</v>
      </c>
      <c r="AD695" t="s">
        <v>9998</v>
      </c>
      <c r="AE695" t="s">
        <v>9999</v>
      </c>
    </row>
    <row r="696" spans="1:31" x14ac:dyDescent="0.25">
      <c r="A696" t="s">
        <v>31</v>
      </c>
      <c r="C696" t="s">
        <v>8855</v>
      </c>
      <c r="D696" t="s">
        <v>8860</v>
      </c>
      <c r="E696" t="s">
        <v>362</v>
      </c>
      <c r="F696" t="s">
        <v>381</v>
      </c>
      <c r="G696">
        <v>2026</v>
      </c>
      <c r="H696" t="s">
        <v>36</v>
      </c>
      <c r="I696" t="s">
        <v>8861</v>
      </c>
      <c r="J696" t="s">
        <v>31</v>
      </c>
      <c r="K696" t="s">
        <v>38</v>
      </c>
      <c r="L696" t="s">
        <v>326</v>
      </c>
      <c r="M696" t="s">
        <v>327</v>
      </c>
      <c r="N696" t="s">
        <v>328</v>
      </c>
      <c r="O696" t="s">
        <v>590</v>
      </c>
      <c r="P696" t="s">
        <v>2362</v>
      </c>
      <c r="S696" t="s">
        <v>8857</v>
      </c>
      <c r="T696">
        <v>33.415452391000002</v>
      </c>
      <c r="U696">
        <v>-112.012406119</v>
      </c>
      <c r="V696">
        <f>SUM(W696:X696)+(Y696*0.8)+(Z696*0.4)</f>
        <v>24</v>
      </c>
      <c r="W696">
        <v>0</v>
      </c>
      <c r="X696">
        <v>0</v>
      </c>
      <c r="Y696">
        <v>30</v>
      </c>
      <c r="Z696">
        <v>0</v>
      </c>
      <c r="AA696" t="s">
        <v>43</v>
      </c>
      <c r="AB696">
        <v>30</v>
      </c>
      <c r="AD696" t="s">
        <v>8862</v>
      </c>
      <c r="AE696" t="s">
        <v>8863</v>
      </c>
    </row>
    <row r="697" spans="1:31" x14ac:dyDescent="0.25">
      <c r="A697" t="s">
        <v>31</v>
      </c>
      <c r="C697" t="s">
        <v>5034</v>
      </c>
      <c r="D697" t="s">
        <v>5042</v>
      </c>
      <c r="E697" t="s">
        <v>34</v>
      </c>
      <c r="F697" t="s">
        <v>66</v>
      </c>
      <c r="G697">
        <v>2025</v>
      </c>
      <c r="H697" t="s">
        <v>36</v>
      </c>
      <c r="I697" t="s">
        <v>5043</v>
      </c>
      <c r="J697" t="s">
        <v>31</v>
      </c>
      <c r="K697" t="s">
        <v>38</v>
      </c>
      <c r="L697" t="s">
        <v>68</v>
      </c>
      <c r="M697" t="s">
        <v>69</v>
      </c>
      <c r="N697" t="s">
        <v>297</v>
      </c>
      <c r="O697" t="s">
        <v>2357</v>
      </c>
      <c r="T697">
        <v>32.817584220000001</v>
      </c>
      <c r="U697">
        <v>-96.918086693999996</v>
      </c>
      <c r="V697">
        <f>SUM(W697:X697)+(Y697*0.8)+(Z697*0.4)</f>
        <v>24</v>
      </c>
      <c r="W697">
        <v>24</v>
      </c>
      <c r="X697">
        <v>0</v>
      </c>
      <c r="Y697">
        <v>0</v>
      </c>
      <c r="Z697">
        <v>0</v>
      </c>
      <c r="AA697" t="s">
        <v>43</v>
      </c>
      <c r="AB697">
        <v>19</v>
      </c>
      <c r="AC697">
        <v>1.1499999999999999</v>
      </c>
      <c r="AD697" t="s">
        <v>5044</v>
      </c>
      <c r="AE697" t="s">
        <v>5045</v>
      </c>
    </row>
    <row r="698" spans="1:31" x14ac:dyDescent="0.25">
      <c r="A698" t="s">
        <v>31</v>
      </c>
      <c r="C698" t="s">
        <v>5034</v>
      </c>
      <c r="D698" t="s">
        <v>5052</v>
      </c>
      <c r="E698" t="s">
        <v>34</v>
      </c>
      <c r="F698" t="s">
        <v>66</v>
      </c>
      <c r="G698">
        <v>2025</v>
      </c>
      <c r="H698" t="s">
        <v>36</v>
      </c>
      <c r="I698" t="s">
        <v>5053</v>
      </c>
      <c r="J698" t="s">
        <v>31</v>
      </c>
      <c r="K698" t="s">
        <v>38</v>
      </c>
      <c r="L698" t="s">
        <v>317</v>
      </c>
      <c r="M698" t="s">
        <v>318</v>
      </c>
      <c r="N698" t="s">
        <v>665</v>
      </c>
      <c r="O698" t="s">
        <v>1304</v>
      </c>
      <c r="P698" t="s">
        <v>1305</v>
      </c>
      <c r="T698">
        <v>40.104870976000001</v>
      </c>
      <c r="U698">
        <v>-82.814841982999994</v>
      </c>
      <c r="V698">
        <f>SUM(W698:X698)+(Y698*0.8)+(Z698*0.4)</f>
        <v>24</v>
      </c>
      <c r="W698">
        <v>13</v>
      </c>
      <c r="X698">
        <v>11</v>
      </c>
      <c r="Y698">
        <v>0</v>
      </c>
      <c r="Z698">
        <v>0</v>
      </c>
      <c r="AA698" t="s">
        <v>43</v>
      </c>
      <c r="AB698">
        <v>24</v>
      </c>
      <c r="AD698" t="s">
        <v>5054</v>
      </c>
      <c r="AE698" t="s">
        <v>5055</v>
      </c>
    </row>
    <row r="699" spans="1:31" x14ac:dyDescent="0.25">
      <c r="A699" t="s">
        <v>31</v>
      </c>
      <c r="C699" t="s">
        <v>506</v>
      </c>
      <c r="D699" t="s">
        <v>605</v>
      </c>
      <c r="E699" t="s">
        <v>34</v>
      </c>
      <c r="F699" t="s">
        <v>66</v>
      </c>
      <c r="G699">
        <v>2025</v>
      </c>
      <c r="H699" t="s">
        <v>36</v>
      </c>
      <c r="I699" t="s">
        <v>606</v>
      </c>
      <c r="J699" t="s">
        <v>31</v>
      </c>
      <c r="K699" t="s">
        <v>38</v>
      </c>
      <c r="L699" t="s">
        <v>326</v>
      </c>
      <c r="M699" t="s">
        <v>327</v>
      </c>
      <c r="N699" t="s">
        <v>328</v>
      </c>
      <c r="O699" t="s">
        <v>607</v>
      </c>
      <c r="P699" t="s">
        <v>608</v>
      </c>
      <c r="T699">
        <v>33.564489786999999</v>
      </c>
      <c r="U699">
        <v>-112.38924840999999</v>
      </c>
      <c r="V699">
        <f>SUM(W699:X699)+(Y699*0.8)+(Z699*0.4)</f>
        <v>24</v>
      </c>
      <c r="W699">
        <v>0</v>
      </c>
      <c r="X699">
        <v>24</v>
      </c>
      <c r="Y699">
        <v>0</v>
      </c>
      <c r="Z699">
        <v>0</v>
      </c>
      <c r="AA699" t="s">
        <v>43</v>
      </c>
      <c r="AB699">
        <v>14</v>
      </c>
      <c r="AD699" t="s">
        <v>609</v>
      </c>
      <c r="AE699" t="s">
        <v>610</v>
      </c>
    </row>
    <row r="700" spans="1:31" x14ac:dyDescent="0.25">
      <c r="A700" t="s">
        <v>31</v>
      </c>
      <c r="C700" t="s">
        <v>8571</v>
      </c>
      <c r="D700" t="s">
        <v>8592</v>
      </c>
      <c r="E700" t="s">
        <v>34</v>
      </c>
      <c r="F700" t="s">
        <v>35</v>
      </c>
      <c r="G700">
        <v>2024</v>
      </c>
      <c r="H700" t="s">
        <v>36</v>
      </c>
      <c r="I700" t="s">
        <v>8593</v>
      </c>
      <c r="J700" t="s">
        <v>31</v>
      </c>
      <c r="K700" t="s">
        <v>38</v>
      </c>
      <c r="L700" t="s">
        <v>242</v>
      </c>
      <c r="M700" t="s">
        <v>243</v>
      </c>
      <c r="N700" t="s">
        <v>405</v>
      </c>
      <c r="O700" t="s">
        <v>516</v>
      </c>
      <c r="P700" t="s">
        <v>517</v>
      </c>
      <c r="T700">
        <v>39.016995969</v>
      </c>
      <c r="U700">
        <v>-77.473529024000001</v>
      </c>
      <c r="V700">
        <f>SUM(W700:X700)+(Y700*0.8)+(Z700*0.4)</f>
        <v>24</v>
      </c>
      <c r="W700">
        <v>24</v>
      </c>
      <c r="X700">
        <v>0</v>
      </c>
      <c r="Y700">
        <v>0</v>
      </c>
      <c r="Z700">
        <v>0</v>
      </c>
      <c r="AA700" t="s">
        <v>43</v>
      </c>
      <c r="AB700">
        <v>24</v>
      </c>
      <c r="AD700" t="s">
        <v>8594</v>
      </c>
      <c r="AE700" t="s">
        <v>8595</v>
      </c>
    </row>
    <row r="701" spans="1:31" x14ac:dyDescent="0.25">
      <c r="A701" t="s">
        <v>31</v>
      </c>
      <c r="C701" t="s">
        <v>5034</v>
      </c>
      <c r="D701" t="s">
        <v>5056</v>
      </c>
      <c r="E701" t="s">
        <v>34</v>
      </c>
      <c r="F701" t="s">
        <v>66</v>
      </c>
      <c r="G701">
        <v>2024</v>
      </c>
      <c r="H701" t="s">
        <v>36</v>
      </c>
      <c r="I701" t="s">
        <v>5057</v>
      </c>
      <c r="J701" t="s">
        <v>31</v>
      </c>
      <c r="K701" t="s">
        <v>38</v>
      </c>
      <c r="L701" t="s">
        <v>1900</v>
      </c>
      <c r="M701" t="s">
        <v>1901</v>
      </c>
      <c r="N701" t="s">
        <v>5058</v>
      </c>
      <c r="O701" t="s">
        <v>5056</v>
      </c>
      <c r="P701" t="s">
        <v>5059</v>
      </c>
      <c r="Q701" t="s">
        <v>5060</v>
      </c>
      <c r="S701" t="s">
        <v>5061</v>
      </c>
      <c r="T701">
        <v>39.157025081</v>
      </c>
      <c r="U701">
        <v>-94.464110460000001</v>
      </c>
      <c r="V701">
        <f>SUM(W701:X701)+(Y701*0.8)+(Z701*0.4)</f>
        <v>24</v>
      </c>
      <c r="W701">
        <v>24</v>
      </c>
      <c r="X701">
        <v>0</v>
      </c>
      <c r="Y701">
        <v>0</v>
      </c>
      <c r="Z701">
        <v>0</v>
      </c>
      <c r="AA701" t="s">
        <v>43</v>
      </c>
      <c r="AB701">
        <v>12</v>
      </c>
      <c r="AC701">
        <v>1.1499999999999999</v>
      </c>
      <c r="AD701" t="s">
        <v>5062</v>
      </c>
      <c r="AE701" t="s">
        <v>5063</v>
      </c>
    </row>
    <row r="702" spans="1:31" x14ac:dyDescent="0.25">
      <c r="A702" t="s">
        <v>31</v>
      </c>
      <c r="C702" t="s">
        <v>9784</v>
      </c>
      <c r="D702" t="s">
        <v>9806</v>
      </c>
      <c r="E702" t="s">
        <v>34</v>
      </c>
      <c r="F702" t="s">
        <v>66</v>
      </c>
      <c r="G702">
        <v>2023</v>
      </c>
      <c r="H702" t="s">
        <v>36</v>
      </c>
      <c r="I702" t="s">
        <v>9807</v>
      </c>
      <c r="J702" t="s">
        <v>31</v>
      </c>
      <c r="K702" t="s">
        <v>38</v>
      </c>
      <c r="L702" t="s">
        <v>86</v>
      </c>
      <c r="M702" t="s">
        <v>87</v>
      </c>
      <c r="N702" t="s">
        <v>2215</v>
      </c>
      <c r="O702" t="s">
        <v>554</v>
      </c>
      <c r="P702" t="s">
        <v>4445</v>
      </c>
      <c r="T702">
        <v>41.993538921999999</v>
      </c>
      <c r="U702">
        <v>-87.974881766999999</v>
      </c>
      <c r="V702">
        <f>SUM(W702:X702)+(Y702*0.8)+(Z702*0.4)</f>
        <v>24</v>
      </c>
      <c r="W702">
        <v>0</v>
      </c>
      <c r="X702">
        <v>0</v>
      </c>
      <c r="Y702">
        <v>30</v>
      </c>
      <c r="Z702">
        <v>0</v>
      </c>
      <c r="AA702" t="s">
        <v>43</v>
      </c>
      <c r="AB702">
        <v>0</v>
      </c>
      <c r="AD702" t="s">
        <v>9808</v>
      </c>
      <c r="AE702" t="s">
        <v>9809</v>
      </c>
    </row>
    <row r="703" spans="1:31" x14ac:dyDescent="0.25">
      <c r="A703" t="s">
        <v>31</v>
      </c>
      <c r="C703" t="s">
        <v>3312</v>
      </c>
      <c r="D703" t="s">
        <v>3459</v>
      </c>
      <c r="E703" t="s">
        <v>34</v>
      </c>
      <c r="F703" t="s">
        <v>66</v>
      </c>
      <c r="G703">
        <v>2019</v>
      </c>
      <c r="H703" t="s">
        <v>36</v>
      </c>
      <c r="I703" t="s">
        <v>3460</v>
      </c>
      <c r="J703" t="s">
        <v>31</v>
      </c>
      <c r="K703" t="s">
        <v>38</v>
      </c>
      <c r="L703" t="s">
        <v>242</v>
      </c>
      <c r="M703" t="s">
        <v>243</v>
      </c>
      <c r="N703" t="s">
        <v>405</v>
      </c>
      <c r="O703" t="s">
        <v>526</v>
      </c>
      <c r="P703" t="s">
        <v>527</v>
      </c>
      <c r="T703">
        <v>39.021176115000003</v>
      </c>
      <c r="U703">
        <v>-77.413389586999998</v>
      </c>
      <c r="V703">
        <f>SUM(W703:X703)+(Y703*0.8)+(Z703*0.4)</f>
        <v>24</v>
      </c>
      <c r="W703">
        <v>24</v>
      </c>
      <c r="X703">
        <v>0</v>
      </c>
      <c r="Y703">
        <v>0</v>
      </c>
      <c r="Z703">
        <v>0</v>
      </c>
      <c r="AA703" t="s">
        <v>43</v>
      </c>
      <c r="AB703">
        <v>23</v>
      </c>
      <c r="AD703" t="s">
        <v>3461</v>
      </c>
      <c r="AE703" t="s">
        <v>3462</v>
      </c>
    </row>
    <row r="704" spans="1:31" x14ac:dyDescent="0.25">
      <c r="A704" t="s">
        <v>31</v>
      </c>
      <c r="B704" t="s">
        <v>11350</v>
      </c>
      <c r="C704" t="s">
        <v>647</v>
      </c>
      <c r="D704" t="s">
        <v>795</v>
      </c>
      <c r="E704" t="s">
        <v>362</v>
      </c>
      <c r="F704" t="s">
        <v>649</v>
      </c>
      <c r="G704">
        <v>2019</v>
      </c>
      <c r="H704" t="s">
        <v>36</v>
      </c>
      <c r="I704" t="s">
        <v>796</v>
      </c>
      <c r="J704" t="s">
        <v>31</v>
      </c>
      <c r="K704" t="s">
        <v>38</v>
      </c>
      <c r="L704" t="s">
        <v>242</v>
      </c>
      <c r="M704" t="s">
        <v>243</v>
      </c>
      <c r="N704" t="s">
        <v>509</v>
      </c>
      <c r="O704" t="s">
        <v>510</v>
      </c>
      <c r="P704" t="s">
        <v>511</v>
      </c>
      <c r="T704">
        <v>38.744024891000002</v>
      </c>
      <c r="U704">
        <v>-77.530405973000001</v>
      </c>
      <c r="V704">
        <f>SUM(W704:X704)+(Y704*0.8)+(Z704*0.4)</f>
        <v>24</v>
      </c>
      <c r="W704">
        <v>24</v>
      </c>
      <c r="X704">
        <v>0</v>
      </c>
      <c r="Y704">
        <v>0</v>
      </c>
      <c r="Z704">
        <v>0</v>
      </c>
      <c r="AA704" t="s">
        <v>43</v>
      </c>
      <c r="AB704">
        <v>24</v>
      </c>
      <c r="AD704" t="s">
        <v>797</v>
      </c>
      <c r="AE704" t="s">
        <v>798</v>
      </c>
    </row>
    <row r="705" spans="1:31" x14ac:dyDescent="0.25">
      <c r="A705" t="s">
        <v>31</v>
      </c>
      <c r="C705" t="s">
        <v>4801</v>
      </c>
      <c r="D705" t="s">
        <v>4835</v>
      </c>
      <c r="E705" t="s">
        <v>34</v>
      </c>
      <c r="F705" t="s">
        <v>66</v>
      </c>
      <c r="G705">
        <v>2017</v>
      </c>
      <c r="H705" t="s">
        <v>36</v>
      </c>
      <c r="I705" t="s">
        <v>4836</v>
      </c>
      <c r="J705" t="s">
        <v>31</v>
      </c>
      <c r="K705" t="s">
        <v>38</v>
      </c>
      <c r="L705" t="s">
        <v>86</v>
      </c>
      <c r="M705" t="s">
        <v>87</v>
      </c>
      <c r="N705" t="s">
        <v>88</v>
      </c>
      <c r="O705" t="s">
        <v>554</v>
      </c>
      <c r="P705" t="s">
        <v>2216</v>
      </c>
      <c r="T705">
        <v>42.000951999999998</v>
      </c>
      <c r="U705">
        <v>-87.950733999999997</v>
      </c>
      <c r="V705">
        <f>SUM(W705:X705)+(Y705*0.8)+(Z705*0.4)</f>
        <v>24</v>
      </c>
      <c r="W705">
        <v>24</v>
      </c>
      <c r="X705">
        <v>0</v>
      </c>
      <c r="Y705">
        <v>0</v>
      </c>
      <c r="Z705">
        <v>0</v>
      </c>
      <c r="AA705" t="s">
        <v>43</v>
      </c>
      <c r="AB705">
        <v>24</v>
      </c>
      <c r="AD705" t="s">
        <v>4837</v>
      </c>
      <c r="AE705" t="s">
        <v>4838</v>
      </c>
    </row>
    <row r="706" spans="1:31" x14ac:dyDescent="0.25">
      <c r="A706" t="s">
        <v>31</v>
      </c>
      <c r="C706" t="s">
        <v>5765</v>
      </c>
      <c r="D706" t="s">
        <v>5792</v>
      </c>
      <c r="E706" t="s">
        <v>34</v>
      </c>
      <c r="F706" t="s">
        <v>66</v>
      </c>
      <c r="G706">
        <v>2016</v>
      </c>
      <c r="H706" t="s">
        <v>36</v>
      </c>
      <c r="I706" t="s">
        <v>5793</v>
      </c>
      <c r="J706" t="s">
        <v>31</v>
      </c>
      <c r="K706" t="s">
        <v>38</v>
      </c>
      <c r="L706" t="s">
        <v>68</v>
      </c>
      <c r="M706" t="s">
        <v>69</v>
      </c>
      <c r="N706" t="s">
        <v>547</v>
      </c>
      <c r="O706" t="s">
        <v>548</v>
      </c>
      <c r="P706" t="s">
        <v>549</v>
      </c>
      <c r="T706">
        <v>33.007567729000002</v>
      </c>
      <c r="U706">
        <v>-96.666344089000006</v>
      </c>
      <c r="V706">
        <f>SUM(W706:X706)+(Y706*0.8)+(Z706*0.4)</f>
        <v>24</v>
      </c>
      <c r="W706">
        <v>24</v>
      </c>
      <c r="X706">
        <v>0</v>
      </c>
      <c r="Y706">
        <v>0</v>
      </c>
      <c r="Z706">
        <v>0</v>
      </c>
      <c r="AA706" t="s">
        <v>43</v>
      </c>
      <c r="AB706">
        <v>24</v>
      </c>
      <c r="AC706">
        <v>1.3</v>
      </c>
      <c r="AD706" t="s">
        <v>5794</v>
      </c>
      <c r="AE706" t="s">
        <v>5795</v>
      </c>
    </row>
    <row r="707" spans="1:31" x14ac:dyDescent="0.25">
      <c r="A707" t="s">
        <v>31</v>
      </c>
      <c r="C707" t="s">
        <v>10758</v>
      </c>
      <c r="D707" t="s">
        <v>10759</v>
      </c>
      <c r="E707" t="s">
        <v>362</v>
      </c>
      <c r="F707" t="s">
        <v>1803</v>
      </c>
      <c r="G707">
        <v>2010</v>
      </c>
      <c r="H707" t="s">
        <v>36</v>
      </c>
      <c r="I707" t="s">
        <v>10760</v>
      </c>
      <c r="J707" t="s">
        <v>31</v>
      </c>
      <c r="K707" t="s">
        <v>38</v>
      </c>
      <c r="L707" t="s">
        <v>86</v>
      </c>
      <c r="M707" t="s">
        <v>87</v>
      </c>
      <c r="N707" t="s">
        <v>10761</v>
      </c>
      <c r="O707" t="s">
        <v>10762</v>
      </c>
      <c r="P707" t="s">
        <v>10763</v>
      </c>
      <c r="T707">
        <v>40.095168800000003</v>
      </c>
      <c r="U707">
        <v>-88.242070107999993</v>
      </c>
      <c r="V707">
        <f>SUM(W707:X707)+(Y707*0.8)+(Z707*0.4)</f>
        <v>24</v>
      </c>
      <c r="W707">
        <v>24</v>
      </c>
      <c r="X707">
        <v>0</v>
      </c>
      <c r="Y707">
        <v>0</v>
      </c>
      <c r="Z707">
        <v>0</v>
      </c>
      <c r="AA707" t="s">
        <v>43</v>
      </c>
      <c r="AB707">
        <v>24</v>
      </c>
      <c r="AD707" t="s">
        <v>10764</v>
      </c>
      <c r="AE707" t="s">
        <v>10765</v>
      </c>
    </row>
    <row r="708" spans="1:31" x14ac:dyDescent="0.25">
      <c r="A708" t="s">
        <v>31</v>
      </c>
      <c r="C708" t="s">
        <v>5181</v>
      </c>
      <c r="D708" t="s">
        <v>4443</v>
      </c>
      <c r="E708" t="s">
        <v>34</v>
      </c>
      <c r="F708" t="s">
        <v>35</v>
      </c>
      <c r="G708">
        <v>2007</v>
      </c>
      <c r="H708" t="s">
        <v>36</v>
      </c>
      <c r="I708" t="s">
        <v>5201</v>
      </c>
      <c r="J708" t="s">
        <v>31</v>
      </c>
      <c r="K708" t="s">
        <v>38</v>
      </c>
      <c r="L708" t="s">
        <v>86</v>
      </c>
      <c r="M708" t="s">
        <v>87</v>
      </c>
      <c r="N708" t="s">
        <v>88</v>
      </c>
      <c r="O708" t="s">
        <v>554</v>
      </c>
      <c r="P708" t="s">
        <v>2216</v>
      </c>
      <c r="T708">
        <v>42.001361000000003</v>
      </c>
      <c r="U708">
        <v>-87.954863000000003</v>
      </c>
      <c r="V708">
        <f>SUM(W708:X708)+(Y708*0.8)+(Z708*0.4)</f>
        <v>23.78</v>
      </c>
      <c r="W708">
        <v>23.78</v>
      </c>
      <c r="X708">
        <v>0</v>
      </c>
      <c r="Y708">
        <v>0</v>
      </c>
      <c r="Z708">
        <v>0</v>
      </c>
      <c r="AA708" t="s">
        <v>43</v>
      </c>
      <c r="AB708">
        <v>19.98</v>
      </c>
      <c r="AD708" t="s">
        <v>5202</v>
      </c>
      <c r="AE708" t="s">
        <v>5203</v>
      </c>
    </row>
    <row r="709" spans="1:31" x14ac:dyDescent="0.25">
      <c r="A709" t="s">
        <v>31</v>
      </c>
      <c r="B709" t="s">
        <v>11350</v>
      </c>
      <c r="C709" t="s">
        <v>647</v>
      </c>
      <c r="D709" t="s">
        <v>1028</v>
      </c>
      <c r="E709" t="s">
        <v>362</v>
      </c>
      <c r="F709" t="s">
        <v>649</v>
      </c>
      <c r="G709">
        <v>2020</v>
      </c>
      <c r="H709" t="s">
        <v>36</v>
      </c>
      <c r="I709" t="s">
        <v>1029</v>
      </c>
      <c r="J709" t="s">
        <v>31</v>
      </c>
      <c r="K709" t="s">
        <v>38</v>
      </c>
      <c r="L709" t="s">
        <v>242</v>
      </c>
      <c r="M709" t="s">
        <v>243</v>
      </c>
      <c r="N709" t="s">
        <v>405</v>
      </c>
      <c r="O709" t="s">
        <v>526</v>
      </c>
      <c r="P709" t="s">
        <v>527</v>
      </c>
      <c r="T709">
        <v>38.982823889000002</v>
      </c>
      <c r="U709">
        <v>-77.424818723000001</v>
      </c>
      <c r="V709">
        <f>SUM(W709:X709)+(Y709*0.8)+(Z709*0.4)</f>
        <v>23.5</v>
      </c>
      <c r="W709">
        <v>23.5</v>
      </c>
      <c r="X709">
        <v>0</v>
      </c>
      <c r="Y709">
        <v>0</v>
      </c>
      <c r="Z709">
        <v>0</v>
      </c>
      <c r="AA709" t="s">
        <v>43</v>
      </c>
      <c r="AB709">
        <v>23.5</v>
      </c>
      <c r="AD709" t="s">
        <v>1030</v>
      </c>
      <c r="AE709" t="s">
        <v>1031</v>
      </c>
    </row>
    <row r="710" spans="1:31" x14ac:dyDescent="0.25">
      <c r="A710" t="s">
        <v>31</v>
      </c>
      <c r="C710" t="s">
        <v>8768</v>
      </c>
      <c r="D710" t="s">
        <v>8773</v>
      </c>
      <c r="E710" t="s">
        <v>362</v>
      </c>
      <c r="F710" t="s">
        <v>649</v>
      </c>
      <c r="G710">
        <v>2017</v>
      </c>
      <c r="H710" t="s">
        <v>36</v>
      </c>
      <c r="I710" t="s">
        <v>8774</v>
      </c>
      <c r="J710" t="s">
        <v>31</v>
      </c>
      <c r="K710" t="s">
        <v>38</v>
      </c>
      <c r="L710" t="s">
        <v>242</v>
      </c>
      <c r="M710" t="s">
        <v>243</v>
      </c>
      <c r="N710" t="s">
        <v>806</v>
      </c>
      <c r="O710" t="s">
        <v>8775</v>
      </c>
      <c r="P710" t="s">
        <v>3540</v>
      </c>
      <c r="S710" t="s">
        <v>8776</v>
      </c>
      <c r="T710">
        <v>38.747551999999999</v>
      </c>
      <c r="U710">
        <v>-77.674424999999999</v>
      </c>
      <c r="V710">
        <f>SUM(W710:X710)+(Y710*0.8)+(Z710*0.4)</f>
        <v>23.200000000000003</v>
      </c>
      <c r="W710">
        <v>8</v>
      </c>
      <c r="X710">
        <v>4</v>
      </c>
      <c r="Y710">
        <v>14</v>
      </c>
      <c r="Z710">
        <v>0</v>
      </c>
      <c r="AA710" t="s">
        <v>43</v>
      </c>
      <c r="AB710">
        <v>26</v>
      </c>
      <c r="AD710" t="s">
        <v>8777</v>
      </c>
      <c r="AE710" t="s">
        <v>8778</v>
      </c>
    </row>
    <row r="711" spans="1:31" x14ac:dyDescent="0.25">
      <c r="A711" t="s">
        <v>31</v>
      </c>
      <c r="C711" t="s">
        <v>7638</v>
      </c>
      <c r="D711" t="s">
        <v>7639</v>
      </c>
      <c r="E711" t="s">
        <v>34</v>
      </c>
      <c r="F711" t="s">
        <v>66</v>
      </c>
      <c r="G711">
        <v>2012</v>
      </c>
      <c r="H711" t="s">
        <v>36</v>
      </c>
      <c r="I711" t="s">
        <v>7640</v>
      </c>
      <c r="J711" t="s">
        <v>31</v>
      </c>
      <c r="K711" t="s">
        <v>38</v>
      </c>
      <c r="L711" t="s">
        <v>185</v>
      </c>
      <c r="M711" t="s">
        <v>186</v>
      </c>
      <c r="N711" t="s">
        <v>187</v>
      </c>
      <c r="O711" t="s">
        <v>1606</v>
      </c>
      <c r="P711" t="s">
        <v>7641</v>
      </c>
      <c r="T711">
        <v>33.657054404</v>
      </c>
      <c r="U711">
        <v>-84.415242950999996</v>
      </c>
      <c r="V711">
        <f>SUM(W711:X711)+(Y711*0.8)+(Z711*0.4)</f>
        <v>22.8</v>
      </c>
      <c r="W711">
        <v>22.8</v>
      </c>
      <c r="X711">
        <v>0</v>
      </c>
      <c r="Y711">
        <v>0</v>
      </c>
      <c r="Z711">
        <v>0</v>
      </c>
      <c r="AA711" t="s">
        <v>43</v>
      </c>
      <c r="AB711">
        <v>22.8</v>
      </c>
      <c r="AD711" t="s">
        <v>7642</v>
      </c>
      <c r="AE711" t="s">
        <v>7643</v>
      </c>
    </row>
    <row r="712" spans="1:31" x14ac:dyDescent="0.25">
      <c r="A712" t="s">
        <v>31</v>
      </c>
      <c r="C712" t="s">
        <v>4148</v>
      </c>
      <c r="D712" t="s">
        <v>4164</v>
      </c>
      <c r="E712" t="s">
        <v>34</v>
      </c>
      <c r="F712" t="s">
        <v>35</v>
      </c>
      <c r="G712">
        <v>2011</v>
      </c>
      <c r="H712" t="s">
        <v>36</v>
      </c>
      <c r="I712" t="s">
        <v>4165</v>
      </c>
      <c r="J712" t="s">
        <v>31</v>
      </c>
      <c r="K712" t="s">
        <v>38</v>
      </c>
      <c r="L712" t="s">
        <v>39</v>
      </c>
      <c r="M712" t="s">
        <v>40</v>
      </c>
      <c r="N712" t="s">
        <v>253</v>
      </c>
      <c r="O712" t="s">
        <v>2155</v>
      </c>
      <c r="P712" t="s">
        <v>4166</v>
      </c>
      <c r="T712">
        <v>40.544215921000003</v>
      </c>
      <c r="U712">
        <v>-74.496567300999999</v>
      </c>
      <c r="V712">
        <f>SUM(W712:X712)+(Y712*0.8)+(Z712*0.4)</f>
        <v>22.8</v>
      </c>
      <c r="W712">
        <v>2</v>
      </c>
      <c r="X712">
        <v>0</v>
      </c>
      <c r="Y712">
        <v>25</v>
      </c>
      <c r="Z712">
        <v>2</v>
      </c>
      <c r="AA712" t="s">
        <v>43</v>
      </c>
      <c r="AB712">
        <v>14</v>
      </c>
      <c r="AD712" t="s">
        <v>4167</v>
      </c>
      <c r="AE712" t="s">
        <v>4168</v>
      </c>
    </row>
    <row r="713" spans="1:31" x14ac:dyDescent="0.25">
      <c r="A713" t="s">
        <v>31</v>
      </c>
      <c r="C713" t="s">
        <v>1925</v>
      </c>
      <c r="D713" t="s">
        <v>1926</v>
      </c>
      <c r="E713" t="s">
        <v>34</v>
      </c>
      <c r="F713" t="s">
        <v>76</v>
      </c>
      <c r="G713">
        <v>2026</v>
      </c>
      <c r="H713" t="s">
        <v>36</v>
      </c>
      <c r="I713" t="s">
        <v>1927</v>
      </c>
      <c r="J713" t="s">
        <v>31</v>
      </c>
      <c r="K713" t="s">
        <v>38</v>
      </c>
      <c r="L713" t="s">
        <v>68</v>
      </c>
      <c r="M713" t="s">
        <v>69</v>
      </c>
      <c r="N713" t="s">
        <v>956</v>
      </c>
      <c r="O713" t="s">
        <v>1926</v>
      </c>
      <c r="P713" t="s">
        <v>1928</v>
      </c>
      <c r="T713">
        <v>30.584359126999999</v>
      </c>
      <c r="U713">
        <v>-97.672527532000004</v>
      </c>
      <c r="V713">
        <f>SUM(W713:X713)+(Y713*0.8)+(Z713*0.4)</f>
        <v>22.5</v>
      </c>
      <c r="W713">
        <v>0</v>
      </c>
      <c r="X713">
        <v>12.5</v>
      </c>
      <c r="Y713">
        <v>12.5</v>
      </c>
      <c r="Z713">
        <v>0</v>
      </c>
      <c r="AA713" t="s">
        <v>43</v>
      </c>
      <c r="AB713">
        <v>25</v>
      </c>
      <c r="AD713" t="s">
        <v>1929</v>
      </c>
      <c r="AE713" t="s">
        <v>1930</v>
      </c>
    </row>
    <row r="714" spans="1:31" x14ac:dyDescent="0.25">
      <c r="A714" t="s">
        <v>31</v>
      </c>
      <c r="C714" t="s">
        <v>4687</v>
      </c>
      <c r="D714" t="s">
        <v>4688</v>
      </c>
      <c r="E714" t="s">
        <v>34</v>
      </c>
      <c r="F714" t="s">
        <v>35</v>
      </c>
      <c r="G714">
        <v>2017</v>
      </c>
      <c r="H714" t="s">
        <v>36</v>
      </c>
      <c r="I714" t="s">
        <v>4689</v>
      </c>
      <c r="J714" t="s">
        <v>31</v>
      </c>
      <c r="K714" t="s">
        <v>38</v>
      </c>
      <c r="L714" t="s">
        <v>242</v>
      </c>
      <c r="M714" t="s">
        <v>243</v>
      </c>
      <c r="N714" t="s">
        <v>4690</v>
      </c>
      <c r="O714" t="s">
        <v>4691</v>
      </c>
      <c r="P714" t="s">
        <v>4692</v>
      </c>
      <c r="T714">
        <v>36.978045995000002</v>
      </c>
      <c r="U714">
        <v>-82.526766185</v>
      </c>
      <c r="V714">
        <f>SUM(W714:X714)+(Y714*0.8)+(Z714*0.4)</f>
        <v>22.5</v>
      </c>
      <c r="W714">
        <v>7.5</v>
      </c>
      <c r="X714">
        <v>0</v>
      </c>
      <c r="Y714">
        <v>0</v>
      </c>
      <c r="Z714">
        <v>37.5</v>
      </c>
      <c r="AA714" t="s">
        <v>43</v>
      </c>
      <c r="AB714">
        <v>6.9</v>
      </c>
      <c r="AC714">
        <v>1.2</v>
      </c>
      <c r="AD714" t="s">
        <v>4693</v>
      </c>
      <c r="AE714" t="s">
        <v>4694</v>
      </c>
    </row>
    <row r="715" spans="1:31" x14ac:dyDescent="0.25">
      <c r="A715" t="s">
        <v>31</v>
      </c>
      <c r="C715" t="s">
        <v>3849</v>
      </c>
      <c r="D715" t="s">
        <v>4519</v>
      </c>
      <c r="E715" t="s">
        <v>34</v>
      </c>
      <c r="F715" t="s">
        <v>66</v>
      </c>
      <c r="G715">
        <v>2007</v>
      </c>
      <c r="H715" t="s">
        <v>36</v>
      </c>
      <c r="I715" t="s">
        <v>2154</v>
      </c>
      <c r="J715" t="s">
        <v>31</v>
      </c>
      <c r="K715" t="s">
        <v>38</v>
      </c>
      <c r="L715" t="s">
        <v>39</v>
      </c>
      <c r="M715" t="s">
        <v>40</v>
      </c>
      <c r="N715" t="s">
        <v>253</v>
      </c>
      <c r="O715" t="s">
        <v>2155</v>
      </c>
      <c r="P715" t="s">
        <v>2156</v>
      </c>
      <c r="T715">
        <v>40.553933893</v>
      </c>
      <c r="U715">
        <v>-74.457163660000006</v>
      </c>
      <c r="V715">
        <f>SUM(W715:X715)+(Y715*0.8)+(Z715*0.4)</f>
        <v>22.5</v>
      </c>
      <c r="W715">
        <v>22.5</v>
      </c>
      <c r="X715">
        <v>0</v>
      </c>
      <c r="Y715">
        <v>0</v>
      </c>
      <c r="Z715">
        <v>0</v>
      </c>
      <c r="AA715" t="s">
        <v>43</v>
      </c>
      <c r="AB715">
        <v>18.3</v>
      </c>
      <c r="AD715" t="s">
        <v>4520</v>
      </c>
      <c r="AE715" t="s">
        <v>4521</v>
      </c>
    </row>
    <row r="716" spans="1:31" x14ac:dyDescent="0.25">
      <c r="A716" t="s">
        <v>31</v>
      </c>
      <c r="C716" t="s">
        <v>6568</v>
      </c>
      <c r="D716" t="s">
        <v>6569</v>
      </c>
      <c r="E716" t="s">
        <v>34</v>
      </c>
      <c r="F716" t="s">
        <v>66</v>
      </c>
      <c r="G716">
        <v>2027</v>
      </c>
      <c r="H716" t="s">
        <v>36</v>
      </c>
      <c r="I716" t="s">
        <v>6570</v>
      </c>
      <c r="J716" t="s">
        <v>31</v>
      </c>
      <c r="K716" t="s">
        <v>38</v>
      </c>
      <c r="L716" t="s">
        <v>172</v>
      </c>
      <c r="M716" t="s">
        <v>173</v>
      </c>
      <c r="N716" t="s">
        <v>493</v>
      </c>
      <c r="O716" t="s">
        <v>6571</v>
      </c>
      <c r="P716" t="s">
        <v>6572</v>
      </c>
      <c r="T716">
        <v>34.048499999999997</v>
      </c>
      <c r="U716">
        <v>-118.12260000000001</v>
      </c>
      <c r="V716">
        <f>SUM(W716:X716)+(Y716*0.8)+(Z716*0.4)</f>
        <v>22.400000000000002</v>
      </c>
      <c r="W716">
        <v>0</v>
      </c>
      <c r="X716">
        <v>0</v>
      </c>
      <c r="Y716">
        <v>0</v>
      </c>
      <c r="Z716">
        <v>56</v>
      </c>
      <c r="AA716" t="s">
        <v>43</v>
      </c>
      <c r="AB716">
        <v>0</v>
      </c>
      <c r="AD716" t="s">
        <v>6573</v>
      </c>
      <c r="AE716" t="s">
        <v>6574</v>
      </c>
    </row>
    <row r="717" spans="1:31" x14ac:dyDescent="0.25">
      <c r="A717" t="s">
        <v>31</v>
      </c>
      <c r="C717" t="s">
        <v>8913</v>
      </c>
      <c r="D717" t="s">
        <v>8918</v>
      </c>
      <c r="E717" t="s">
        <v>34</v>
      </c>
      <c r="F717" t="s">
        <v>66</v>
      </c>
      <c r="H717" t="s">
        <v>36</v>
      </c>
      <c r="I717" t="s">
        <v>8919</v>
      </c>
      <c r="J717" t="s">
        <v>31</v>
      </c>
      <c r="K717" t="s">
        <v>38</v>
      </c>
      <c r="L717" t="s">
        <v>242</v>
      </c>
      <c r="M717" t="s">
        <v>243</v>
      </c>
      <c r="N717" t="s">
        <v>405</v>
      </c>
      <c r="O717" t="s">
        <v>526</v>
      </c>
      <c r="P717" t="s">
        <v>527</v>
      </c>
      <c r="T717">
        <v>39.019780464</v>
      </c>
      <c r="U717">
        <v>-77.427796369999996</v>
      </c>
      <c r="V717">
        <f>SUM(W717:X717)+(Y717*0.8)+(Z717*0.4)</f>
        <v>22.400000000000002</v>
      </c>
      <c r="W717">
        <v>0</v>
      </c>
      <c r="X717">
        <v>0</v>
      </c>
      <c r="Y717">
        <v>28</v>
      </c>
      <c r="Z717">
        <v>0</v>
      </c>
      <c r="AA717" t="s">
        <v>43</v>
      </c>
      <c r="AB717">
        <v>0</v>
      </c>
      <c r="AD717" t="s">
        <v>8920</v>
      </c>
      <c r="AE717" t="s">
        <v>8921</v>
      </c>
    </row>
    <row r="718" spans="1:31" x14ac:dyDescent="0.25">
      <c r="A718" t="s">
        <v>31</v>
      </c>
      <c r="C718" t="s">
        <v>10264</v>
      </c>
      <c r="D718" t="s">
        <v>10265</v>
      </c>
      <c r="E718" t="s">
        <v>34</v>
      </c>
      <c r="F718" t="s">
        <v>35</v>
      </c>
      <c r="H718" t="s">
        <v>36</v>
      </c>
      <c r="I718" t="s">
        <v>10266</v>
      </c>
      <c r="J718" t="s">
        <v>31</v>
      </c>
      <c r="K718" t="s">
        <v>38</v>
      </c>
      <c r="L718" t="s">
        <v>242</v>
      </c>
      <c r="M718" t="s">
        <v>243</v>
      </c>
      <c r="N718" t="s">
        <v>405</v>
      </c>
      <c r="O718" t="s">
        <v>867</v>
      </c>
      <c r="P718" t="s">
        <v>527</v>
      </c>
      <c r="S718" t="s">
        <v>10267</v>
      </c>
      <c r="T718">
        <v>39.026356231000001</v>
      </c>
      <c r="U718">
        <v>-77.411522112</v>
      </c>
      <c r="V718">
        <f>SUM(W718:X718)+(Y718*0.8)+(Z718*0.4)</f>
        <v>22.200000000000003</v>
      </c>
      <c r="W718">
        <v>0</v>
      </c>
      <c r="X718">
        <v>0</v>
      </c>
      <c r="Y718">
        <v>0</v>
      </c>
      <c r="Z718">
        <v>55.5</v>
      </c>
      <c r="AA718" t="s">
        <v>43</v>
      </c>
      <c r="AB718">
        <v>0</v>
      </c>
      <c r="AD718" t="s">
        <v>10268</v>
      </c>
      <c r="AE718" t="s">
        <v>10269</v>
      </c>
    </row>
    <row r="719" spans="1:31" x14ac:dyDescent="0.25">
      <c r="A719" t="s">
        <v>31</v>
      </c>
      <c r="B719" t="s">
        <v>11350</v>
      </c>
      <c r="C719" t="s">
        <v>647</v>
      </c>
      <c r="D719" t="s">
        <v>1053</v>
      </c>
      <c r="E719" t="s">
        <v>362</v>
      </c>
      <c r="F719" t="s">
        <v>649</v>
      </c>
      <c r="G719">
        <v>2020</v>
      </c>
      <c r="H719" t="s">
        <v>36</v>
      </c>
      <c r="I719" t="s">
        <v>1054</v>
      </c>
      <c r="J719" t="s">
        <v>31</v>
      </c>
      <c r="K719" t="s">
        <v>38</v>
      </c>
      <c r="L719" t="s">
        <v>242</v>
      </c>
      <c r="M719" t="s">
        <v>243</v>
      </c>
      <c r="N719" t="s">
        <v>405</v>
      </c>
      <c r="P719" t="s">
        <v>680</v>
      </c>
      <c r="T719">
        <v>38.996859796000003</v>
      </c>
      <c r="U719">
        <v>-77.435313158</v>
      </c>
      <c r="V719">
        <f>SUM(W719:X719)+(Y719*0.8)+(Z719*0.4)</f>
        <v>22</v>
      </c>
      <c r="W719">
        <v>22</v>
      </c>
      <c r="X719">
        <v>0</v>
      </c>
      <c r="Y719">
        <v>0</v>
      </c>
      <c r="Z719">
        <v>0</v>
      </c>
      <c r="AA719" t="s">
        <v>43</v>
      </c>
      <c r="AB719">
        <v>22</v>
      </c>
      <c r="AD719" t="s">
        <v>1055</v>
      </c>
      <c r="AE719" t="s">
        <v>1056</v>
      </c>
    </row>
    <row r="720" spans="1:31" x14ac:dyDescent="0.25">
      <c r="A720" t="s">
        <v>31</v>
      </c>
      <c r="C720" t="s">
        <v>8855</v>
      </c>
      <c r="D720" t="s">
        <v>324</v>
      </c>
      <c r="E720" t="s">
        <v>362</v>
      </c>
      <c r="F720" t="s">
        <v>381</v>
      </c>
      <c r="G720">
        <v>2010</v>
      </c>
      <c r="H720" t="s">
        <v>36</v>
      </c>
      <c r="I720" t="s">
        <v>8856</v>
      </c>
      <c r="J720" t="s">
        <v>31</v>
      </c>
      <c r="K720" t="s">
        <v>38</v>
      </c>
      <c r="L720" t="s">
        <v>326</v>
      </c>
      <c r="M720" t="s">
        <v>327</v>
      </c>
      <c r="N720" t="s">
        <v>328</v>
      </c>
      <c r="O720" t="s">
        <v>590</v>
      </c>
      <c r="P720" t="s">
        <v>2362</v>
      </c>
      <c r="S720" t="s">
        <v>8857</v>
      </c>
      <c r="T720">
        <v>33.416049440999998</v>
      </c>
      <c r="U720">
        <v>-112.009608091</v>
      </c>
      <c r="V720">
        <f>SUM(W720:X720)+(Y720*0.8)+(Z720*0.4)</f>
        <v>22</v>
      </c>
      <c r="W720">
        <v>20</v>
      </c>
      <c r="X720">
        <v>0</v>
      </c>
      <c r="Y720">
        <v>0</v>
      </c>
      <c r="Z720">
        <v>5</v>
      </c>
      <c r="AA720" t="s">
        <v>43</v>
      </c>
      <c r="AB720">
        <v>20</v>
      </c>
      <c r="AD720" t="s">
        <v>8858</v>
      </c>
      <c r="AE720" t="s">
        <v>8859</v>
      </c>
    </row>
    <row r="721" spans="1:31" x14ac:dyDescent="0.25">
      <c r="A721" t="s">
        <v>31</v>
      </c>
      <c r="C721" t="s">
        <v>4759</v>
      </c>
      <c r="D721" t="s">
        <v>618</v>
      </c>
      <c r="E721" t="s">
        <v>362</v>
      </c>
      <c r="F721" t="s">
        <v>381</v>
      </c>
      <c r="G721">
        <v>2010</v>
      </c>
      <c r="H721" t="s">
        <v>36</v>
      </c>
      <c r="I721" t="s">
        <v>4766</v>
      </c>
      <c r="J721" t="s">
        <v>31</v>
      </c>
      <c r="K721" t="s">
        <v>38</v>
      </c>
      <c r="L721" t="s">
        <v>620</v>
      </c>
      <c r="M721" t="s">
        <v>621</v>
      </c>
      <c r="N721" t="s">
        <v>622</v>
      </c>
      <c r="O721" t="s">
        <v>4767</v>
      </c>
      <c r="P721" t="s">
        <v>4768</v>
      </c>
      <c r="S721" t="s">
        <v>4769</v>
      </c>
      <c r="T721">
        <v>40.564635836999997</v>
      </c>
      <c r="U721">
        <v>-112.048562563</v>
      </c>
      <c r="V721">
        <f>SUM(W721:X721)+(Y721*0.8)+(Z721*0.4)</f>
        <v>22</v>
      </c>
      <c r="W721">
        <v>17.2</v>
      </c>
      <c r="X721">
        <v>0</v>
      </c>
      <c r="Y721">
        <v>0</v>
      </c>
      <c r="Z721">
        <v>12</v>
      </c>
      <c r="AA721" t="s">
        <v>43</v>
      </c>
      <c r="AB721">
        <v>17.2</v>
      </c>
      <c r="AC721">
        <v>1.4</v>
      </c>
      <c r="AD721" t="s">
        <v>4770</v>
      </c>
      <c r="AE721" t="s">
        <v>4771</v>
      </c>
    </row>
    <row r="722" spans="1:31" x14ac:dyDescent="0.25">
      <c r="A722" t="s">
        <v>31</v>
      </c>
      <c r="C722" t="s">
        <v>4035</v>
      </c>
      <c r="D722" t="s">
        <v>4088</v>
      </c>
      <c r="E722" t="s">
        <v>362</v>
      </c>
      <c r="F722" t="s">
        <v>1611</v>
      </c>
      <c r="G722">
        <v>2023</v>
      </c>
      <c r="H722" t="s">
        <v>36</v>
      </c>
      <c r="I722" t="s">
        <v>4089</v>
      </c>
      <c r="J722" t="s">
        <v>31</v>
      </c>
      <c r="K722" t="s">
        <v>38</v>
      </c>
      <c r="L722" t="s">
        <v>2437</v>
      </c>
      <c r="M722" t="s">
        <v>2438</v>
      </c>
      <c r="N722" t="s">
        <v>4090</v>
      </c>
      <c r="O722" t="s">
        <v>4091</v>
      </c>
      <c r="P722" t="s">
        <v>4092</v>
      </c>
      <c r="Q722" t="s">
        <v>4093</v>
      </c>
      <c r="T722">
        <v>33.674737026000003</v>
      </c>
      <c r="U722">
        <v>-78.942867836999994</v>
      </c>
      <c r="V722">
        <f>SUM(W722:X722)+(Y722*0.8)+(Z722*0.4)</f>
        <v>21.8</v>
      </c>
      <c r="W722">
        <v>9</v>
      </c>
      <c r="X722">
        <v>0</v>
      </c>
      <c r="Y722">
        <v>10</v>
      </c>
      <c r="Z722">
        <v>12</v>
      </c>
      <c r="AA722" t="s">
        <v>43</v>
      </c>
      <c r="AB722">
        <v>19</v>
      </c>
      <c r="AD722" t="s">
        <v>4094</v>
      </c>
      <c r="AE722" t="s">
        <v>4095</v>
      </c>
    </row>
    <row r="723" spans="1:31" x14ac:dyDescent="0.25">
      <c r="A723" t="s">
        <v>31</v>
      </c>
      <c r="C723" t="s">
        <v>10102</v>
      </c>
      <c r="D723" t="s">
        <v>10117</v>
      </c>
      <c r="E723" t="s">
        <v>34</v>
      </c>
      <c r="F723" t="s">
        <v>66</v>
      </c>
      <c r="G723">
        <v>2008</v>
      </c>
      <c r="H723" t="s">
        <v>36</v>
      </c>
      <c r="I723" t="s">
        <v>10118</v>
      </c>
      <c r="J723" t="s">
        <v>31</v>
      </c>
      <c r="K723" t="s">
        <v>38</v>
      </c>
      <c r="L723" t="s">
        <v>1457</v>
      </c>
      <c r="M723" t="s">
        <v>1458</v>
      </c>
      <c r="N723" t="s">
        <v>319</v>
      </c>
      <c r="O723" t="s">
        <v>10113</v>
      </c>
      <c r="P723" t="s">
        <v>10114</v>
      </c>
      <c r="T723">
        <v>36.059873138999997</v>
      </c>
      <c r="U723">
        <v>-115.21040594</v>
      </c>
      <c r="V723">
        <f>SUM(W723:X723)+(Y723*0.8)+(Z723*0.4)</f>
        <v>21.8</v>
      </c>
      <c r="W723">
        <v>21.8</v>
      </c>
      <c r="X723">
        <v>0</v>
      </c>
      <c r="Y723">
        <v>0</v>
      </c>
      <c r="Z723">
        <v>0</v>
      </c>
      <c r="AA723" t="s">
        <v>43</v>
      </c>
      <c r="AB723">
        <v>21.7</v>
      </c>
      <c r="AD723" t="s">
        <v>10119</v>
      </c>
      <c r="AE723" t="s">
        <v>10120</v>
      </c>
    </row>
    <row r="724" spans="1:31" x14ac:dyDescent="0.25">
      <c r="A724" t="s">
        <v>31</v>
      </c>
      <c r="C724" t="s">
        <v>9546</v>
      </c>
      <c r="D724" t="s">
        <v>9563</v>
      </c>
      <c r="E724" t="s">
        <v>34</v>
      </c>
      <c r="F724" t="s">
        <v>76</v>
      </c>
      <c r="H724" t="s">
        <v>36</v>
      </c>
      <c r="I724" t="s">
        <v>9564</v>
      </c>
      <c r="J724" t="s">
        <v>31</v>
      </c>
      <c r="K724" t="s">
        <v>38</v>
      </c>
      <c r="L724" t="s">
        <v>68</v>
      </c>
      <c r="M724" t="s">
        <v>69</v>
      </c>
      <c r="N724" t="s">
        <v>2530</v>
      </c>
      <c r="O724" t="s">
        <v>2531</v>
      </c>
      <c r="P724" t="s">
        <v>2532</v>
      </c>
      <c r="T724">
        <v>29.793504855999998</v>
      </c>
      <c r="U724">
        <v>-97.985403778999995</v>
      </c>
      <c r="V724">
        <f>SUM(W724:X724)+(Y724*0.8)+(Z724*0.4)</f>
        <v>21.6</v>
      </c>
      <c r="W724">
        <v>0</v>
      </c>
      <c r="X724">
        <v>0</v>
      </c>
      <c r="Y724">
        <v>0</v>
      </c>
      <c r="Z724">
        <v>54</v>
      </c>
      <c r="AA724" t="s">
        <v>43</v>
      </c>
      <c r="AB724">
        <v>0</v>
      </c>
      <c r="AD724" t="s">
        <v>9565</v>
      </c>
      <c r="AE724" t="s">
        <v>9566</v>
      </c>
    </row>
    <row r="725" spans="1:31" x14ac:dyDescent="0.25">
      <c r="A725" t="s">
        <v>31</v>
      </c>
      <c r="C725" t="s">
        <v>506</v>
      </c>
      <c r="D725" t="s">
        <v>507</v>
      </c>
      <c r="E725" t="s">
        <v>34</v>
      </c>
      <c r="F725" t="s">
        <v>66</v>
      </c>
      <c r="H725" t="s">
        <v>36</v>
      </c>
      <c r="I725" t="s">
        <v>508</v>
      </c>
      <c r="J725" t="s">
        <v>31</v>
      </c>
      <c r="K725" t="s">
        <v>38</v>
      </c>
      <c r="L725" t="s">
        <v>242</v>
      </c>
      <c r="M725" t="s">
        <v>243</v>
      </c>
      <c r="N725" t="s">
        <v>509</v>
      </c>
      <c r="O725" t="s">
        <v>510</v>
      </c>
      <c r="P725" t="s">
        <v>511</v>
      </c>
      <c r="T725">
        <v>38.799127908999999</v>
      </c>
      <c r="U725">
        <v>-77.526876758</v>
      </c>
      <c r="V725">
        <f>SUM(W725:X725)+(Y725*0.8)+(Z725*0.4)</f>
        <v>21.6</v>
      </c>
      <c r="W725">
        <v>0</v>
      </c>
      <c r="X725">
        <v>0</v>
      </c>
      <c r="Y725">
        <v>0</v>
      </c>
      <c r="Z725">
        <v>54</v>
      </c>
      <c r="AA725" t="s">
        <v>43</v>
      </c>
      <c r="AB725">
        <v>0</v>
      </c>
      <c r="AD725" t="s">
        <v>512</v>
      </c>
      <c r="AE725" t="s">
        <v>513</v>
      </c>
    </row>
    <row r="726" spans="1:31" x14ac:dyDescent="0.25">
      <c r="A726" t="s">
        <v>31</v>
      </c>
      <c r="C726" t="s">
        <v>3849</v>
      </c>
      <c r="D726" t="s">
        <v>4320</v>
      </c>
      <c r="E726" t="s">
        <v>34</v>
      </c>
      <c r="F726" t="s">
        <v>66</v>
      </c>
      <c r="G726">
        <v>2026</v>
      </c>
      <c r="H726" t="s">
        <v>36</v>
      </c>
      <c r="I726" t="s">
        <v>4321</v>
      </c>
      <c r="J726" t="s">
        <v>31</v>
      </c>
      <c r="K726" t="s">
        <v>38</v>
      </c>
      <c r="L726" t="s">
        <v>86</v>
      </c>
      <c r="M726" t="s">
        <v>87</v>
      </c>
      <c r="N726" t="s">
        <v>88</v>
      </c>
      <c r="O726" t="s">
        <v>89</v>
      </c>
      <c r="P726" t="s">
        <v>4322</v>
      </c>
      <c r="Q726" t="s">
        <v>89</v>
      </c>
      <c r="S726" t="s">
        <v>4323</v>
      </c>
      <c r="T726">
        <v>41.853971647999998</v>
      </c>
      <c r="U726">
        <v>-87.619568276999999</v>
      </c>
      <c r="V726">
        <f>SUM(W726:X726)+(Y726*0.8)+(Z726*0.4)</f>
        <v>21.580000000000002</v>
      </c>
      <c r="W726">
        <v>0</v>
      </c>
      <c r="X726">
        <v>0</v>
      </c>
      <c r="Y726">
        <v>0</v>
      </c>
      <c r="Z726">
        <v>53.95</v>
      </c>
      <c r="AA726" t="s">
        <v>43</v>
      </c>
      <c r="AB726">
        <v>0</v>
      </c>
      <c r="AD726" t="s">
        <v>4324</v>
      </c>
      <c r="AE726" t="s">
        <v>4325</v>
      </c>
    </row>
    <row r="727" spans="1:31" x14ac:dyDescent="0.25">
      <c r="A727" t="s">
        <v>31</v>
      </c>
      <c r="B727" t="s">
        <v>11350</v>
      </c>
      <c r="C727" t="s">
        <v>647</v>
      </c>
      <c r="D727" t="s">
        <v>1163</v>
      </c>
      <c r="E727" t="s">
        <v>362</v>
      </c>
      <c r="F727" t="s">
        <v>649</v>
      </c>
      <c r="G727">
        <v>2026</v>
      </c>
      <c r="H727" t="s">
        <v>36</v>
      </c>
      <c r="I727" t="s">
        <v>1164</v>
      </c>
      <c r="J727" t="s">
        <v>31</v>
      </c>
      <c r="K727" t="s">
        <v>38</v>
      </c>
      <c r="L727" t="s">
        <v>326</v>
      </c>
      <c r="M727" t="s">
        <v>327</v>
      </c>
      <c r="N727" t="s">
        <v>328</v>
      </c>
      <c r="O727" t="s">
        <v>1160</v>
      </c>
      <c r="P727" t="s">
        <v>1165</v>
      </c>
      <c r="T727">
        <v>33.348469493000003</v>
      </c>
      <c r="U727">
        <v>-111.61324718</v>
      </c>
      <c r="V727">
        <f>SUM(W727:X727)+(Y727*0.8)+(Z727*0.4)</f>
        <v>21.12</v>
      </c>
      <c r="W727">
        <v>0</v>
      </c>
      <c r="X727">
        <v>0</v>
      </c>
      <c r="Y727">
        <v>0</v>
      </c>
      <c r="Z727">
        <v>52.8</v>
      </c>
      <c r="AA727" t="s">
        <v>43</v>
      </c>
      <c r="AB727">
        <v>0</v>
      </c>
      <c r="AD727" t="s">
        <v>1166</v>
      </c>
      <c r="AE727" t="s">
        <v>1167</v>
      </c>
    </row>
    <row r="728" spans="1:31" x14ac:dyDescent="0.25">
      <c r="A728" t="s">
        <v>31</v>
      </c>
      <c r="C728" t="s">
        <v>3312</v>
      </c>
      <c r="D728" t="s">
        <v>3425</v>
      </c>
      <c r="E728" t="s">
        <v>34</v>
      </c>
      <c r="F728" t="s">
        <v>66</v>
      </c>
      <c r="G728">
        <v>2026</v>
      </c>
      <c r="H728" t="s">
        <v>36</v>
      </c>
      <c r="I728" t="s">
        <v>3426</v>
      </c>
      <c r="J728" t="s">
        <v>31</v>
      </c>
      <c r="K728" t="s">
        <v>38</v>
      </c>
      <c r="L728" t="s">
        <v>68</v>
      </c>
      <c r="M728" t="s">
        <v>69</v>
      </c>
      <c r="N728" t="s">
        <v>297</v>
      </c>
      <c r="O728" t="s">
        <v>295</v>
      </c>
      <c r="P728" t="s">
        <v>2474</v>
      </c>
      <c r="T728">
        <v>32.984269185999999</v>
      </c>
      <c r="U728">
        <v>-96.696407192999999</v>
      </c>
      <c r="V728">
        <f>SUM(W728:X728)+(Y728*0.8)+(Z728*0.4)</f>
        <v>21</v>
      </c>
      <c r="W728">
        <v>0</v>
      </c>
      <c r="X728">
        <v>21</v>
      </c>
      <c r="Y728">
        <v>0</v>
      </c>
      <c r="Z728">
        <v>0</v>
      </c>
      <c r="AA728" t="s">
        <v>43</v>
      </c>
      <c r="AB728">
        <v>7</v>
      </c>
      <c r="AD728" t="s">
        <v>3427</v>
      </c>
      <c r="AE728" t="s">
        <v>3428</v>
      </c>
    </row>
    <row r="729" spans="1:31" x14ac:dyDescent="0.25">
      <c r="A729" t="s">
        <v>31</v>
      </c>
      <c r="C729" t="s">
        <v>3849</v>
      </c>
      <c r="D729" t="s">
        <v>4376</v>
      </c>
      <c r="E729" t="s">
        <v>34</v>
      </c>
      <c r="F729" t="s">
        <v>35</v>
      </c>
      <c r="G729">
        <v>2024</v>
      </c>
      <c r="H729" t="s">
        <v>36</v>
      </c>
      <c r="I729" t="s">
        <v>4377</v>
      </c>
      <c r="J729" t="s">
        <v>31</v>
      </c>
      <c r="K729" t="s">
        <v>38</v>
      </c>
      <c r="L729" t="s">
        <v>242</v>
      </c>
      <c r="M729" t="s">
        <v>243</v>
      </c>
      <c r="N729" t="s">
        <v>872</v>
      </c>
      <c r="O729" t="s">
        <v>510</v>
      </c>
      <c r="P729" t="s">
        <v>873</v>
      </c>
      <c r="T729">
        <v>38.741274191000002</v>
      </c>
      <c r="U729">
        <v>-77.503973998000006</v>
      </c>
      <c r="V729">
        <f>SUM(W729:X729)+(Y729*0.8)+(Z729*0.4)</f>
        <v>21</v>
      </c>
      <c r="W729">
        <v>21</v>
      </c>
      <c r="X729">
        <v>0</v>
      </c>
      <c r="Y729">
        <v>0</v>
      </c>
      <c r="Z729">
        <v>0</v>
      </c>
      <c r="AA729" t="s">
        <v>43</v>
      </c>
      <c r="AB729">
        <v>21</v>
      </c>
      <c r="AD729" t="s">
        <v>4378</v>
      </c>
      <c r="AE729" t="s">
        <v>4379</v>
      </c>
    </row>
    <row r="730" spans="1:31" x14ac:dyDescent="0.25">
      <c r="A730" t="s">
        <v>31</v>
      </c>
      <c r="C730" t="s">
        <v>7677</v>
      </c>
      <c r="D730" t="s">
        <v>7677</v>
      </c>
      <c r="E730" t="s">
        <v>34</v>
      </c>
      <c r="F730" t="s">
        <v>43</v>
      </c>
      <c r="H730" t="s">
        <v>36</v>
      </c>
      <c r="I730" t="s">
        <v>7678</v>
      </c>
      <c r="J730" t="s">
        <v>31</v>
      </c>
      <c r="K730" t="s">
        <v>38</v>
      </c>
      <c r="L730" t="s">
        <v>242</v>
      </c>
      <c r="M730" t="s">
        <v>243</v>
      </c>
      <c r="N730" t="s">
        <v>7679</v>
      </c>
      <c r="O730" t="s">
        <v>7680</v>
      </c>
      <c r="P730" t="s">
        <v>7681</v>
      </c>
      <c r="T730">
        <v>37.375761199999999</v>
      </c>
      <c r="U730">
        <v>-79.031080403000004</v>
      </c>
      <c r="V730">
        <f>SUM(W730:X730)+(Y730*0.8)+(Z730*0.4)</f>
        <v>21</v>
      </c>
      <c r="W730">
        <v>0</v>
      </c>
      <c r="X730">
        <v>0</v>
      </c>
      <c r="Y730">
        <v>0</v>
      </c>
      <c r="Z730">
        <v>52.5</v>
      </c>
      <c r="AA730" t="s">
        <v>43</v>
      </c>
      <c r="AB730">
        <v>0</v>
      </c>
      <c r="AD730" t="s">
        <v>7682</v>
      </c>
      <c r="AE730" t="s">
        <v>7683</v>
      </c>
    </row>
    <row r="731" spans="1:31" x14ac:dyDescent="0.25">
      <c r="A731" t="s">
        <v>31</v>
      </c>
      <c r="C731" t="s">
        <v>9037</v>
      </c>
      <c r="D731" t="s">
        <v>9080</v>
      </c>
      <c r="E731" t="s">
        <v>34</v>
      </c>
      <c r="F731" t="s">
        <v>66</v>
      </c>
      <c r="G731">
        <v>2020</v>
      </c>
      <c r="H731" t="s">
        <v>36</v>
      </c>
      <c r="I731" t="s">
        <v>9081</v>
      </c>
      <c r="J731" t="s">
        <v>31</v>
      </c>
      <c r="K731" t="s">
        <v>38</v>
      </c>
      <c r="L731" t="s">
        <v>172</v>
      </c>
      <c r="M731" t="s">
        <v>173</v>
      </c>
      <c r="N731" t="s">
        <v>174</v>
      </c>
      <c r="O731" t="s">
        <v>9082</v>
      </c>
      <c r="P731" t="s">
        <v>2966</v>
      </c>
      <c r="S731" t="s">
        <v>9083</v>
      </c>
      <c r="T731">
        <v>38.643538341000003</v>
      </c>
      <c r="U731">
        <v>-121.406874589</v>
      </c>
      <c r="V731">
        <f>SUM(W731:X731)+(Y731*0.8)+(Z731*0.4)</f>
        <v>20.8</v>
      </c>
      <c r="W731">
        <v>8</v>
      </c>
      <c r="X731">
        <v>0</v>
      </c>
      <c r="Y731">
        <v>16</v>
      </c>
      <c r="Z731">
        <v>0</v>
      </c>
      <c r="AA731" t="s">
        <v>43</v>
      </c>
      <c r="AB731">
        <v>8</v>
      </c>
      <c r="AD731" t="s">
        <v>9084</v>
      </c>
      <c r="AE731" t="s">
        <v>9085</v>
      </c>
    </row>
    <row r="732" spans="1:31" x14ac:dyDescent="0.25">
      <c r="A732" t="s">
        <v>31</v>
      </c>
      <c r="C732" t="s">
        <v>6832</v>
      </c>
      <c r="D732" t="s">
        <v>6888</v>
      </c>
      <c r="E732" t="s">
        <v>34</v>
      </c>
      <c r="F732" t="s">
        <v>66</v>
      </c>
      <c r="G732">
        <v>2011</v>
      </c>
      <c r="H732" t="s">
        <v>36</v>
      </c>
      <c r="I732" t="s">
        <v>6889</v>
      </c>
      <c r="J732" t="s">
        <v>31</v>
      </c>
      <c r="K732" t="s">
        <v>38</v>
      </c>
      <c r="L732" t="s">
        <v>39</v>
      </c>
      <c r="M732" t="s">
        <v>40</v>
      </c>
      <c r="N732" t="s">
        <v>253</v>
      </c>
      <c r="O732" t="s">
        <v>6890</v>
      </c>
      <c r="P732" t="s">
        <v>2791</v>
      </c>
      <c r="T732">
        <v>40.521352</v>
      </c>
      <c r="U732">
        <v>-74.346964999999997</v>
      </c>
      <c r="V732">
        <f>SUM(W732:X732)+(Y732*0.8)+(Z732*0.4)</f>
        <v>20.8</v>
      </c>
      <c r="W732">
        <v>20.8</v>
      </c>
      <c r="X732">
        <v>0</v>
      </c>
      <c r="Y732">
        <v>0</v>
      </c>
      <c r="Z732">
        <v>0</v>
      </c>
      <c r="AA732" t="s">
        <v>43</v>
      </c>
      <c r="AB732">
        <v>16.899999999999999</v>
      </c>
      <c r="AC732">
        <v>1.2</v>
      </c>
      <c r="AD732" t="s">
        <v>6891</v>
      </c>
      <c r="AE732" t="s">
        <v>6892</v>
      </c>
    </row>
    <row r="733" spans="1:31" x14ac:dyDescent="0.25">
      <c r="A733" t="s">
        <v>31</v>
      </c>
      <c r="C733" t="s">
        <v>9202</v>
      </c>
      <c r="D733" t="s">
        <v>9276</v>
      </c>
      <c r="E733" t="s">
        <v>34</v>
      </c>
      <c r="F733" t="s">
        <v>35</v>
      </c>
      <c r="G733">
        <v>2009</v>
      </c>
      <c r="H733" t="s">
        <v>36</v>
      </c>
      <c r="I733" t="s">
        <v>9277</v>
      </c>
      <c r="J733" t="s">
        <v>31</v>
      </c>
      <c r="K733" t="s">
        <v>38</v>
      </c>
      <c r="L733" t="s">
        <v>68</v>
      </c>
      <c r="M733" t="s">
        <v>69</v>
      </c>
      <c r="N733" t="s">
        <v>540</v>
      </c>
      <c r="O733" t="s">
        <v>2134</v>
      </c>
      <c r="P733" t="s">
        <v>2378</v>
      </c>
      <c r="T733">
        <v>32.989124541999999</v>
      </c>
      <c r="U733">
        <v>-97.259059546000003</v>
      </c>
      <c r="V733">
        <f>SUM(W733:X733)+(Y733*0.8)+(Z733*0.4)</f>
        <v>20.759999999999998</v>
      </c>
      <c r="W733">
        <v>7</v>
      </c>
      <c r="X733">
        <v>0</v>
      </c>
      <c r="Y733">
        <v>17.2</v>
      </c>
      <c r="Z733">
        <v>0</v>
      </c>
      <c r="AA733" t="s">
        <v>43</v>
      </c>
      <c r="AB733">
        <v>7</v>
      </c>
      <c r="AD733" t="s">
        <v>9278</v>
      </c>
      <c r="AE733" t="s">
        <v>9279</v>
      </c>
    </row>
    <row r="734" spans="1:31" x14ac:dyDescent="0.25">
      <c r="A734" t="s">
        <v>31</v>
      </c>
      <c r="C734" t="s">
        <v>5181</v>
      </c>
      <c r="D734" t="s">
        <v>3120</v>
      </c>
      <c r="E734" t="s">
        <v>34</v>
      </c>
      <c r="F734" t="s">
        <v>35</v>
      </c>
      <c r="G734">
        <v>2001</v>
      </c>
      <c r="H734" t="s">
        <v>36</v>
      </c>
      <c r="I734" t="s">
        <v>5357</v>
      </c>
      <c r="J734" t="s">
        <v>31</v>
      </c>
      <c r="K734" t="s">
        <v>38</v>
      </c>
      <c r="L734" t="s">
        <v>202</v>
      </c>
      <c r="M734" t="s">
        <v>203</v>
      </c>
      <c r="N734" t="s">
        <v>397</v>
      </c>
      <c r="O734" t="s">
        <v>3122</v>
      </c>
      <c r="P734" t="s">
        <v>4583</v>
      </c>
      <c r="T734">
        <v>25.782453764</v>
      </c>
      <c r="U734">
        <v>-80.193071247000006</v>
      </c>
      <c r="V734">
        <f>SUM(W734:X734)+(Y734*0.8)+(Z734*0.4)</f>
        <v>20.75</v>
      </c>
      <c r="W734">
        <v>20.75</v>
      </c>
      <c r="X734">
        <v>0</v>
      </c>
      <c r="Y734">
        <v>0</v>
      </c>
      <c r="Z734">
        <v>0</v>
      </c>
      <c r="AA734" t="s">
        <v>43</v>
      </c>
      <c r="AB734">
        <v>13.25</v>
      </c>
      <c r="AC734">
        <v>1.3</v>
      </c>
      <c r="AD734" t="s">
        <v>5358</v>
      </c>
      <c r="AE734" t="s">
        <v>5359</v>
      </c>
    </row>
    <row r="735" spans="1:31" x14ac:dyDescent="0.25">
      <c r="A735" t="s">
        <v>31</v>
      </c>
      <c r="C735" t="s">
        <v>3849</v>
      </c>
      <c r="D735" t="s">
        <v>4599</v>
      </c>
      <c r="E735" t="s">
        <v>34</v>
      </c>
      <c r="F735" t="s">
        <v>66</v>
      </c>
      <c r="G735">
        <v>2013</v>
      </c>
      <c r="H735" t="s">
        <v>36</v>
      </c>
      <c r="I735" t="s">
        <v>4600</v>
      </c>
      <c r="J735" t="s">
        <v>31</v>
      </c>
      <c r="K735" t="s">
        <v>38</v>
      </c>
      <c r="L735" t="s">
        <v>86</v>
      </c>
      <c r="M735" t="s">
        <v>87</v>
      </c>
      <c r="N735" t="s">
        <v>88</v>
      </c>
      <c r="O735" t="s">
        <v>4283</v>
      </c>
      <c r="P735" t="s">
        <v>4284</v>
      </c>
      <c r="Q735" t="s">
        <v>579</v>
      </c>
      <c r="T735">
        <v>41.926850367999997</v>
      </c>
      <c r="U735">
        <v>-87.859473778999998</v>
      </c>
      <c r="V735">
        <f>SUM(W735:X735)+(Y735*0.8)+(Z735*0.4)</f>
        <v>20.7</v>
      </c>
      <c r="W735">
        <v>20.7</v>
      </c>
      <c r="X735">
        <v>0</v>
      </c>
      <c r="Y735">
        <v>0</v>
      </c>
      <c r="Z735">
        <v>0</v>
      </c>
      <c r="AA735" t="s">
        <v>43</v>
      </c>
      <c r="AB735">
        <v>18.68</v>
      </c>
      <c r="AD735" t="s">
        <v>4601</v>
      </c>
      <c r="AE735" t="s">
        <v>4602</v>
      </c>
    </row>
    <row r="736" spans="1:31" x14ac:dyDescent="0.25">
      <c r="A736" t="s">
        <v>31</v>
      </c>
      <c r="C736" t="s">
        <v>3052</v>
      </c>
      <c r="D736" t="s">
        <v>3063</v>
      </c>
      <c r="E736" t="s">
        <v>34</v>
      </c>
      <c r="F736" t="s">
        <v>35</v>
      </c>
      <c r="G736">
        <v>2009</v>
      </c>
      <c r="H736" t="s">
        <v>36</v>
      </c>
      <c r="I736" t="s">
        <v>3064</v>
      </c>
      <c r="J736" t="s">
        <v>31</v>
      </c>
      <c r="K736" t="s">
        <v>38</v>
      </c>
      <c r="L736" t="s">
        <v>86</v>
      </c>
      <c r="M736" t="s">
        <v>87</v>
      </c>
      <c r="N736" t="s">
        <v>88</v>
      </c>
      <c r="O736" t="s">
        <v>89</v>
      </c>
      <c r="P736" t="s">
        <v>3065</v>
      </c>
      <c r="Q736" t="s">
        <v>97</v>
      </c>
      <c r="S736" t="s">
        <v>98</v>
      </c>
      <c r="T736">
        <v>41.876002999999997</v>
      </c>
      <c r="U736">
        <v>-87.631399000000002</v>
      </c>
      <c r="V736">
        <f>SUM(W736:X736)+(Y736*0.8)+(Z736*0.4)</f>
        <v>20.399999999999999</v>
      </c>
      <c r="W736">
        <v>20.399999999999999</v>
      </c>
      <c r="X736">
        <v>0</v>
      </c>
      <c r="Y736">
        <v>0</v>
      </c>
      <c r="Z736">
        <v>0</v>
      </c>
      <c r="AA736" t="s">
        <v>43</v>
      </c>
      <c r="AB736">
        <v>17.11</v>
      </c>
      <c r="AD736" t="s">
        <v>3066</v>
      </c>
      <c r="AE736" t="s">
        <v>3067</v>
      </c>
    </row>
    <row r="737" spans="1:31" x14ac:dyDescent="0.25">
      <c r="A737" t="s">
        <v>31</v>
      </c>
      <c r="C737" t="s">
        <v>10375</v>
      </c>
      <c r="D737" t="s">
        <v>10376</v>
      </c>
      <c r="E737" t="s">
        <v>34</v>
      </c>
      <c r="F737" t="s">
        <v>35</v>
      </c>
      <c r="G737">
        <v>1995</v>
      </c>
      <c r="H737" t="s">
        <v>36</v>
      </c>
      <c r="I737" t="s">
        <v>10377</v>
      </c>
      <c r="J737" t="s">
        <v>31</v>
      </c>
      <c r="K737" t="s">
        <v>38</v>
      </c>
      <c r="L737" t="s">
        <v>1900</v>
      </c>
      <c r="M737" t="s">
        <v>1901</v>
      </c>
      <c r="O737" t="s">
        <v>4786</v>
      </c>
      <c r="P737" t="s">
        <v>4792</v>
      </c>
      <c r="Q737" t="s">
        <v>138</v>
      </c>
      <c r="T737">
        <v>38.632682678000002</v>
      </c>
      <c r="U737">
        <v>-90.195707983999995</v>
      </c>
      <c r="V737">
        <f>SUM(W737:X737)+(Y737*0.8)+(Z737*0.4)</f>
        <v>20.200000000000003</v>
      </c>
      <c r="W737">
        <v>13.8</v>
      </c>
      <c r="X737">
        <v>0</v>
      </c>
      <c r="Y737">
        <v>8</v>
      </c>
      <c r="Z737">
        <v>0</v>
      </c>
      <c r="AA737" t="s">
        <v>43</v>
      </c>
      <c r="AB737">
        <v>13.8</v>
      </c>
      <c r="AD737" t="s">
        <v>10378</v>
      </c>
      <c r="AE737" t="s">
        <v>10379</v>
      </c>
    </row>
    <row r="738" spans="1:31" x14ac:dyDescent="0.25">
      <c r="A738" t="s">
        <v>31</v>
      </c>
      <c r="C738" t="s">
        <v>3710</v>
      </c>
      <c r="D738" t="s">
        <v>3812</v>
      </c>
      <c r="E738" t="s">
        <v>34</v>
      </c>
      <c r="F738" t="s">
        <v>66</v>
      </c>
      <c r="G738">
        <v>2026</v>
      </c>
      <c r="H738" t="s">
        <v>36</v>
      </c>
      <c r="I738" t="s">
        <v>3813</v>
      </c>
      <c r="J738" t="s">
        <v>31</v>
      </c>
      <c r="K738" t="s">
        <v>38</v>
      </c>
      <c r="L738" t="s">
        <v>242</v>
      </c>
      <c r="M738" t="s">
        <v>243</v>
      </c>
      <c r="N738" t="s">
        <v>405</v>
      </c>
      <c r="O738" t="s">
        <v>516</v>
      </c>
      <c r="P738" t="s">
        <v>517</v>
      </c>
      <c r="T738">
        <v>39.015946292000002</v>
      </c>
      <c r="U738">
        <v>-77.483361364999993</v>
      </c>
      <c r="V738">
        <f>SUM(W738:X738)+(Y738*0.8)+(Z738*0.4)</f>
        <v>20</v>
      </c>
      <c r="W738">
        <v>0</v>
      </c>
      <c r="X738">
        <v>20</v>
      </c>
      <c r="Y738">
        <v>0</v>
      </c>
      <c r="Z738">
        <v>0</v>
      </c>
      <c r="AA738" t="s">
        <v>43</v>
      </c>
      <c r="AB738">
        <v>0</v>
      </c>
      <c r="AD738" t="s">
        <v>3814</v>
      </c>
      <c r="AE738" t="s">
        <v>3815</v>
      </c>
    </row>
    <row r="739" spans="1:31" x14ac:dyDescent="0.25">
      <c r="A739" t="s">
        <v>31</v>
      </c>
      <c r="C739" t="s">
        <v>1801</v>
      </c>
      <c r="D739" t="s">
        <v>1802</v>
      </c>
      <c r="E739" t="s">
        <v>362</v>
      </c>
      <c r="F739" t="s">
        <v>1803</v>
      </c>
      <c r="G739">
        <v>2026</v>
      </c>
      <c r="H739" t="s">
        <v>36</v>
      </c>
      <c r="I739" t="s">
        <v>1804</v>
      </c>
      <c r="J739" t="s">
        <v>31</v>
      </c>
      <c r="K739" t="s">
        <v>38</v>
      </c>
      <c r="L739" t="s">
        <v>86</v>
      </c>
      <c r="M739" t="s">
        <v>87</v>
      </c>
      <c r="N739" t="s">
        <v>1805</v>
      </c>
      <c r="O739" t="s">
        <v>1806</v>
      </c>
      <c r="P739" t="s">
        <v>1807</v>
      </c>
      <c r="Q739" t="s">
        <v>1808</v>
      </c>
      <c r="T739">
        <v>41.859487985000001</v>
      </c>
      <c r="U739">
        <v>-88.268364305999995</v>
      </c>
      <c r="V739">
        <f>SUM(W739:X739)+(Y739*0.8)+(Z739*0.4)</f>
        <v>20</v>
      </c>
      <c r="W739">
        <v>0</v>
      </c>
      <c r="X739">
        <v>0</v>
      </c>
      <c r="Y739">
        <v>0</v>
      </c>
      <c r="Z739">
        <v>50</v>
      </c>
      <c r="AA739" t="s">
        <v>43</v>
      </c>
      <c r="AB739">
        <v>0</v>
      </c>
      <c r="AD739" t="s">
        <v>1809</v>
      </c>
      <c r="AE739" t="s">
        <v>1810</v>
      </c>
    </row>
    <row r="740" spans="1:31" x14ac:dyDescent="0.25">
      <c r="A740" t="s">
        <v>31</v>
      </c>
      <c r="C740" t="s">
        <v>10602</v>
      </c>
      <c r="D740" t="s">
        <v>10603</v>
      </c>
      <c r="E740" t="s">
        <v>34</v>
      </c>
      <c r="F740" t="s">
        <v>66</v>
      </c>
      <c r="G740">
        <v>2025</v>
      </c>
      <c r="H740" t="s">
        <v>36</v>
      </c>
      <c r="I740" t="s">
        <v>10604</v>
      </c>
      <c r="J740" t="s">
        <v>31</v>
      </c>
      <c r="K740" t="s">
        <v>38</v>
      </c>
      <c r="L740" t="s">
        <v>448</v>
      </c>
      <c r="M740" t="s">
        <v>449</v>
      </c>
      <c r="N740" t="s">
        <v>450</v>
      </c>
      <c r="O740" t="s">
        <v>464</v>
      </c>
      <c r="P740" t="s">
        <v>465</v>
      </c>
      <c r="T740">
        <v>39.088580573999998</v>
      </c>
      <c r="U740">
        <v>-76.902039764999998</v>
      </c>
      <c r="V740">
        <f>SUM(W740:X740)+(Y740*0.8)+(Z740*0.4)</f>
        <v>20</v>
      </c>
      <c r="W740">
        <v>0</v>
      </c>
      <c r="X740">
        <v>0</v>
      </c>
      <c r="Y740">
        <v>20</v>
      </c>
      <c r="Z740">
        <v>10</v>
      </c>
      <c r="AA740" t="s">
        <v>43</v>
      </c>
      <c r="AB740">
        <v>0</v>
      </c>
      <c r="AC740">
        <v>1.1000000000000001</v>
      </c>
      <c r="AD740" t="s">
        <v>10605</v>
      </c>
      <c r="AE740" t="s">
        <v>10606</v>
      </c>
    </row>
    <row r="741" spans="1:31" x14ac:dyDescent="0.25">
      <c r="A741" t="s">
        <v>31</v>
      </c>
      <c r="C741" t="s">
        <v>2818</v>
      </c>
      <c r="D741" t="s">
        <v>2819</v>
      </c>
      <c r="E741" t="s">
        <v>34</v>
      </c>
      <c r="F741" t="s">
        <v>66</v>
      </c>
      <c r="G741">
        <v>2025</v>
      </c>
      <c r="H741" t="s">
        <v>36</v>
      </c>
      <c r="I741" t="s">
        <v>2820</v>
      </c>
      <c r="J741" t="s">
        <v>31</v>
      </c>
      <c r="K741" t="s">
        <v>38</v>
      </c>
      <c r="L741" t="s">
        <v>1457</v>
      </c>
      <c r="M741" t="s">
        <v>1458</v>
      </c>
      <c r="N741" t="s">
        <v>2821</v>
      </c>
      <c r="O741" t="s">
        <v>2822</v>
      </c>
      <c r="P741" t="s">
        <v>2823</v>
      </c>
      <c r="T741">
        <v>39.531532736999999</v>
      </c>
      <c r="U741">
        <v>-119.480956543</v>
      </c>
      <c r="V741">
        <f>SUM(W741:X741)+(Y741*0.8)+(Z741*0.4)</f>
        <v>20</v>
      </c>
      <c r="W741">
        <v>0</v>
      </c>
      <c r="X741">
        <v>20</v>
      </c>
      <c r="Y741">
        <v>0</v>
      </c>
      <c r="Z741">
        <v>0</v>
      </c>
      <c r="AA741" t="s">
        <v>43</v>
      </c>
      <c r="AB741">
        <v>0</v>
      </c>
      <c r="AD741" t="s">
        <v>2824</v>
      </c>
      <c r="AE741" t="s">
        <v>2825</v>
      </c>
    </row>
    <row r="742" spans="1:31" x14ac:dyDescent="0.25">
      <c r="A742" t="s">
        <v>31</v>
      </c>
      <c r="C742" t="s">
        <v>10102</v>
      </c>
      <c r="D742" t="s">
        <v>10129</v>
      </c>
      <c r="E742" t="s">
        <v>34</v>
      </c>
      <c r="F742" t="s">
        <v>66</v>
      </c>
      <c r="G742">
        <v>2024</v>
      </c>
      <c r="H742" t="s">
        <v>36</v>
      </c>
      <c r="I742" t="s">
        <v>10130</v>
      </c>
      <c r="J742" t="s">
        <v>31</v>
      </c>
      <c r="K742" t="s">
        <v>38</v>
      </c>
      <c r="L742" t="s">
        <v>1457</v>
      </c>
      <c r="M742" t="s">
        <v>1458</v>
      </c>
      <c r="N742" t="s">
        <v>319</v>
      </c>
      <c r="O742" t="s">
        <v>10113</v>
      </c>
      <c r="P742" t="s">
        <v>10114</v>
      </c>
      <c r="S742" t="s">
        <v>10131</v>
      </c>
      <c r="T742">
        <v>36.065106004999997</v>
      </c>
      <c r="U742">
        <v>-115.22206899299999</v>
      </c>
      <c r="V742">
        <f>SUM(W742:X742)+(Y742*0.8)+(Z742*0.4)</f>
        <v>20</v>
      </c>
      <c r="W742">
        <v>0</v>
      </c>
      <c r="X742">
        <v>20</v>
      </c>
      <c r="Y742">
        <v>0</v>
      </c>
      <c r="Z742">
        <v>0</v>
      </c>
      <c r="AA742" t="s">
        <v>43</v>
      </c>
      <c r="AB742">
        <v>0</v>
      </c>
      <c r="AD742" t="s">
        <v>10132</v>
      </c>
      <c r="AE742" t="s">
        <v>10133</v>
      </c>
    </row>
    <row r="743" spans="1:31" x14ac:dyDescent="0.25">
      <c r="A743" t="s">
        <v>31</v>
      </c>
      <c r="C743" t="s">
        <v>9696</v>
      </c>
      <c r="D743" t="s">
        <v>1833</v>
      </c>
      <c r="E743" t="s">
        <v>362</v>
      </c>
      <c r="F743" t="s">
        <v>372</v>
      </c>
      <c r="G743">
        <v>2024</v>
      </c>
      <c r="H743" t="s">
        <v>36</v>
      </c>
      <c r="I743" t="s">
        <v>1115</v>
      </c>
      <c r="J743" t="s">
        <v>31</v>
      </c>
      <c r="K743" t="s">
        <v>38</v>
      </c>
      <c r="L743" t="s">
        <v>1833</v>
      </c>
      <c r="M743" t="s">
        <v>1834</v>
      </c>
      <c r="N743" t="s">
        <v>9697</v>
      </c>
      <c r="T743">
        <v>47.109006827999998</v>
      </c>
      <c r="U743">
        <v>-109.114984335</v>
      </c>
      <c r="V743">
        <f>SUM(W743:X743)+(Y743*0.8)+(Z743*0.4)</f>
        <v>20</v>
      </c>
      <c r="W743">
        <v>20</v>
      </c>
      <c r="X743">
        <v>0</v>
      </c>
      <c r="Y743">
        <v>0</v>
      </c>
      <c r="Z743">
        <v>0</v>
      </c>
      <c r="AA743" t="s">
        <v>43</v>
      </c>
      <c r="AB743">
        <v>20</v>
      </c>
      <c r="AD743" t="s">
        <v>9698</v>
      </c>
      <c r="AE743" t="s">
        <v>9699</v>
      </c>
    </row>
    <row r="744" spans="1:31" x14ac:dyDescent="0.25">
      <c r="A744" t="s">
        <v>31</v>
      </c>
      <c r="C744" t="s">
        <v>8571</v>
      </c>
      <c r="D744" t="s">
        <v>8604</v>
      </c>
      <c r="E744" t="s">
        <v>34</v>
      </c>
      <c r="F744" t="s">
        <v>66</v>
      </c>
      <c r="G744">
        <v>2024</v>
      </c>
      <c r="H744" t="s">
        <v>36</v>
      </c>
      <c r="I744" t="s">
        <v>8601</v>
      </c>
      <c r="J744" t="s">
        <v>31</v>
      </c>
      <c r="K744" t="s">
        <v>38</v>
      </c>
      <c r="L744" t="s">
        <v>242</v>
      </c>
      <c r="M744" t="s">
        <v>243</v>
      </c>
      <c r="N744" t="s">
        <v>405</v>
      </c>
      <c r="O744" t="s">
        <v>516</v>
      </c>
      <c r="P744" t="s">
        <v>517</v>
      </c>
      <c r="T744">
        <v>39.020158879999997</v>
      </c>
      <c r="U744">
        <v>-77.475523898000006</v>
      </c>
      <c r="V744">
        <f>SUM(W744:X744)+(Y744*0.8)+(Z744*0.4)</f>
        <v>20</v>
      </c>
      <c r="W744">
        <v>20</v>
      </c>
      <c r="X744">
        <v>0</v>
      </c>
      <c r="Y744">
        <v>0</v>
      </c>
      <c r="Z744">
        <v>0</v>
      </c>
      <c r="AA744" t="s">
        <v>43</v>
      </c>
      <c r="AB744">
        <v>20</v>
      </c>
      <c r="AD744" t="s">
        <v>8605</v>
      </c>
      <c r="AE744" t="s">
        <v>8606</v>
      </c>
    </row>
    <row r="745" spans="1:31" x14ac:dyDescent="0.25">
      <c r="A745" t="s">
        <v>31</v>
      </c>
      <c r="C745" t="s">
        <v>1404</v>
      </c>
      <c r="D745" t="s">
        <v>1411</v>
      </c>
      <c r="E745" t="s">
        <v>362</v>
      </c>
      <c r="F745" t="s">
        <v>372</v>
      </c>
      <c r="G745">
        <v>2022</v>
      </c>
      <c r="H745" t="s">
        <v>36</v>
      </c>
      <c r="I745" t="s">
        <v>1412</v>
      </c>
      <c r="J745" t="s">
        <v>31</v>
      </c>
      <c r="K745" t="s">
        <v>38</v>
      </c>
      <c r="L745" t="s">
        <v>383</v>
      </c>
      <c r="M745" t="s">
        <v>384</v>
      </c>
      <c r="N745" t="s">
        <v>1407</v>
      </c>
      <c r="O745" t="s">
        <v>1413</v>
      </c>
      <c r="P745" t="s">
        <v>1408</v>
      </c>
      <c r="T745">
        <v>35.026971517</v>
      </c>
      <c r="U745">
        <v>-84.130959418000003</v>
      </c>
      <c r="V745">
        <f>SUM(W745:X745)+(Y745*0.8)+(Z745*0.4)</f>
        <v>20</v>
      </c>
      <c r="W745">
        <v>20</v>
      </c>
      <c r="X745">
        <v>0</v>
      </c>
      <c r="Y745">
        <v>0</v>
      </c>
      <c r="Z745">
        <v>0</v>
      </c>
      <c r="AA745" t="s">
        <v>43</v>
      </c>
      <c r="AB745">
        <v>20</v>
      </c>
      <c r="AD745" t="s">
        <v>1414</v>
      </c>
      <c r="AE745" t="s">
        <v>1415</v>
      </c>
    </row>
    <row r="746" spans="1:31" x14ac:dyDescent="0.25">
      <c r="A746" t="s">
        <v>31</v>
      </c>
      <c r="B746" t="s">
        <v>11350</v>
      </c>
      <c r="C746" t="s">
        <v>647</v>
      </c>
      <c r="D746" t="s">
        <v>710</v>
      </c>
      <c r="E746" t="s">
        <v>362</v>
      </c>
      <c r="F746" t="s">
        <v>649</v>
      </c>
      <c r="G746">
        <v>2021</v>
      </c>
      <c r="H746" t="s">
        <v>36</v>
      </c>
      <c r="I746" t="s">
        <v>711</v>
      </c>
      <c r="J746" t="s">
        <v>31</v>
      </c>
      <c r="K746" t="s">
        <v>38</v>
      </c>
      <c r="L746" t="s">
        <v>68</v>
      </c>
      <c r="M746" t="s">
        <v>69</v>
      </c>
      <c r="N746" t="s">
        <v>712</v>
      </c>
      <c r="O746" t="s">
        <v>713</v>
      </c>
      <c r="P746" t="s">
        <v>714</v>
      </c>
      <c r="T746">
        <v>29.415601035000002</v>
      </c>
      <c r="U746">
        <v>-98.784405882000001</v>
      </c>
      <c r="V746">
        <f>SUM(W746:X746)+(Y746*0.8)+(Z746*0.4)</f>
        <v>20</v>
      </c>
      <c r="W746">
        <v>20</v>
      </c>
      <c r="X746">
        <v>0</v>
      </c>
      <c r="Y746">
        <v>0</v>
      </c>
      <c r="Z746">
        <v>0</v>
      </c>
      <c r="AA746" t="s">
        <v>43</v>
      </c>
      <c r="AB746">
        <v>20</v>
      </c>
      <c r="AD746" t="s">
        <v>715</v>
      </c>
      <c r="AE746" t="s">
        <v>716</v>
      </c>
    </row>
    <row r="747" spans="1:31" x14ac:dyDescent="0.25">
      <c r="A747" t="s">
        <v>31</v>
      </c>
      <c r="B747" t="s">
        <v>11350</v>
      </c>
      <c r="C747" t="s">
        <v>647</v>
      </c>
      <c r="D747" t="s">
        <v>1040</v>
      </c>
      <c r="E747" t="s">
        <v>362</v>
      </c>
      <c r="F747" t="s">
        <v>649</v>
      </c>
      <c r="G747">
        <v>2021</v>
      </c>
      <c r="H747" t="s">
        <v>36</v>
      </c>
      <c r="I747" t="s">
        <v>1041</v>
      </c>
      <c r="J747" t="s">
        <v>31</v>
      </c>
      <c r="K747" t="s">
        <v>38</v>
      </c>
      <c r="L747" t="s">
        <v>242</v>
      </c>
      <c r="M747" t="s">
        <v>243</v>
      </c>
      <c r="N747" t="s">
        <v>405</v>
      </c>
      <c r="O747" t="s">
        <v>1042</v>
      </c>
      <c r="P747" t="s">
        <v>527</v>
      </c>
      <c r="T747">
        <v>38.979826137000003</v>
      </c>
      <c r="U747">
        <v>-77.425654957999996</v>
      </c>
      <c r="V747">
        <f>SUM(W747:X747)+(Y747*0.8)+(Z747*0.4)</f>
        <v>20</v>
      </c>
      <c r="W747">
        <v>20</v>
      </c>
      <c r="X747">
        <v>0</v>
      </c>
      <c r="Y747">
        <v>0</v>
      </c>
      <c r="Z747">
        <v>0</v>
      </c>
      <c r="AA747" t="s">
        <v>43</v>
      </c>
      <c r="AB747">
        <v>20</v>
      </c>
      <c r="AD747" t="s">
        <v>1043</v>
      </c>
      <c r="AE747" t="s">
        <v>1044</v>
      </c>
    </row>
    <row r="748" spans="1:31" x14ac:dyDescent="0.25">
      <c r="A748" t="s">
        <v>31</v>
      </c>
      <c r="B748" t="s">
        <v>11350</v>
      </c>
      <c r="C748" t="s">
        <v>647</v>
      </c>
      <c r="D748" t="s">
        <v>741</v>
      </c>
      <c r="E748" t="s">
        <v>362</v>
      </c>
      <c r="F748" t="s">
        <v>649</v>
      </c>
      <c r="G748">
        <v>2020</v>
      </c>
      <c r="H748" t="s">
        <v>36</v>
      </c>
      <c r="I748" t="s">
        <v>742</v>
      </c>
      <c r="J748" t="s">
        <v>31</v>
      </c>
      <c r="K748" t="s">
        <v>38</v>
      </c>
      <c r="L748" t="s">
        <v>242</v>
      </c>
      <c r="M748" t="s">
        <v>243</v>
      </c>
      <c r="N748" t="s">
        <v>509</v>
      </c>
      <c r="O748" t="s">
        <v>743</v>
      </c>
      <c r="P748" t="s">
        <v>511</v>
      </c>
      <c r="T748">
        <v>38.760469417000003</v>
      </c>
      <c r="U748">
        <v>-77.519231816000001</v>
      </c>
      <c r="V748">
        <f>SUM(W748:X748)+(Y748*0.8)+(Z748*0.4)</f>
        <v>20</v>
      </c>
      <c r="W748">
        <v>20</v>
      </c>
      <c r="X748">
        <v>0</v>
      </c>
      <c r="Y748">
        <v>0</v>
      </c>
      <c r="Z748">
        <v>0</v>
      </c>
      <c r="AA748" t="s">
        <v>43</v>
      </c>
      <c r="AB748">
        <v>20</v>
      </c>
      <c r="AD748" t="s">
        <v>744</v>
      </c>
      <c r="AE748" t="s">
        <v>745</v>
      </c>
    </row>
    <row r="749" spans="1:31" x14ac:dyDescent="0.25">
      <c r="A749" t="s">
        <v>31</v>
      </c>
      <c r="C749" t="s">
        <v>2706</v>
      </c>
      <c r="D749" t="s">
        <v>2720</v>
      </c>
      <c r="E749" t="s">
        <v>34</v>
      </c>
      <c r="F749" t="s">
        <v>43</v>
      </c>
      <c r="G749">
        <v>2018</v>
      </c>
      <c r="H749" t="s">
        <v>36</v>
      </c>
      <c r="I749" t="s">
        <v>2721</v>
      </c>
      <c r="J749" t="s">
        <v>31</v>
      </c>
      <c r="K749" t="s">
        <v>38</v>
      </c>
      <c r="L749" t="s">
        <v>317</v>
      </c>
      <c r="M749" t="s">
        <v>318</v>
      </c>
      <c r="N749" t="s">
        <v>665</v>
      </c>
      <c r="O749" t="s">
        <v>2713</v>
      </c>
      <c r="P749" t="s">
        <v>2714</v>
      </c>
      <c r="Q749" t="s">
        <v>668</v>
      </c>
      <c r="T749">
        <v>40.115758999999997</v>
      </c>
      <c r="U749">
        <v>-83.001630000000006</v>
      </c>
      <c r="V749">
        <f>SUM(W749:X749)+(Y749*0.8)+(Z749*0.4)</f>
        <v>20</v>
      </c>
      <c r="W749">
        <v>20</v>
      </c>
      <c r="X749">
        <v>0</v>
      </c>
      <c r="Y749">
        <v>0</v>
      </c>
      <c r="Z749">
        <v>0</v>
      </c>
      <c r="AA749" t="s">
        <v>43</v>
      </c>
      <c r="AB749">
        <v>20</v>
      </c>
      <c r="AD749" t="s">
        <v>2722</v>
      </c>
      <c r="AE749" t="s">
        <v>2723</v>
      </c>
    </row>
    <row r="750" spans="1:31" x14ac:dyDescent="0.25">
      <c r="A750" t="s">
        <v>31</v>
      </c>
      <c r="C750" t="s">
        <v>9037</v>
      </c>
      <c r="D750" t="s">
        <v>9062</v>
      </c>
      <c r="E750" t="s">
        <v>34</v>
      </c>
      <c r="F750" t="s">
        <v>76</v>
      </c>
      <c r="G750">
        <v>2015</v>
      </c>
      <c r="H750" t="s">
        <v>36</v>
      </c>
      <c r="I750" t="s">
        <v>9063</v>
      </c>
      <c r="J750" t="s">
        <v>31</v>
      </c>
      <c r="K750" t="s">
        <v>38</v>
      </c>
      <c r="L750" t="s">
        <v>172</v>
      </c>
      <c r="M750" t="s">
        <v>173</v>
      </c>
      <c r="N750" t="s">
        <v>2596</v>
      </c>
      <c r="O750" t="s">
        <v>9064</v>
      </c>
      <c r="P750" t="s">
        <v>9065</v>
      </c>
      <c r="T750">
        <v>37.626217062999999</v>
      </c>
      <c r="U750">
        <v>-122.11344561600001</v>
      </c>
      <c r="V750">
        <f>SUM(W750:X750)+(Y750*0.8)+(Z750*0.4)</f>
        <v>20</v>
      </c>
      <c r="W750">
        <v>20</v>
      </c>
      <c r="X750">
        <v>0</v>
      </c>
      <c r="Y750">
        <v>0</v>
      </c>
      <c r="Z750">
        <v>0</v>
      </c>
      <c r="AA750" t="s">
        <v>43</v>
      </c>
      <c r="AB750">
        <v>20</v>
      </c>
      <c r="AD750" t="s">
        <v>9066</v>
      </c>
      <c r="AE750" t="s">
        <v>9067</v>
      </c>
    </row>
    <row r="751" spans="1:31" x14ac:dyDescent="0.25">
      <c r="A751" t="s">
        <v>31</v>
      </c>
      <c r="C751" t="s">
        <v>3710</v>
      </c>
      <c r="D751" t="s">
        <v>3780</v>
      </c>
      <c r="E751" t="s">
        <v>34</v>
      </c>
      <c r="F751" t="s">
        <v>66</v>
      </c>
      <c r="G751">
        <v>2012</v>
      </c>
      <c r="H751" t="s">
        <v>36</v>
      </c>
      <c r="I751" t="s">
        <v>3781</v>
      </c>
      <c r="J751" t="s">
        <v>31</v>
      </c>
      <c r="K751" t="s">
        <v>38</v>
      </c>
      <c r="L751" t="s">
        <v>193</v>
      </c>
      <c r="M751" t="s">
        <v>194</v>
      </c>
      <c r="N751" t="s">
        <v>2858</v>
      </c>
      <c r="O751" t="s">
        <v>2859</v>
      </c>
      <c r="P751" t="s">
        <v>2129</v>
      </c>
      <c r="T751">
        <v>39.591325873999999</v>
      </c>
      <c r="U751">
        <v>-104.846750124</v>
      </c>
      <c r="V751">
        <f>SUM(W751:X751)+(Y751*0.8)+(Z751*0.4)</f>
        <v>20</v>
      </c>
      <c r="W751">
        <v>20</v>
      </c>
      <c r="X751">
        <v>0</v>
      </c>
      <c r="Y751">
        <v>0</v>
      </c>
      <c r="Z751">
        <v>0</v>
      </c>
      <c r="AA751" t="s">
        <v>43</v>
      </c>
      <c r="AB751">
        <v>16.329999999999998</v>
      </c>
      <c r="AC751">
        <v>1.3</v>
      </c>
      <c r="AD751" t="s">
        <v>3782</v>
      </c>
      <c r="AE751" t="s">
        <v>3783</v>
      </c>
    </row>
    <row r="752" spans="1:31" x14ac:dyDescent="0.25">
      <c r="A752" t="s">
        <v>31</v>
      </c>
      <c r="B752" t="s">
        <v>11350</v>
      </c>
      <c r="C752" t="s">
        <v>647</v>
      </c>
      <c r="D752" t="s">
        <v>1015</v>
      </c>
      <c r="E752" t="s">
        <v>362</v>
      </c>
      <c r="F752" t="s">
        <v>649</v>
      </c>
      <c r="G752">
        <v>2012</v>
      </c>
      <c r="H752" t="s">
        <v>36</v>
      </c>
      <c r="I752" t="s">
        <v>1016</v>
      </c>
      <c r="J752" t="s">
        <v>31</v>
      </c>
      <c r="K752" t="s">
        <v>38</v>
      </c>
      <c r="L752" t="s">
        <v>242</v>
      </c>
      <c r="M752" t="s">
        <v>243</v>
      </c>
      <c r="N752" t="s">
        <v>405</v>
      </c>
      <c r="O752" t="s">
        <v>526</v>
      </c>
      <c r="P752" t="s">
        <v>527</v>
      </c>
      <c r="T752">
        <v>38.989038549999997</v>
      </c>
      <c r="U752">
        <v>-77.447654787000005</v>
      </c>
      <c r="V752">
        <f>SUM(W752:X752)+(Y752*0.8)+(Z752*0.4)</f>
        <v>20</v>
      </c>
      <c r="W752">
        <v>20</v>
      </c>
      <c r="X752">
        <v>0</v>
      </c>
      <c r="Y752">
        <v>0</v>
      </c>
      <c r="Z752">
        <v>0</v>
      </c>
      <c r="AA752" t="s">
        <v>43</v>
      </c>
      <c r="AB752">
        <v>20</v>
      </c>
      <c r="AD752" t="s">
        <v>1017</v>
      </c>
      <c r="AE752" t="s">
        <v>1018</v>
      </c>
    </row>
    <row r="753" spans="1:31" x14ac:dyDescent="0.25">
      <c r="A753" t="s">
        <v>31</v>
      </c>
      <c r="C753" t="s">
        <v>3052</v>
      </c>
      <c r="D753" t="s">
        <v>3105</v>
      </c>
      <c r="E753" t="s">
        <v>34</v>
      </c>
      <c r="F753" t="s">
        <v>66</v>
      </c>
      <c r="G753">
        <v>2006</v>
      </c>
      <c r="H753" t="s">
        <v>36</v>
      </c>
      <c r="I753" t="s">
        <v>3106</v>
      </c>
      <c r="J753" t="s">
        <v>31</v>
      </c>
      <c r="K753" t="s">
        <v>38</v>
      </c>
      <c r="L753" t="s">
        <v>172</v>
      </c>
      <c r="M753" t="s">
        <v>173</v>
      </c>
      <c r="N753" t="s">
        <v>493</v>
      </c>
      <c r="O753" t="s">
        <v>494</v>
      </c>
      <c r="P753" t="s">
        <v>3107</v>
      </c>
      <c r="Q753" t="s">
        <v>3108</v>
      </c>
      <c r="S753" t="s">
        <v>472</v>
      </c>
      <c r="T753">
        <v>34.05829</v>
      </c>
      <c r="U753">
        <v>-118.23566099999999</v>
      </c>
      <c r="V753">
        <f>SUM(W753:X753)+(Y753*0.8)+(Z753*0.4)</f>
        <v>20</v>
      </c>
      <c r="W753">
        <v>18</v>
      </c>
      <c r="X753">
        <v>2</v>
      </c>
      <c r="Y753">
        <v>0</v>
      </c>
      <c r="Z753">
        <v>0</v>
      </c>
      <c r="AA753" t="s">
        <v>43</v>
      </c>
      <c r="AB753">
        <v>17.8</v>
      </c>
      <c r="AD753" t="s">
        <v>3109</v>
      </c>
      <c r="AE753" t="s">
        <v>3110</v>
      </c>
    </row>
    <row r="754" spans="1:31" x14ac:dyDescent="0.25">
      <c r="A754" t="s">
        <v>31</v>
      </c>
      <c r="C754" t="s">
        <v>2064</v>
      </c>
      <c r="D754" t="s">
        <v>2193</v>
      </c>
      <c r="E754" t="s">
        <v>34</v>
      </c>
      <c r="F754" t="s">
        <v>35</v>
      </c>
      <c r="G754">
        <v>2000</v>
      </c>
      <c r="H754" t="s">
        <v>36</v>
      </c>
      <c r="I754" t="s">
        <v>2194</v>
      </c>
      <c r="J754" t="s">
        <v>31</v>
      </c>
      <c r="K754" t="s">
        <v>38</v>
      </c>
      <c r="L754" t="s">
        <v>172</v>
      </c>
      <c r="M754" t="s">
        <v>173</v>
      </c>
      <c r="N754" t="s">
        <v>433</v>
      </c>
      <c r="O754" t="s">
        <v>501</v>
      </c>
      <c r="P754" t="s">
        <v>502</v>
      </c>
      <c r="S754" t="s">
        <v>503</v>
      </c>
      <c r="T754">
        <v>33.687643180999999</v>
      </c>
      <c r="U754">
        <v>-117.84738234300001</v>
      </c>
      <c r="V754">
        <f>SUM(W754:X754)+(Y754*0.8)+(Z754*0.4)</f>
        <v>20</v>
      </c>
      <c r="W754">
        <v>20</v>
      </c>
      <c r="X754">
        <v>0</v>
      </c>
      <c r="Y754">
        <v>0</v>
      </c>
      <c r="Z754">
        <v>0</v>
      </c>
      <c r="AA754" t="s">
        <v>43</v>
      </c>
      <c r="AB754">
        <v>11.93</v>
      </c>
      <c r="AD754" t="s">
        <v>2195</v>
      </c>
      <c r="AE754" t="s">
        <v>2196</v>
      </c>
    </row>
    <row r="755" spans="1:31" x14ac:dyDescent="0.25">
      <c r="A755" t="s">
        <v>31</v>
      </c>
      <c r="B755" t="s">
        <v>11350</v>
      </c>
      <c r="C755" t="s">
        <v>647</v>
      </c>
      <c r="D755" t="s">
        <v>804</v>
      </c>
      <c r="E755" t="s">
        <v>362</v>
      </c>
      <c r="F755" t="s">
        <v>649</v>
      </c>
      <c r="H755" t="s">
        <v>36</v>
      </c>
      <c r="I755" t="s">
        <v>805</v>
      </c>
      <c r="J755" t="s">
        <v>31</v>
      </c>
      <c r="K755" t="s">
        <v>38</v>
      </c>
      <c r="L755" t="s">
        <v>242</v>
      </c>
      <c r="M755" t="s">
        <v>243</v>
      </c>
      <c r="N755" t="s">
        <v>806</v>
      </c>
      <c r="O755" t="s">
        <v>807</v>
      </c>
      <c r="P755" t="s">
        <v>808</v>
      </c>
      <c r="T755">
        <v>38.729012527999998</v>
      </c>
      <c r="U755">
        <v>-77.787755623999999</v>
      </c>
      <c r="V755">
        <f>SUM(W755:X755)+(Y755*0.8)+(Z755*0.4)</f>
        <v>20</v>
      </c>
      <c r="W755">
        <v>0</v>
      </c>
      <c r="X755">
        <v>0</v>
      </c>
      <c r="Y755">
        <v>25</v>
      </c>
      <c r="Z755">
        <v>0</v>
      </c>
      <c r="AA755" t="s">
        <v>43</v>
      </c>
      <c r="AB755">
        <v>25</v>
      </c>
      <c r="AD755" t="s">
        <v>809</v>
      </c>
      <c r="AE755" t="s">
        <v>810</v>
      </c>
    </row>
    <row r="756" spans="1:31" x14ac:dyDescent="0.25">
      <c r="A756" t="s">
        <v>31</v>
      </c>
      <c r="C756" t="s">
        <v>7837</v>
      </c>
      <c r="D756" t="s">
        <v>7838</v>
      </c>
      <c r="E756" t="s">
        <v>34</v>
      </c>
      <c r="F756" t="s">
        <v>66</v>
      </c>
      <c r="G756">
        <v>2026</v>
      </c>
      <c r="H756" t="s">
        <v>36</v>
      </c>
      <c r="I756" t="s">
        <v>7839</v>
      </c>
      <c r="J756" t="s">
        <v>31</v>
      </c>
      <c r="K756" t="s">
        <v>38</v>
      </c>
      <c r="L756" t="s">
        <v>202</v>
      </c>
      <c r="M756" t="s">
        <v>203</v>
      </c>
      <c r="N756" t="s">
        <v>397</v>
      </c>
      <c r="P756" t="s">
        <v>7840</v>
      </c>
      <c r="S756" t="s">
        <v>399</v>
      </c>
      <c r="T756">
        <v>25.783072029</v>
      </c>
      <c r="U756">
        <v>-80.417178777999993</v>
      </c>
      <c r="V756">
        <f>SUM(W756:X756)+(Y756*0.8)+(Z756*0.4)</f>
        <v>19.759999999999998</v>
      </c>
      <c r="W756">
        <v>0</v>
      </c>
      <c r="X756">
        <v>0</v>
      </c>
      <c r="Y756">
        <v>16.7</v>
      </c>
      <c r="Z756">
        <v>16</v>
      </c>
      <c r="AA756" t="s">
        <v>43</v>
      </c>
      <c r="AB756">
        <v>0</v>
      </c>
      <c r="AC756">
        <v>1.2</v>
      </c>
      <c r="AD756" t="s">
        <v>7841</v>
      </c>
      <c r="AE756" t="s">
        <v>7842</v>
      </c>
    </row>
    <row r="757" spans="1:31" x14ac:dyDescent="0.25">
      <c r="A757" t="s">
        <v>31</v>
      </c>
      <c r="C757" t="s">
        <v>7638</v>
      </c>
      <c r="D757" t="s">
        <v>7664</v>
      </c>
      <c r="E757" t="s">
        <v>34</v>
      </c>
      <c r="F757" t="s">
        <v>66</v>
      </c>
      <c r="H757" t="s">
        <v>36</v>
      </c>
      <c r="I757" t="s">
        <v>7665</v>
      </c>
      <c r="J757" t="s">
        <v>31</v>
      </c>
      <c r="K757" t="s">
        <v>38</v>
      </c>
      <c r="L757" t="s">
        <v>172</v>
      </c>
      <c r="M757" t="s">
        <v>173</v>
      </c>
      <c r="N757" t="s">
        <v>780</v>
      </c>
      <c r="O757" t="s">
        <v>2251</v>
      </c>
      <c r="P757" t="s">
        <v>5473</v>
      </c>
      <c r="T757">
        <v>37.399945873</v>
      </c>
      <c r="U757">
        <v>-122.014629758</v>
      </c>
      <c r="V757">
        <f>SUM(W757:X757)+(Y757*0.8)+(Z757*0.4)</f>
        <v>19.600000000000001</v>
      </c>
      <c r="W757">
        <v>0</v>
      </c>
      <c r="X757">
        <v>0</v>
      </c>
      <c r="Y757">
        <v>0</v>
      </c>
      <c r="Z757">
        <v>49</v>
      </c>
      <c r="AA757" t="s">
        <v>43</v>
      </c>
      <c r="AB757">
        <v>0</v>
      </c>
      <c r="AD757" t="s">
        <v>7666</v>
      </c>
      <c r="AE757" t="s">
        <v>7667</v>
      </c>
    </row>
    <row r="758" spans="1:31" x14ac:dyDescent="0.25">
      <c r="A758" t="s">
        <v>31</v>
      </c>
      <c r="B758" t="s">
        <v>11350</v>
      </c>
      <c r="C758" t="s">
        <v>647</v>
      </c>
      <c r="D758" t="s">
        <v>1057</v>
      </c>
      <c r="E758" t="s">
        <v>362</v>
      </c>
      <c r="F758" t="s">
        <v>649</v>
      </c>
      <c r="G758">
        <v>2015</v>
      </c>
      <c r="H758" t="s">
        <v>36</v>
      </c>
      <c r="I758" t="s">
        <v>1058</v>
      </c>
      <c r="J758" t="s">
        <v>31</v>
      </c>
      <c r="K758" t="s">
        <v>38</v>
      </c>
      <c r="L758" t="s">
        <v>242</v>
      </c>
      <c r="M758" t="s">
        <v>243</v>
      </c>
      <c r="N758" t="s">
        <v>405</v>
      </c>
      <c r="O758" t="s">
        <v>516</v>
      </c>
      <c r="P758" t="s">
        <v>517</v>
      </c>
      <c r="T758">
        <v>39.029823309000001</v>
      </c>
      <c r="U758">
        <v>-77.459725238000004</v>
      </c>
      <c r="V758">
        <f>SUM(W758:X758)+(Y758*0.8)+(Z758*0.4)</f>
        <v>19.5</v>
      </c>
      <c r="W758">
        <v>19.5</v>
      </c>
      <c r="X758">
        <v>0</v>
      </c>
      <c r="Y758">
        <v>0</v>
      </c>
      <c r="Z758">
        <v>0</v>
      </c>
      <c r="AA758" t="s">
        <v>43</v>
      </c>
      <c r="AB758">
        <v>19.5</v>
      </c>
      <c r="AD758" t="s">
        <v>1059</v>
      </c>
      <c r="AE758" t="s">
        <v>1060</v>
      </c>
    </row>
    <row r="759" spans="1:31" x14ac:dyDescent="0.25">
      <c r="A759" t="s">
        <v>31</v>
      </c>
      <c r="C759" t="s">
        <v>3849</v>
      </c>
      <c r="D759" t="s">
        <v>4654</v>
      </c>
      <c r="E759" t="s">
        <v>34</v>
      </c>
      <c r="F759" t="s">
        <v>66</v>
      </c>
      <c r="G759">
        <v>1990</v>
      </c>
      <c r="H759" t="s">
        <v>36</v>
      </c>
      <c r="I759" t="s">
        <v>4655</v>
      </c>
      <c r="J759" t="s">
        <v>31</v>
      </c>
      <c r="K759" t="s">
        <v>38</v>
      </c>
      <c r="L759" t="s">
        <v>843</v>
      </c>
      <c r="M759" t="s">
        <v>1644</v>
      </c>
      <c r="N759" t="s">
        <v>2232</v>
      </c>
      <c r="O759" t="s">
        <v>4155</v>
      </c>
      <c r="P759" t="s">
        <v>4156</v>
      </c>
      <c r="Q759" t="s">
        <v>3086</v>
      </c>
      <c r="S759" t="s">
        <v>4157</v>
      </c>
      <c r="T759">
        <v>47.614403000000003</v>
      </c>
      <c r="U759">
        <v>-122.338779</v>
      </c>
      <c r="V759">
        <f>SUM(W759:X759)+(Y759*0.8)+(Z759*0.4)</f>
        <v>19.5</v>
      </c>
      <c r="W759">
        <v>19.5</v>
      </c>
      <c r="X759">
        <v>0</v>
      </c>
      <c r="Y759">
        <v>0</v>
      </c>
      <c r="Z759">
        <v>0</v>
      </c>
      <c r="AA759" t="s">
        <v>43</v>
      </c>
      <c r="AB759">
        <v>17</v>
      </c>
      <c r="AD759" t="s">
        <v>4656</v>
      </c>
      <c r="AE759" t="s">
        <v>4657</v>
      </c>
    </row>
    <row r="760" spans="1:31" x14ac:dyDescent="0.25">
      <c r="A760" t="s">
        <v>31</v>
      </c>
      <c r="C760" t="s">
        <v>2535</v>
      </c>
      <c r="D760" t="s">
        <v>2554</v>
      </c>
      <c r="E760" t="s">
        <v>34</v>
      </c>
      <c r="F760" t="s">
        <v>66</v>
      </c>
      <c r="G760">
        <v>2012</v>
      </c>
      <c r="H760" t="s">
        <v>36</v>
      </c>
      <c r="I760" t="s">
        <v>2555</v>
      </c>
      <c r="J760" t="s">
        <v>31</v>
      </c>
      <c r="K760" t="s">
        <v>38</v>
      </c>
      <c r="L760" t="s">
        <v>242</v>
      </c>
      <c r="M760" t="s">
        <v>243</v>
      </c>
      <c r="N760" t="s">
        <v>509</v>
      </c>
      <c r="O760" t="s">
        <v>510</v>
      </c>
      <c r="P760" t="s">
        <v>511</v>
      </c>
      <c r="T760">
        <v>38.747736338000003</v>
      </c>
      <c r="U760">
        <v>-77.531749001999998</v>
      </c>
      <c r="V760">
        <f>SUM(W760:X760)+(Y760*0.8)+(Z760*0.4)</f>
        <v>19.25</v>
      </c>
      <c r="W760">
        <v>19.25</v>
      </c>
      <c r="X760">
        <v>0</v>
      </c>
      <c r="Y760">
        <v>0</v>
      </c>
      <c r="Z760">
        <v>0</v>
      </c>
      <c r="AA760" t="s">
        <v>43</v>
      </c>
      <c r="AB760">
        <v>19.25</v>
      </c>
      <c r="AD760" t="s">
        <v>2556</v>
      </c>
      <c r="AE760" t="s">
        <v>2557</v>
      </c>
    </row>
    <row r="761" spans="1:31" x14ac:dyDescent="0.25">
      <c r="A761" t="s">
        <v>31</v>
      </c>
      <c r="C761" t="s">
        <v>9430</v>
      </c>
      <c r="D761" t="s">
        <v>9445</v>
      </c>
      <c r="E761" t="s">
        <v>34</v>
      </c>
      <c r="F761" t="s">
        <v>43</v>
      </c>
      <c r="G761">
        <v>2027</v>
      </c>
      <c r="H761" t="s">
        <v>36</v>
      </c>
      <c r="I761" t="s">
        <v>9446</v>
      </c>
      <c r="J761" t="s">
        <v>31</v>
      </c>
      <c r="K761" t="s">
        <v>38</v>
      </c>
      <c r="L761" t="s">
        <v>143</v>
      </c>
      <c r="M761" t="s">
        <v>144</v>
      </c>
      <c r="N761" t="s">
        <v>9447</v>
      </c>
      <c r="O761" t="s">
        <v>9448</v>
      </c>
      <c r="P761" t="s">
        <v>9449</v>
      </c>
      <c r="Q761" t="s">
        <v>9450</v>
      </c>
      <c r="S761" t="s">
        <v>2502</v>
      </c>
      <c r="T761">
        <v>39.740782000000003</v>
      </c>
      <c r="U761">
        <v>-86.356018000000006</v>
      </c>
      <c r="V761">
        <f>SUM(W761:X761)+(Y761*0.8)+(Z761*0.4)</f>
        <v>19.200000000000003</v>
      </c>
      <c r="W761">
        <v>0</v>
      </c>
      <c r="X761">
        <v>0</v>
      </c>
      <c r="Y761">
        <v>24</v>
      </c>
      <c r="Z761">
        <v>0</v>
      </c>
      <c r="AA761" t="s">
        <v>43</v>
      </c>
      <c r="AB761">
        <v>0</v>
      </c>
      <c r="AD761" t="s">
        <v>9451</v>
      </c>
      <c r="AE761" t="s">
        <v>9452</v>
      </c>
    </row>
    <row r="762" spans="1:31" x14ac:dyDescent="0.25">
      <c r="A762" t="s">
        <v>31</v>
      </c>
      <c r="C762" t="s">
        <v>4035</v>
      </c>
      <c r="D762" t="s">
        <v>4102</v>
      </c>
      <c r="E762" t="s">
        <v>362</v>
      </c>
      <c r="F762" t="s">
        <v>1611</v>
      </c>
      <c r="G762">
        <v>2027</v>
      </c>
      <c r="H762" t="s">
        <v>36</v>
      </c>
      <c r="I762" t="s">
        <v>4103</v>
      </c>
      <c r="J762" t="s">
        <v>31</v>
      </c>
      <c r="K762" t="s">
        <v>38</v>
      </c>
      <c r="L762" t="s">
        <v>202</v>
      </c>
      <c r="M762" t="s">
        <v>203</v>
      </c>
      <c r="N762" t="s">
        <v>4104</v>
      </c>
      <c r="O762" t="s">
        <v>4102</v>
      </c>
      <c r="P762" t="s">
        <v>4105</v>
      </c>
      <c r="T762">
        <v>29.494617787999999</v>
      </c>
      <c r="U762">
        <v>-81.196686206999999</v>
      </c>
      <c r="V762">
        <f>SUM(W762:X762)+(Y762*0.8)+(Z762*0.4)</f>
        <v>19.200000000000003</v>
      </c>
      <c r="W762">
        <v>0</v>
      </c>
      <c r="X762">
        <v>0</v>
      </c>
      <c r="Y762">
        <v>24</v>
      </c>
      <c r="Z762">
        <v>0</v>
      </c>
      <c r="AA762" t="s">
        <v>43</v>
      </c>
      <c r="AB762">
        <v>24</v>
      </c>
      <c r="AD762" t="s">
        <v>4106</v>
      </c>
      <c r="AE762" t="s">
        <v>4107</v>
      </c>
    </row>
    <row r="763" spans="1:31" x14ac:dyDescent="0.25">
      <c r="A763" t="s">
        <v>31</v>
      </c>
      <c r="C763" t="s">
        <v>3849</v>
      </c>
      <c r="D763" t="s">
        <v>4380</v>
      </c>
      <c r="E763" t="s">
        <v>34</v>
      </c>
      <c r="F763" t="s">
        <v>66</v>
      </c>
      <c r="H763" t="s">
        <v>36</v>
      </c>
      <c r="I763" t="s">
        <v>4381</v>
      </c>
      <c r="J763" t="s">
        <v>31</v>
      </c>
      <c r="K763" t="s">
        <v>38</v>
      </c>
      <c r="L763" t="s">
        <v>242</v>
      </c>
      <c r="M763" t="s">
        <v>243</v>
      </c>
      <c r="N763" t="s">
        <v>405</v>
      </c>
      <c r="O763" t="s">
        <v>516</v>
      </c>
      <c r="P763" t="s">
        <v>517</v>
      </c>
      <c r="T763">
        <v>39.014892463999999</v>
      </c>
      <c r="U763">
        <v>-77.463895316000006</v>
      </c>
      <c r="V763">
        <f>SUM(W763:X763)+(Y763*0.8)+(Z763*0.4)</f>
        <v>19.200000000000003</v>
      </c>
      <c r="W763">
        <v>0</v>
      </c>
      <c r="X763">
        <v>0</v>
      </c>
      <c r="Y763">
        <v>0</v>
      </c>
      <c r="Z763">
        <v>48</v>
      </c>
      <c r="AA763" t="s">
        <v>43</v>
      </c>
      <c r="AB763">
        <v>0</v>
      </c>
      <c r="AD763" t="s">
        <v>4382</v>
      </c>
      <c r="AE763" t="s">
        <v>4383</v>
      </c>
    </row>
    <row r="764" spans="1:31" x14ac:dyDescent="0.25">
      <c r="A764" t="s">
        <v>31</v>
      </c>
      <c r="C764" t="s">
        <v>4801</v>
      </c>
      <c r="D764" t="s">
        <v>4994</v>
      </c>
      <c r="E764" t="s">
        <v>34</v>
      </c>
      <c r="F764" t="s">
        <v>66</v>
      </c>
      <c r="G764">
        <v>2025</v>
      </c>
      <c r="H764" t="s">
        <v>36</v>
      </c>
      <c r="I764" t="s">
        <v>4995</v>
      </c>
      <c r="J764" t="s">
        <v>31</v>
      </c>
      <c r="K764" t="s">
        <v>38</v>
      </c>
      <c r="L764" t="s">
        <v>133</v>
      </c>
      <c r="M764" t="s">
        <v>134</v>
      </c>
      <c r="N764" t="s">
        <v>419</v>
      </c>
      <c r="O764" t="s">
        <v>420</v>
      </c>
      <c r="P764" t="s">
        <v>421</v>
      </c>
      <c r="T764">
        <v>45.556705373</v>
      </c>
      <c r="U764">
        <v>-122.912262915</v>
      </c>
      <c r="V764">
        <f>SUM(W764:X764)+(Y764*0.8)+(Z764*0.4)</f>
        <v>19.2</v>
      </c>
      <c r="W764">
        <v>19.2</v>
      </c>
      <c r="X764">
        <v>0</v>
      </c>
      <c r="Y764">
        <v>0</v>
      </c>
      <c r="Z764">
        <v>0</v>
      </c>
      <c r="AA764" t="s">
        <v>43</v>
      </c>
      <c r="AB764">
        <v>0</v>
      </c>
      <c r="AD764" t="s">
        <v>4996</v>
      </c>
      <c r="AE764" t="s">
        <v>4997</v>
      </c>
    </row>
    <row r="765" spans="1:31" x14ac:dyDescent="0.25">
      <c r="A765" t="s">
        <v>31</v>
      </c>
      <c r="C765" t="s">
        <v>3849</v>
      </c>
      <c r="D765" t="s">
        <v>4549</v>
      </c>
      <c r="E765" t="s">
        <v>34</v>
      </c>
      <c r="F765" t="s">
        <v>66</v>
      </c>
      <c r="G765">
        <v>2014</v>
      </c>
      <c r="H765" t="s">
        <v>36</v>
      </c>
      <c r="I765" t="s">
        <v>4550</v>
      </c>
      <c r="J765" t="s">
        <v>31</v>
      </c>
      <c r="K765" t="s">
        <v>38</v>
      </c>
      <c r="L765" t="s">
        <v>242</v>
      </c>
      <c r="M765" t="s">
        <v>243</v>
      </c>
      <c r="N765" t="s">
        <v>405</v>
      </c>
      <c r="O765" t="s">
        <v>516</v>
      </c>
      <c r="P765" t="s">
        <v>853</v>
      </c>
      <c r="T765">
        <v>39.000033098000003</v>
      </c>
      <c r="U765">
        <v>-77.477971396000001</v>
      </c>
      <c r="V765">
        <f>SUM(W765:X765)+(Y765*0.8)+(Z765*0.4)</f>
        <v>19.2</v>
      </c>
      <c r="W765">
        <v>19.2</v>
      </c>
      <c r="X765">
        <v>0</v>
      </c>
      <c r="Y765">
        <v>0</v>
      </c>
      <c r="Z765">
        <v>0</v>
      </c>
      <c r="AA765" t="s">
        <v>43</v>
      </c>
      <c r="AB765">
        <v>18.559999999999999</v>
      </c>
      <c r="AD765" t="s">
        <v>4551</v>
      </c>
      <c r="AE765" t="s">
        <v>4552</v>
      </c>
    </row>
    <row r="766" spans="1:31" x14ac:dyDescent="0.25">
      <c r="A766" t="s">
        <v>31</v>
      </c>
      <c r="C766" t="s">
        <v>4801</v>
      </c>
      <c r="D766" t="s">
        <v>4843</v>
      </c>
      <c r="E766" t="s">
        <v>34</v>
      </c>
      <c r="F766" t="s">
        <v>66</v>
      </c>
      <c r="G766">
        <v>2026</v>
      </c>
      <c r="H766" t="s">
        <v>36</v>
      </c>
      <c r="I766" t="s">
        <v>4844</v>
      </c>
      <c r="J766" t="s">
        <v>31</v>
      </c>
      <c r="K766" t="s">
        <v>38</v>
      </c>
      <c r="L766" t="s">
        <v>86</v>
      </c>
      <c r="M766" t="s">
        <v>87</v>
      </c>
      <c r="N766" t="s">
        <v>88</v>
      </c>
      <c r="O766" t="s">
        <v>554</v>
      </c>
      <c r="P766" t="s">
        <v>2216</v>
      </c>
      <c r="Q766" t="s">
        <v>555</v>
      </c>
      <c r="T766">
        <v>42.001865166999998</v>
      </c>
      <c r="U766">
        <v>-87.951803229999996</v>
      </c>
      <c r="V766">
        <f>SUM(W766:X766)+(Y766*0.8)+(Z766*0.4)</f>
        <v>19.164999999999999</v>
      </c>
      <c r="W766">
        <v>0</v>
      </c>
      <c r="X766">
        <v>3.8330000000000002</v>
      </c>
      <c r="Y766">
        <v>19.164999999999999</v>
      </c>
      <c r="Z766">
        <v>0</v>
      </c>
      <c r="AA766" t="s">
        <v>43</v>
      </c>
      <c r="AB766">
        <v>22.98</v>
      </c>
      <c r="AD766" t="s">
        <v>4845</v>
      </c>
      <c r="AE766" t="s">
        <v>4846</v>
      </c>
    </row>
    <row r="767" spans="1:31" x14ac:dyDescent="0.25">
      <c r="A767" t="s">
        <v>31</v>
      </c>
      <c r="C767" t="s">
        <v>10037</v>
      </c>
      <c r="D767" t="s">
        <v>5093</v>
      </c>
      <c r="E767" t="s">
        <v>34</v>
      </c>
      <c r="F767" t="s">
        <v>76</v>
      </c>
      <c r="G767">
        <v>2020</v>
      </c>
      <c r="H767" t="s">
        <v>36</v>
      </c>
      <c r="I767" t="s">
        <v>10042</v>
      </c>
      <c r="J767" t="s">
        <v>31</v>
      </c>
      <c r="K767" t="s">
        <v>38</v>
      </c>
      <c r="L767" t="s">
        <v>86</v>
      </c>
      <c r="M767" t="s">
        <v>87</v>
      </c>
      <c r="N767" t="s">
        <v>88</v>
      </c>
      <c r="O767" t="s">
        <v>554</v>
      </c>
      <c r="P767" t="s">
        <v>2216</v>
      </c>
      <c r="T767">
        <v>42.002538000000001</v>
      </c>
      <c r="U767">
        <v>-87.951227000000003</v>
      </c>
      <c r="V767">
        <f>SUM(W767:X767)+(Y767*0.8)+(Z767*0.4)</f>
        <v>19</v>
      </c>
      <c r="W767">
        <v>15</v>
      </c>
      <c r="X767">
        <v>0</v>
      </c>
      <c r="Y767">
        <v>5</v>
      </c>
      <c r="Z767">
        <v>0</v>
      </c>
      <c r="AA767" t="s">
        <v>43</v>
      </c>
      <c r="AB767">
        <v>20</v>
      </c>
      <c r="AD767" t="s">
        <v>10043</v>
      </c>
      <c r="AE767" t="s">
        <v>10044</v>
      </c>
    </row>
    <row r="768" spans="1:31" x14ac:dyDescent="0.25">
      <c r="A768" t="s">
        <v>31</v>
      </c>
      <c r="C768" t="s">
        <v>3849</v>
      </c>
      <c r="D768" t="s">
        <v>4590</v>
      </c>
      <c r="E768" t="s">
        <v>34</v>
      </c>
      <c r="F768" t="s">
        <v>35</v>
      </c>
      <c r="G768">
        <v>2001</v>
      </c>
      <c r="H768" t="s">
        <v>36</v>
      </c>
      <c r="I768" t="s">
        <v>4591</v>
      </c>
      <c r="J768" t="s">
        <v>31</v>
      </c>
      <c r="K768" t="s">
        <v>38</v>
      </c>
      <c r="L768" t="s">
        <v>86</v>
      </c>
      <c r="M768" t="s">
        <v>87</v>
      </c>
      <c r="N768" t="s">
        <v>88</v>
      </c>
      <c r="O768" t="s">
        <v>89</v>
      </c>
      <c r="P768" t="s">
        <v>4322</v>
      </c>
      <c r="S768" t="s">
        <v>4592</v>
      </c>
      <c r="T768">
        <v>41.853973000000003</v>
      </c>
      <c r="U768">
        <v>-87.618251999999998</v>
      </c>
      <c r="V768">
        <f>SUM(W768:X768)+(Y768*0.8)+(Z768*0.4)</f>
        <v>18.7</v>
      </c>
      <c r="W768">
        <v>18.7</v>
      </c>
      <c r="X768">
        <v>0</v>
      </c>
      <c r="Y768">
        <v>0</v>
      </c>
      <c r="Z768">
        <v>0</v>
      </c>
      <c r="AA768" t="s">
        <v>43</v>
      </c>
      <c r="AB768">
        <v>17.52</v>
      </c>
      <c r="AD768" t="s">
        <v>4593</v>
      </c>
      <c r="AE768" t="s">
        <v>4594</v>
      </c>
    </row>
    <row r="769" spans="1:31" x14ac:dyDescent="0.25">
      <c r="A769" t="s">
        <v>31</v>
      </c>
      <c r="C769" t="s">
        <v>3312</v>
      </c>
      <c r="D769" t="s">
        <v>3322</v>
      </c>
      <c r="E769" t="s">
        <v>34</v>
      </c>
      <c r="F769" t="s">
        <v>66</v>
      </c>
      <c r="G769">
        <v>2015</v>
      </c>
      <c r="H769" t="s">
        <v>36</v>
      </c>
      <c r="I769" t="s">
        <v>3323</v>
      </c>
      <c r="J769" t="s">
        <v>31</v>
      </c>
      <c r="K769" t="s">
        <v>38</v>
      </c>
      <c r="L769" t="s">
        <v>68</v>
      </c>
      <c r="M769" t="s">
        <v>69</v>
      </c>
      <c r="N769" t="s">
        <v>1350</v>
      </c>
      <c r="O769" t="s">
        <v>1351</v>
      </c>
      <c r="P769" t="s">
        <v>3319</v>
      </c>
      <c r="Q769" t="s">
        <v>2591</v>
      </c>
      <c r="T769">
        <v>30.206954</v>
      </c>
      <c r="U769">
        <v>-97.701372000000006</v>
      </c>
      <c r="V769">
        <f>SUM(W769:X769)+(Y769*0.8)+(Z769*0.4)</f>
        <v>18.600000000000001</v>
      </c>
      <c r="W769">
        <v>9</v>
      </c>
      <c r="X769">
        <v>0</v>
      </c>
      <c r="Y769">
        <v>9</v>
      </c>
      <c r="Z769">
        <v>6</v>
      </c>
      <c r="AA769" t="s">
        <v>43</v>
      </c>
      <c r="AB769">
        <v>8</v>
      </c>
      <c r="AD769" t="s">
        <v>3324</v>
      </c>
      <c r="AE769" t="s">
        <v>3325</v>
      </c>
    </row>
    <row r="770" spans="1:31" x14ac:dyDescent="0.25">
      <c r="A770" t="s">
        <v>31</v>
      </c>
      <c r="C770" t="s">
        <v>5765</v>
      </c>
      <c r="D770" t="s">
        <v>5889</v>
      </c>
      <c r="E770" t="s">
        <v>34</v>
      </c>
      <c r="F770" t="s">
        <v>66</v>
      </c>
      <c r="G770">
        <v>2016</v>
      </c>
      <c r="H770" t="s">
        <v>36</v>
      </c>
      <c r="I770" t="s">
        <v>5890</v>
      </c>
      <c r="J770" t="s">
        <v>31</v>
      </c>
      <c r="K770" t="s">
        <v>38</v>
      </c>
      <c r="L770" t="s">
        <v>133</v>
      </c>
      <c r="M770" t="s">
        <v>134</v>
      </c>
      <c r="N770" t="s">
        <v>419</v>
      </c>
      <c r="O770" t="s">
        <v>420</v>
      </c>
      <c r="P770" t="s">
        <v>421</v>
      </c>
      <c r="T770">
        <v>45.558023034000001</v>
      </c>
      <c r="U770">
        <v>-122.916928244</v>
      </c>
      <c r="V770">
        <f>SUM(W770:X770)+(Y770*0.8)+(Z770*0.4)</f>
        <v>18.5</v>
      </c>
      <c r="W770">
        <v>18.5</v>
      </c>
      <c r="X770">
        <v>0</v>
      </c>
      <c r="Y770">
        <v>0</v>
      </c>
      <c r="Z770">
        <v>0</v>
      </c>
      <c r="AA770" t="s">
        <v>43</v>
      </c>
      <c r="AB770">
        <v>17.600000000000001</v>
      </c>
      <c r="AC770">
        <v>1.3</v>
      </c>
      <c r="AD770" t="s">
        <v>5891</v>
      </c>
      <c r="AE770" t="s">
        <v>5892</v>
      </c>
    </row>
    <row r="771" spans="1:31" x14ac:dyDescent="0.25">
      <c r="A771" t="s">
        <v>31</v>
      </c>
      <c r="C771" t="s">
        <v>6381</v>
      </c>
      <c r="D771" t="s">
        <v>6395</v>
      </c>
      <c r="E771" t="s">
        <v>34</v>
      </c>
      <c r="F771" t="s">
        <v>66</v>
      </c>
      <c r="G771">
        <v>2012</v>
      </c>
      <c r="H771" t="s">
        <v>36</v>
      </c>
      <c r="I771" t="s">
        <v>6396</v>
      </c>
      <c r="J771" t="s">
        <v>31</v>
      </c>
      <c r="K771" t="s">
        <v>38</v>
      </c>
      <c r="L771" t="s">
        <v>383</v>
      </c>
      <c r="M771" t="s">
        <v>384</v>
      </c>
      <c r="N771" t="s">
        <v>2270</v>
      </c>
      <c r="O771" t="s">
        <v>2271</v>
      </c>
      <c r="P771" t="s">
        <v>4718</v>
      </c>
      <c r="S771" t="s">
        <v>288</v>
      </c>
      <c r="T771">
        <v>35.329901409999998</v>
      </c>
      <c r="U771">
        <v>-80.765845545000005</v>
      </c>
      <c r="V771">
        <f>SUM(W771:X771)+(Y771*0.8)+(Z771*0.4)</f>
        <v>18.5</v>
      </c>
      <c r="W771">
        <v>3.3</v>
      </c>
      <c r="X771">
        <v>0</v>
      </c>
      <c r="Y771">
        <v>0</v>
      </c>
      <c r="Z771">
        <v>38</v>
      </c>
      <c r="AA771" t="s">
        <v>43</v>
      </c>
      <c r="AB771">
        <v>1.3</v>
      </c>
      <c r="AD771" t="s">
        <v>6397</v>
      </c>
      <c r="AE771" t="s">
        <v>6398</v>
      </c>
    </row>
    <row r="772" spans="1:31" x14ac:dyDescent="0.25">
      <c r="A772" t="s">
        <v>31</v>
      </c>
      <c r="C772" t="s">
        <v>6015</v>
      </c>
      <c r="D772" t="s">
        <v>6016</v>
      </c>
      <c r="E772" t="s">
        <v>362</v>
      </c>
      <c r="F772" t="s">
        <v>1302</v>
      </c>
      <c r="G772">
        <v>2024</v>
      </c>
      <c r="H772" t="s">
        <v>36</v>
      </c>
      <c r="I772" t="s">
        <v>6017</v>
      </c>
      <c r="J772" t="s">
        <v>31</v>
      </c>
      <c r="K772" t="s">
        <v>38</v>
      </c>
      <c r="L772" t="s">
        <v>143</v>
      </c>
      <c r="M772" t="s">
        <v>144</v>
      </c>
      <c r="N772" t="s">
        <v>894</v>
      </c>
      <c r="O772" t="s">
        <v>895</v>
      </c>
      <c r="P772" t="s">
        <v>896</v>
      </c>
      <c r="Q772" t="s">
        <v>897</v>
      </c>
      <c r="T772">
        <v>41.607242384000003</v>
      </c>
      <c r="U772">
        <v>-87.152945989000003</v>
      </c>
      <c r="V772">
        <f>SUM(W772:X772)+(Y772*0.8)+(Z772*0.4)</f>
        <v>18.400000000000002</v>
      </c>
      <c r="W772">
        <v>0</v>
      </c>
      <c r="X772">
        <v>0</v>
      </c>
      <c r="Y772">
        <v>0</v>
      </c>
      <c r="Z772">
        <v>46</v>
      </c>
      <c r="AA772" t="s">
        <v>43</v>
      </c>
      <c r="AB772">
        <v>0</v>
      </c>
      <c r="AD772" t="s">
        <v>6018</v>
      </c>
      <c r="AE772" t="s">
        <v>6019</v>
      </c>
    </row>
    <row r="773" spans="1:31" x14ac:dyDescent="0.25">
      <c r="A773" t="s">
        <v>31</v>
      </c>
      <c r="C773" t="s">
        <v>3312</v>
      </c>
      <c r="D773" t="s">
        <v>3393</v>
      </c>
      <c r="E773" t="s">
        <v>34</v>
      </c>
      <c r="F773" t="s">
        <v>66</v>
      </c>
      <c r="G773">
        <v>2025</v>
      </c>
      <c r="H773" t="s">
        <v>36</v>
      </c>
      <c r="I773" t="s">
        <v>3394</v>
      </c>
      <c r="J773" t="s">
        <v>31</v>
      </c>
      <c r="K773" t="s">
        <v>38</v>
      </c>
      <c r="L773" t="s">
        <v>86</v>
      </c>
      <c r="M773" t="s">
        <v>87</v>
      </c>
      <c r="N773" t="s">
        <v>2215</v>
      </c>
      <c r="O773" t="s">
        <v>3395</v>
      </c>
      <c r="P773" t="s">
        <v>3396</v>
      </c>
      <c r="Q773" t="s">
        <v>3397</v>
      </c>
      <c r="T773">
        <v>41.977989000000001</v>
      </c>
      <c r="U773">
        <v>-87.961686999999998</v>
      </c>
      <c r="V773">
        <f>SUM(W773:X773)+(Y773*0.8)+(Z773*0.4)</f>
        <v>18</v>
      </c>
      <c r="W773">
        <v>0</v>
      </c>
      <c r="X773">
        <v>18</v>
      </c>
      <c r="Y773">
        <v>0</v>
      </c>
      <c r="Z773">
        <v>0</v>
      </c>
      <c r="AA773" t="s">
        <v>43</v>
      </c>
      <c r="AB773">
        <v>0</v>
      </c>
      <c r="AD773" t="s">
        <v>3398</v>
      </c>
      <c r="AE773" t="s">
        <v>3399</v>
      </c>
    </row>
    <row r="774" spans="1:31" x14ac:dyDescent="0.25">
      <c r="A774" t="s">
        <v>31</v>
      </c>
      <c r="C774" t="s">
        <v>10208</v>
      </c>
      <c r="D774" t="s">
        <v>10260</v>
      </c>
      <c r="E774" t="s">
        <v>34</v>
      </c>
      <c r="F774" t="s">
        <v>76</v>
      </c>
      <c r="G774">
        <v>2023</v>
      </c>
      <c r="H774" t="s">
        <v>36</v>
      </c>
      <c r="I774" t="s">
        <v>10261</v>
      </c>
      <c r="J774" t="s">
        <v>31</v>
      </c>
      <c r="K774" t="s">
        <v>38</v>
      </c>
      <c r="L774" t="s">
        <v>133</v>
      </c>
      <c r="M774" t="s">
        <v>134</v>
      </c>
      <c r="N774" t="s">
        <v>419</v>
      </c>
      <c r="O774" t="s">
        <v>420</v>
      </c>
      <c r="P774" t="s">
        <v>421</v>
      </c>
      <c r="S774" t="s">
        <v>4613</v>
      </c>
      <c r="T774">
        <v>45.555454777999998</v>
      </c>
      <c r="U774">
        <v>-122.938869748</v>
      </c>
      <c r="V774">
        <f>SUM(W774:X774)+(Y774*0.8)+(Z774*0.4)</f>
        <v>18</v>
      </c>
      <c r="W774">
        <v>13.5</v>
      </c>
      <c r="X774">
        <v>4.5</v>
      </c>
      <c r="Y774">
        <v>0</v>
      </c>
      <c r="Z774">
        <v>0</v>
      </c>
      <c r="AA774" t="s">
        <v>43</v>
      </c>
      <c r="AB774">
        <v>10.5</v>
      </c>
      <c r="AD774" t="s">
        <v>10262</v>
      </c>
      <c r="AE774" t="s">
        <v>10263</v>
      </c>
    </row>
    <row r="775" spans="1:31" x14ac:dyDescent="0.25">
      <c r="A775" t="s">
        <v>31</v>
      </c>
      <c r="C775" t="s">
        <v>3312</v>
      </c>
      <c r="D775" t="s">
        <v>3497</v>
      </c>
      <c r="E775" t="s">
        <v>34</v>
      </c>
      <c r="F775" t="s">
        <v>35</v>
      </c>
      <c r="G775">
        <v>2021</v>
      </c>
      <c r="H775" t="s">
        <v>36</v>
      </c>
      <c r="I775" t="s">
        <v>3498</v>
      </c>
      <c r="J775" t="s">
        <v>31</v>
      </c>
      <c r="K775" t="s">
        <v>38</v>
      </c>
      <c r="L775" t="s">
        <v>1433</v>
      </c>
      <c r="M775" t="s">
        <v>1434</v>
      </c>
      <c r="N775" t="s">
        <v>3499</v>
      </c>
      <c r="O775" t="s">
        <v>3500</v>
      </c>
      <c r="P775" t="s">
        <v>3501</v>
      </c>
      <c r="T775">
        <v>41.212197056999997</v>
      </c>
      <c r="U775">
        <v>-95.877937419000006</v>
      </c>
      <c r="V775">
        <f>SUM(W775:X775)+(Y775*0.8)+(Z775*0.4)</f>
        <v>18</v>
      </c>
      <c r="W775">
        <v>18</v>
      </c>
      <c r="X775">
        <v>0</v>
      </c>
      <c r="Y775">
        <v>0</v>
      </c>
      <c r="Z775">
        <v>0</v>
      </c>
      <c r="AA775" t="s">
        <v>43</v>
      </c>
      <c r="AB775">
        <v>17.5</v>
      </c>
      <c r="AD775" t="s">
        <v>3502</v>
      </c>
      <c r="AE775" t="s">
        <v>3503</v>
      </c>
    </row>
    <row r="776" spans="1:31" x14ac:dyDescent="0.25">
      <c r="A776" t="s">
        <v>31</v>
      </c>
      <c r="C776" t="s">
        <v>3052</v>
      </c>
      <c r="D776" t="s">
        <v>3068</v>
      </c>
      <c r="E776" t="s">
        <v>34</v>
      </c>
      <c r="F776" t="s">
        <v>35</v>
      </c>
      <c r="G776">
        <v>2020</v>
      </c>
      <c r="H776" t="s">
        <v>36</v>
      </c>
      <c r="I776" t="s">
        <v>3069</v>
      </c>
      <c r="J776" t="s">
        <v>31</v>
      </c>
      <c r="K776" t="s">
        <v>38</v>
      </c>
      <c r="L776" t="s">
        <v>86</v>
      </c>
      <c r="M776" t="s">
        <v>87</v>
      </c>
      <c r="N776" t="s">
        <v>88</v>
      </c>
      <c r="O776" t="s">
        <v>89</v>
      </c>
      <c r="P776" t="s">
        <v>96</v>
      </c>
      <c r="S776" t="s">
        <v>3070</v>
      </c>
      <c r="T776">
        <v>41.862855000000003</v>
      </c>
      <c r="U776">
        <v>-87.641292000000007</v>
      </c>
      <c r="V776">
        <f>SUM(W776:X776)+(Y776*0.8)+(Z776*0.4)</f>
        <v>18</v>
      </c>
      <c r="W776">
        <v>12</v>
      </c>
      <c r="X776">
        <v>6</v>
      </c>
      <c r="Y776">
        <v>0</v>
      </c>
      <c r="Z776">
        <v>0</v>
      </c>
      <c r="AA776" t="s">
        <v>43</v>
      </c>
      <c r="AB776">
        <v>4.4800000000000004</v>
      </c>
      <c r="AD776" t="s">
        <v>3071</v>
      </c>
      <c r="AE776" t="s">
        <v>3072</v>
      </c>
    </row>
    <row r="777" spans="1:31" x14ac:dyDescent="0.25">
      <c r="A777" t="s">
        <v>31</v>
      </c>
      <c r="C777" t="s">
        <v>3052</v>
      </c>
      <c r="D777" t="s">
        <v>3111</v>
      </c>
      <c r="E777" t="s">
        <v>34</v>
      </c>
      <c r="F777" t="s">
        <v>66</v>
      </c>
      <c r="G777">
        <v>2020</v>
      </c>
      <c r="H777" t="s">
        <v>36</v>
      </c>
      <c r="I777" t="s">
        <v>3112</v>
      </c>
      <c r="J777" t="s">
        <v>31</v>
      </c>
      <c r="K777" t="s">
        <v>38</v>
      </c>
      <c r="L777" t="s">
        <v>172</v>
      </c>
      <c r="M777" t="s">
        <v>173</v>
      </c>
      <c r="N777" t="s">
        <v>493</v>
      </c>
      <c r="O777" t="s">
        <v>494</v>
      </c>
      <c r="P777" t="s">
        <v>3107</v>
      </c>
      <c r="S777" t="s">
        <v>472</v>
      </c>
      <c r="T777">
        <v>34.058900993999998</v>
      </c>
      <c r="U777">
        <v>-118.235112542</v>
      </c>
      <c r="V777">
        <f>SUM(W777:X777)+(Y777*0.8)+(Z777*0.4)</f>
        <v>18</v>
      </c>
      <c r="W777">
        <v>6</v>
      </c>
      <c r="X777">
        <v>12</v>
      </c>
      <c r="Y777">
        <v>0</v>
      </c>
      <c r="Z777">
        <v>0</v>
      </c>
      <c r="AA777" t="s">
        <v>43</v>
      </c>
      <c r="AB777">
        <v>10.6</v>
      </c>
      <c r="AD777" t="s">
        <v>3113</v>
      </c>
      <c r="AE777" t="s">
        <v>3114</v>
      </c>
    </row>
    <row r="778" spans="1:31" x14ac:dyDescent="0.25">
      <c r="A778" t="s">
        <v>31</v>
      </c>
      <c r="C778" t="s">
        <v>5765</v>
      </c>
      <c r="D778" t="s">
        <v>5814</v>
      </c>
      <c r="E778" t="s">
        <v>34</v>
      </c>
      <c r="F778" t="s">
        <v>35</v>
      </c>
      <c r="G778">
        <v>2014</v>
      </c>
      <c r="H778" t="s">
        <v>36</v>
      </c>
      <c r="I778" t="s">
        <v>5815</v>
      </c>
      <c r="J778" t="s">
        <v>31</v>
      </c>
      <c r="K778" t="s">
        <v>38</v>
      </c>
      <c r="L778" t="s">
        <v>193</v>
      </c>
      <c r="M778" t="s">
        <v>194</v>
      </c>
      <c r="N778" t="s">
        <v>155</v>
      </c>
      <c r="O778" t="s">
        <v>2128</v>
      </c>
      <c r="P778" t="s">
        <v>2129</v>
      </c>
      <c r="T778">
        <v>39.558758361000002</v>
      </c>
      <c r="U778">
        <v>-104.838438012</v>
      </c>
      <c r="V778">
        <f>SUM(W778:X778)+(Y778*0.8)+(Z778*0.4)</f>
        <v>18</v>
      </c>
      <c r="W778">
        <v>18</v>
      </c>
      <c r="X778">
        <v>0</v>
      </c>
      <c r="Y778">
        <v>0</v>
      </c>
      <c r="Z778">
        <v>0</v>
      </c>
      <c r="AA778" t="s">
        <v>43</v>
      </c>
      <c r="AB778">
        <v>15.75</v>
      </c>
      <c r="AC778">
        <v>1.3</v>
      </c>
      <c r="AD778" t="s">
        <v>5816</v>
      </c>
      <c r="AE778" t="s">
        <v>5817</v>
      </c>
    </row>
    <row r="779" spans="1:31" x14ac:dyDescent="0.25">
      <c r="A779" t="s">
        <v>31</v>
      </c>
      <c r="C779" t="s">
        <v>6381</v>
      </c>
      <c r="D779" t="s">
        <v>596</v>
      </c>
      <c r="E779" t="s">
        <v>34</v>
      </c>
      <c r="F779" t="s">
        <v>35</v>
      </c>
      <c r="G779">
        <v>2013</v>
      </c>
      <c r="H779" t="s">
        <v>36</v>
      </c>
      <c r="I779" t="s">
        <v>6392</v>
      </c>
      <c r="J779" t="s">
        <v>31</v>
      </c>
      <c r="K779" t="s">
        <v>38</v>
      </c>
      <c r="L779" t="s">
        <v>326</v>
      </c>
      <c r="M779" t="s">
        <v>327</v>
      </c>
      <c r="N779" t="s">
        <v>328</v>
      </c>
      <c r="O779" t="s">
        <v>596</v>
      </c>
      <c r="P779" t="s">
        <v>602</v>
      </c>
      <c r="T779">
        <v>33.277174907000003</v>
      </c>
      <c r="U779">
        <v>-111.885736802</v>
      </c>
      <c r="V779">
        <f>SUM(W779:X779)+(Y779*0.8)+(Z779*0.4)</f>
        <v>18</v>
      </c>
      <c r="W779">
        <v>18</v>
      </c>
      <c r="X779">
        <v>0</v>
      </c>
      <c r="Y779">
        <v>0</v>
      </c>
      <c r="Z779">
        <v>0</v>
      </c>
      <c r="AA779" t="s">
        <v>43</v>
      </c>
      <c r="AB779">
        <v>14.5</v>
      </c>
      <c r="AC779">
        <v>1.17</v>
      </c>
      <c r="AD779" t="s">
        <v>6393</v>
      </c>
      <c r="AE779" t="s">
        <v>6394</v>
      </c>
    </row>
    <row r="780" spans="1:31" x14ac:dyDescent="0.25">
      <c r="A780" t="s">
        <v>31</v>
      </c>
      <c r="C780" t="s">
        <v>6381</v>
      </c>
      <c r="D780" t="s">
        <v>6386</v>
      </c>
      <c r="E780" t="s">
        <v>34</v>
      </c>
      <c r="F780" t="s">
        <v>35</v>
      </c>
      <c r="G780">
        <v>2010</v>
      </c>
      <c r="H780" t="s">
        <v>36</v>
      </c>
      <c r="I780" t="s">
        <v>6387</v>
      </c>
      <c r="J780" t="s">
        <v>31</v>
      </c>
      <c r="K780" t="s">
        <v>38</v>
      </c>
      <c r="L780" t="s">
        <v>123</v>
      </c>
      <c r="M780" t="s">
        <v>124</v>
      </c>
      <c r="N780" t="s">
        <v>365</v>
      </c>
      <c r="O780" t="s">
        <v>6388</v>
      </c>
      <c r="P780" t="s">
        <v>6389</v>
      </c>
      <c r="T780">
        <v>43.168698912000004</v>
      </c>
      <c r="U780">
        <v>-78.751586682999999</v>
      </c>
      <c r="V780">
        <f>SUM(W780:X780)+(Y780*0.8)+(Z780*0.4)</f>
        <v>18</v>
      </c>
      <c r="W780">
        <v>18</v>
      </c>
      <c r="X780">
        <v>0</v>
      </c>
      <c r="Y780">
        <v>0</v>
      </c>
      <c r="Z780">
        <v>0</v>
      </c>
      <c r="AA780" t="s">
        <v>43</v>
      </c>
      <c r="AB780">
        <v>18</v>
      </c>
      <c r="AD780" t="s">
        <v>6390</v>
      </c>
      <c r="AE780" t="s">
        <v>6391</v>
      </c>
    </row>
    <row r="781" spans="1:31" x14ac:dyDescent="0.25">
      <c r="A781" t="s">
        <v>31</v>
      </c>
      <c r="C781" t="s">
        <v>2064</v>
      </c>
      <c r="D781" t="s">
        <v>2153</v>
      </c>
      <c r="E781" t="s">
        <v>34</v>
      </c>
      <c r="F781" t="s">
        <v>35</v>
      </c>
      <c r="G781">
        <v>2007</v>
      </c>
      <c r="H781" t="s">
        <v>36</v>
      </c>
      <c r="I781" t="s">
        <v>2154</v>
      </c>
      <c r="J781" t="s">
        <v>31</v>
      </c>
      <c r="K781" t="s">
        <v>38</v>
      </c>
      <c r="L781" t="s">
        <v>39</v>
      </c>
      <c r="M781" t="s">
        <v>40</v>
      </c>
      <c r="N781" t="s">
        <v>253</v>
      </c>
      <c r="O781" t="s">
        <v>2155</v>
      </c>
      <c r="P781" t="s">
        <v>2156</v>
      </c>
      <c r="T781">
        <v>40.553933893</v>
      </c>
      <c r="U781">
        <v>-74.457163660000006</v>
      </c>
      <c r="V781">
        <f>SUM(W781:X781)+(Y781*0.8)+(Z781*0.4)</f>
        <v>18</v>
      </c>
      <c r="W781">
        <v>18</v>
      </c>
      <c r="X781">
        <v>0</v>
      </c>
      <c r="Y781">
        <v>0</v>
      </c>
      <c r="Z781">
        <v>0</v>
      </c>
      <c r="AA781" t="s">
        <v>43</v>
      </c>
      <c r="AB781">
        <v>13.5</v>
      </c>
      <c r="AD781" t="s">
        <v>2157</v>
      </c>
      <c r="AE781" t="s">
        <v>2158</v>
      </c>
    </row>
    <row r="782" spans="1:31" x14ac:dyDescent="0.25">
      <c r="A782" t="s">
        <v>31</v>
      </c>
      <c r="C782" t="s">
        <v>6615</v>
      </c>
      <c r="D782" t="s">
        <v>6616</v>
      </c>
      <c r="E782" t="s">
        <v>34</v>
      </c>
      <c r="F782" t="s">
        <v>35</v>
      </c>
      <c r="G782">
        <v>2012</v>
      </c>
      <c r="H782" t="s">
        <v>36</v>
      </c>
      <c r="I782" t="s">
        <v>5540</v>
      </c>
      <c r="J782" t="s">
        <v>31</v>
      </c>
      <c r="K782" t="s">
        <v>38</v>
      </c>
      <c r="L782" t="s">
        <v>123</v>
      </c>
      <c r="M782" t="s">
        <v>124</v>
      </c>
      <c r="N782" t="s">
        <v>270</v>
      </c>
      <c r="O782" t="s">
        <v>123</v>
      </c>
      <c r="P782" t="s">
        <v>3117</v>
      </c>
      <c r="Q782" t="s">
        <v>272</v>
      </c>
      <c r="S782" t="s">
        <v>273</v>
      </c>
      <c r="T782">
        <v>40.717720999999997</v>
      </c>
      <c r="U782">
        <v>-74.010099999999994</v>
      </c>
      <c r="V782">
        <f>SUM(W782:X782)+(Y782*0.8)+(Z782*0.4)</f>
        <v>17.8</v>
      </c>
      <c r="W782">
        <v>15</v>
      </c>
      <c r="X782">
        <v>2</v>
      </c>
      <c r="Y782">
        <v>1</v>
      </c>
      <c r="Z782">
        <v>0</v>
      </c>
      <c r="AA782" t="s">
        <v>43</v>
      </c>
      <c r="AB782">
        <v>15.2</v>
      </c>
      <c r="AD782" t="s">
        <v>6617</v>
      </c>
      <c r="AE782" t="s">
        <v>6618</v>
      </c>
    </row>
    <row r="783" spans="1:31" x14ac:dyDescent="0.25">
      <c r="A783" t="s">
        <v>31</v>
      </c>
      <c r="C783" t="s">
        <v>9430</v>
      </c>
      <c r="D783" t="s">
        <v>9435</v>
      </c>
      <c r="E783" t="s">
        <v>34</v>
      </c>
      <c r="F783" t="s">
        <v>66</v>
      </c>
      <c r="G783">
        <v>2011</v>
      </c>
      <c r="H783" t="s">
        <v>36</v>
      </c>
      <c r="I783" t="s">
        <v>9436</v>
      </c>
      <c r="J783" t="s">
        <v>31</v>
      </c>
      <c r="K783" t="s">
        <v>38</v>
      </c>
      <c r="L783" t="s">
        <v>185</v>
      </c>
      <c r="M783" t="s">
        <v>186</v>
      </c>
      <c r="N783" t="s">
        <v>187</v>
      </c>
      <c r="O783" t="s">
        <v>1606</v>
      </c>
      <c r="P783" t="s">
        <v>4187</v>
      </c>
      <c r="Q783" t="s">
        <v>4415</v>
      </c>
      <c r="T783">
        <v>33.755863511000001</v>
      </c>
      <c r="U783">
        <v>-84.391058443000006</v>
      </c>
      <c r="V783">
        <f>SUM(W783:X783)+(Y783*0.8)+(Z783*0.4)</f>
        <v>17.8</v>
      </c>
      <c r="W783">
        <v>13</v>
      </c>
      <c r="X783">
        <v>0</v>
      </c>
      <c r="Y783">
        <v>0</v>
      </c>
      <c r="Z783">
        <v>12</v>
      </c>
      <c r="AA783" t="s">
        <v>43</v>
      </c>
      <c r="AB783">
        <v>13</v>
      </c>
      <c r="AD783" t="s">
        <v>9437</v>
      </c>
      <c r="AE783" t="s">
        <v>9438</v>
      </c>
    </row>
    <row r="784" spans="1:31" x14ac:dyDescent="0.25">
      <c r="A784" t="s">
        <v>31</v>
      </c>
      <c r="C784" t="s">
        <v>5181</v>
      </c>
      <c r="D784" t="s">
        <v>5436</v>
      </c>
      <c r="E784" t="s">
        <v>34</v>
      </c>
      <c r="F784" t="s">
        <v>66</v>
      </c>
      <c r="G784">
        <v>2025</v>
      </c>
      <c r="H784" t="s">
        <v>36</v>
      </c>
      <c r="I784" t="s">
        <v>5437</v>
      </c>
      <c r="J784" t="s">
        <v>31</v>
      </c>
      <c r="K784" t="s">
        <v>38</v>
      </c>
      <c r="L784" t="s">
        <v>172</v>
      </c>
      <c r="M784" t="s">
        <v>173</v>
      </c>
      <c r="N784" t="s">
        <v>780</v>
      </c>
      <c r="O784" t="s">
        <v>2067</v>
      </c>
      <c r="P784" t="s">
        <v>5425</v>
      </c>
      <c r="S784" t="s">
        <v>5438</v>
      </c>
      <c r="T784">
        <v>37.240701192000003</v>
      </c>
      <c r="U784">
        <v>-121.78579033600001</v>
      </c>
      <c r="V784">
        <f>SUM(W784:X784)+(Y784*0.8)+(Z784*0.4)</f>
        <v>17.600000000000001</v>
      </c>
      <c r="W784">
        <v>14</v>
      </c>
      <c r="X784">
        <v>0</v>
      </c>
      <c r="Y784">
        <v>0</v>
      </c>
      <c r="Z784">
        <v>9</v>
      </c>
      <c r="AA784" t="s">
        <v>43</v>
      </c>
      <c r="AB784">
        <v>13</v>
      </c>
      <c r="AD784" t="s">
        <v>5439</v>
      </c>
      <c r="AE784" t="s">
        <v>5440</v>
      </c>
    </row>
    <row r="785" spans="1:31" x14ac:dyDescent="0.25">
      <c r="A785" t="s">
        <v>31</v>
      </c>
      <c r="C785" t="s">
        <v>4035</v>
      </c>
      <c r="D785" t="s">
        <v>4082</v>
      </c>
      <c r="E785" t="s">
        <v>34</v>
      </c>
      <c r="F785" t="s">
        <v>66</v>
      </c>
      <c r="G785">
        <v>2027</v>
      </c>
      <c r="H785" t="s">
        <v>36</v>
      </c>
      <c r="I785" t="s">
        <v>4083</v>
      </c>
      <c r="J785" t="s">
        <v>31</v>
      </c>
      <c r="K785" t="s">
        <v>38</v>
      </c>
      <c r="L785" t="s">
        <v>1883</v>
      </c>
      <c r="M785" t="s">
        <v>1884</v>
      </c>
      <c r="N785" t="s">
        <v>3641</v>
      </c>
      <c r="O785" t="s">
        <v>4084</v>
      </c>
      <c r="P785" t="s">
        <v>4085</v>
      </c>
      <c r="T785">
        <v>32.269434111000002</v>
      </c>
      <c r="U785">
        <v>-86.372551173999994</v>
      </c>
      <c r="V785">
        <f>SUM(W785:X785)+(Y785*0.8)+(Z785*0.4)</f>
        <v>17.3</v>
      </c>
      <c r="W785">
        <v>0</v>
      </c>
      <c r="X785">
        <v>2.5</v>
      </c>
      <c r="Y785">
        <v>2.5</v>
      </c>
      <c r="Z785">
        <v>32</v>
      </c>
      <c r="AA785" t="s">
        <v>43</v>
      </c>
      <c r="AB785">
        <v>5</v>
      </c>
      <c r="AD785" t="s">
        <v>4086</v>
      </c>
      <c r="AE785" t="s">
        <v>4087</v>
      </c>
    </row>
    <row r="786" spans="1:31" x14ac:dyDescent="0.25">
      <c r="A786" t="s">
        <v>31</v>
      </c>
      <c r="C786" t="s">
        <v>10208</v>
      </c>
      <c r="D786" t="s">
        <v>10219</v>
      </c>
      <c r="E786" t="s">
        <v>34</v>
      </c>
      <c r="F786" t="s">
        <v>35</v>
      </c>
      <c r="G786">
        <v>2012</v>
      </c>
      <c r="H786" t="s">
        <v>36</v>
      </c>
      <c r="I786" t="s">
        <v>10220</v>
      </c>
      <c r="T786">
        <v>33.921658999999998</v>
      </c>
      <c r="U786">
        <v>-118.38638</v>
      </c>
      <c r="V786">
        <f>SUM(W786:X786)+(Y786*0.8)+(Z786*0.4)</f>
        <v>17.3</v>
      </c>
      <c r="W786">
        <v>17.3</v>
      </c>
      <c r="X786">
        <v>0</v>
      </c>
      <c r="Y786">
        <v>0</v>
      </c>
      <c r="Z786">
        <v>0</v>
      </c>
      <c r="AA786" t="s">
        <v>43</v>
      </c>
      <c r="AB786">
        <v>17.3</v>
      </c>
      <c r="AC786">
        <v>1.3</v>
      </c>
      <c r="AD786" t="s">
        <v>10221</v>
      </c>
      <c r="AE786" t="s">
        <v>10222</v>
      </c>
    </row>
    <row r="787" spans="1:31" x14ac:dyDescent="0.25">
      <c r="A787" t="s">
        <v>31</v>
      </c>
      <c r="C787" t="s">
        <v>1530</v>
      </c>
      <c r="D787" t="s">
        <v>1567</v>
      </c>
      <c r="E787" t="s">
        <v>34</v>
      </c>
      <c r="F787" t="s">
        <v>35</v>
      </c>
      <c r="G787">
        <v>2010</v>
      </c>
      <c r="H787" t="s">
        <v>36</v>
      </c>
      <c r="I787" t="s">
        <v>1568</v>
      </c>
      <c r="J787" t="s">
        <v>31</v>
      </c>
      <c r="K787" t="s">
        <v>38</v>
      </c>
      <c r="L787" t="s">
        <v>112</v>
      </c>
      <c r="M787" t="s">
        <v>113</v>
      </c>
      <c r="N787" t="s">
        <v>1569</v>
      </c>
      <c r="O787" t="s">
        <v>1570</v>
      </c>
      <c r="P787" t="s">
        <v>1571</v>
      </c>
      <c r="Q787" t="s">
        <v>1570</v>
      </c>
      <c r="T787">
        <v>44.204692016999999</v>
      </c>
      <c r="U787">
        <v>-88.344934703000007</v>
      </c>
      <c r="V787">
        <f>SUM(W787:X787)+(Y787*0.8)+(Z787*0.4)</f>
        <v>17.3</v>
      </c>
      <c r="W787">
        <v>1.3</v>
      </c>
      <c r="X787">
        <v>0</v>
      </c>
      <c r="Y787">
        <v>20</v>
      </c>
      <c r="Z787">
        <v>0</v>
      </c>
      <c r="AA787" t="s">
        <v>43</v>
      </c>
      <c r="AB787">
        <v>1</v>
      </c>
      <c r="AD787" t="s">
        <v>1572</v>
      </c>
      <c r="AE787" t="s">
        <v>1573</v>
      </c>
    </row>
    <row r="788" spans="1:31" x14ac:dyDescent="0.25">
      <c r="A788" t="s">
        <v>31</v>
      </c>
      <c r="C788" t="s">
        <v>6345</v>
      </c>
      <c r="D788" t="s">
        <v>6353</v>
      </c>
      <c r="E788" t="s">
        <v>34</v>
      </c>
      <c r="F788" t="s">
        <v>76</v>
      </c>
      <c r="G788">
        <v>2026</v>
      </c>
      <c r="H788" t="s">
        <v>36</v>
      </c>
      <c r="I788" t="s">
        <v>6354</v>
      </c>
      <c r="J788" t="s">
        <v>31</v>
      </c>
      <c r="K788" t="s">
        <v>38</v>
      </c>
      <c r="L788" t="s">
        <v>1380</v>
      </c>
      <c r="M788" t="s">
        <v>1381</v>
      </c>
      <c r="N788" t="s">
        <v>6330</v>
      </c>
      <c r="O788" t="s">
        <v>6355</v>
      </c>
      <c r="P788" t="s">
        <v>6356</v>
      </c>
      <c r="T788">
        <v>41.593261775999999</v>
      </c>
      <c r="U788">
        <v>-72.334607837999997</v>
      </c>
      <c r="V788">
        <f>SUM(W788:X788)+(Y788*0.8)+(Z788*0.4)</f>
        <v>17.2</v>
      </c>
      <c r="W788">
        <v>0</v>
      </c>
      <c r="X788">
        <v>0</v>
      </c>
      <c r="Y788">
        <v>21.5</v>
      </c>
      <c r="Z788">
        <v>0</v>
      </c>
      <c r="AA788" t="s">
        <v>43</v>
      </c>
      <c r="AB788">
        <v>0</v>
      </c>
      <c r="AC788">
        <v>1.1499999999999999</v>
      </c>
      <c r="AD788" t="s">
        <v>6357</v>
      </c>
      <c r="AE788" t="s">
        <v>6358</v>
      </c>
    </row>
    <row r="789" spans="1:31" x14ac:dyDescent="0.25">
      <c r="A789" t="s">
        <v>31</v>
      </c>
      <c r="C789" t="s">
        <v>5181</v>
      </c>
      <c r="D789" t="s">
        <v>5392</v>
      </c>
      <c r="E789" t="s">
        <v>34</v>
      </c>
      <c r="F789" t="s">
        <v>35</v>
      </c>
      <c r="G789">
        <v>2024</v>
      </c>
      <c r="H789" t="s">
        <v>36</v>
      </c>
      <c r="I789" t="s">
        <v>5393</v>
      </c>
      <c r="J789" t="s">
        <v>31</v>
      </c>
      <c r="K789" t="s">
        <v>38</v>
      </c>
      <c r="L789" t="s">
        <v>39</v>
      </c>
      <c r="M789" t="s">
        <v>40</v>
      </c>
      <c r="N789" t="s">
        <v>2140</v>
      </c>
      <c r="O789" t="s">
        <v>2161</v>
      </c>
      <c r="P789" t="s">
        <v>2162</v>
      </c>
      <c r="Q789" t="s">
        <v>2161</v>
      </c>
      <c r="T789">
        <v>40.775240011999998</v>
      </c>
      <c r="U789">
        <v>-74.068042258000006</v>
      </c>
      <c r="V789">
        <f>SUM(W789:X789)+(Y789*0.8)+(Z789*0.4)</f>
        <v>17.2</v>
      </c>
      <c r="W789">
        <v>6</v>
      </c>
      <c r="X789">
        <v>11.2</v>
      </c>
      <c r="Y789">
        <v>0</v>
      </c>
      <c r="Z789">
        <v>0</v>
      </c>
      <c r="AA789" t="s">
        <v>43</v>
      </c>
      <c r="AB789">
        <v>4.8</v>
      </c>
      <c r="AD789" t="s">
        <v>5394</v>
      </c>
      <c r="AE789" t="s">
        <v>5395</v>
      </c>
    </row>
    <row r="790" spans="1:31" x14ac:dyDescent="0.25">
      <c r="A790" t="s">
        <v>31</v>
      </c>
      <c r="B790" t="s">
        <v>11350</v>
      </c>
      <c r="C790" t="s">
        <v>7857</v>
      </c>
      <c r="D790" t="s">
        <v>7916</v>
      </c>
      <c r="E790" t="s">
        <v>362</v>
      </c>
      <c r="F790" t="s">
        <v>649</v>
      </c>
      <c r="H790" t="s">
        <v>36</v>
      </c>
      <c r="I790" t="s">
        <v>7917</v>
      </c>
      <c r="J790" t="s">
        <v>31</v>
      </c>
      <c r="K790" t="s">
        <v>38</v>
      </c>
      <c r="L790" t="s">
        <v>1433</v>
      </c>
      <c r="M790" t="s">
        <v>1434</v>
      </c>
      <c r="N790" t="s">
        <v>1711</v>
      </c>
      <c r="O790" t="s">
        <v>7868</v>
      </c>
      <c r="P790" t="s">
        <v>7869</v>
      </c>
      <c r="T790">
        <v>41.524022731999999</v>
      </c>
      <c r="U790">
        <v>-93.713866183999997</v>
      </c>
      <c r="V790">
        <f>SUM(W790:X790)+(Y790*0.8)+(Z790*0.4)</f>
        <v>17.040000000000003</v>
      </c>
      <c r="W790">
        <v>0</v>
      </c>
      <c r="X790">
        <v>0</v>
      </c>
      <c r="Y790">
        <v>21.3</v>
      </c>
      <c r="Z790">
        <v>0</v>
      </c>
      <c r="AA790" t="s">
        <v>43</v>
      </c>
      <c r="AB790">
        <v>21.3</v>
      </c>
      <c r="AD790" t="s">
        <v>7918</v>
      </c>
      <c r="AE790" t="s">
        <v>7919</v>
      </c>
    </row>
    <row r="791" spans="1:31" x14ac:dyDescent="0.25">
      <c r="A791" t="s">
        <v>31</v>
      </c>
      <c r="C791" t="s">
        <v>5181</v>
      </c>
      <c r="D791" t="s">
        <v>5432</v>
      </c>
      <c r="E791" t="s">
        <v>34</v>
      </c>
      <c r="F791" t="s">
        <v>35</v>
      </c>
      <c r="G791">
        <v>2021</v>
      </c>
      <c r="H791" t="s">
        <v>36</v>
      </c>
      <c r="I791" t="s">
        <v>5433</v>
      </c>
      <c r="J791" t="s">
        <v>31</v>
      </c>
      <c r="K791" t="s">
        <v>38</v>
      </c>
      <c r="L791" t="s">
        <v>172</v>
      </c>
      <c r="M791" t="s">
        <v>173</v>
      </c>
      <c r="N791" t="s">
        <v>780</v>
      </c>
      <c r="O791" t="s">
        <v>2067</v>
      </c>
      <c r="P791" t="s">
        <v>5425</v>
      </c>
      <c r="T791">
        <v>37.243327497000003</v>
      </c>
      <c r="U791">
        <v>-121.783895818</v>
      </c>
      <c r="V791">
        <f>SUM(W791:X791)+(Y791*0.8)+(Z791*0.4)</f>
        <v>17</v>
      </c>
      <c r="W791">
        <v>17</v>
      </c>
      <c r="X791">
        <v>0</v>
      </c>
      <c r="Y791">
        <v>0</v>
      </c>
      <c r="Z791">
        <v>0</v>
      </c>
      <c r="AA791" t="s">
        <v>43</v>
      </c>
      <c r="AB791">
        <v>16.5</v>
      </c>
      <c r="AD791" t="s">
        <v>5434</v>
      </c>
      <c r="AE791" t="s">
        <v>5435</v>
      </c>
    </row>
    <row r="792" spans="1:31" x14ac:dyDescent="0.25">
      <c r="A792" t="s">
        <v>31</v>
      </c>
      <c r="C792" t="s">
        <v>9886</v>
      </c>
      <c r="D792" t="s">
        <v>9931</v>
      </c>
      <c r="E792" t="s">
        <v>34</v>
      </c>
      <c r="F792" t="s">
        <v>66</v>
      </c>
      <c r="G792">
        <v>2019</v>
      </c>
      <c r="H792" t="s">
        <v>36</v>
      </c>
      <c r="I792" t="s">
        <v>9932</v>
      </c>
      <c r="J792" t="s">
        <v>31</v>
      </c>
      <c r="K792" t="s">
        <v>38</v>
      </c>
      <c r="L792" t="s">
        <v>242</v>
      </c>
      <c r="M792" t="s">
        <v>243</v>
      </c>
      <c r="N792" t="s">
        <v>405</v>
      </c>
      <c r="O792" t="s">
        <v>516</v>
      </c>
      <c r="P792" t="s">
        <v>680</v>
      </c>
      <c r="T792">
        <v>39.005023211999998</v>
      </c>
      <c r="U792">
        <v>-77.441881131000002</v>
      </c>
      <c r="V792">
        <f>SUM(W792:X792)+(Y792*0.8)+(Z792*0.4)</f>
        <v>17</v>
      </c>
      <c r="W792">
        <v>17</v>
      </c>
      <c r="X792">
        <v>0</v>
      </c>
      <c r="Y792">
        <v>0</v>
      </c>
      <c r="Z792">
        <v>0</v>
      </c>
      <c r="AA792" t="s">
        <v>43</v>
      </c>
      <c r="AB792">
        <v>17</v>
      </c>
      <c r="AD792" t="s">
        <v>9933</v>
      </c>
      <c r="AE792" t="s">
        <v>9934</v>
      </c>
    </row>
    <row r="793" spans="1:31" x14ac:dyDescent="0.25">
      <c r="A793" t="s">
        <v>31</v>
      </c>
      <c r="B793" t="s">
        <v>11350</v>
      </c>
      <c r="C793" t="s">
        <v>647</v>
      </c>
      <c r="D793" t="s">
        <v>678</v>
      </c>
      <c r="E793" t="s">
        <v>362</v>
      </c>
      <c r="F793" t="s">
        <v>649</v>
      </c>
      <c r="G793">
        <v>2017</v>
      </c>
      <c r="H793" t="s">
        <v>36</v>
      </c>
      <c r="I793" t="s">
        <v>679</v>
      </c>
      <c r="J793" t="s">
        <v>31</v>
      </c>
      <c r="K793" t="s">
        <v>38</v>
      </c>
      <c r="L793" t="s">
        <v>242</v>
      </c>
      <c r="M793" t="s">
        <v>243</v>
      </c>
      <c r="N793" t="s">
        <v>405</v>
      </c>
      <c r="P793" t="s">
        <v>680</v>
      </c>
      <c r="T793">
        <v>38.991701524</v>
      </c>
      <c r="U793">
        <v>-77.441510358000002</v>
      </c>
      <c r="V793">
        <f>SUM(W793:X793)+(Y793*0.8)+(Z793*0.4)</f>
        <v>17</v>
      </c>
      <c r="W793">
        <v>17</v>
      </c>
      <c r="X793">
        <v>0</v>
      </c>
      <c r="Y793">
        <v>0</v>
      </c>
      <c r="Z793">
        <v>0</v>
      </c>
      <c r="AA793" t="s">
        <v>43</v>
      </c>
      <c r="AB793">
        <v>17</v>
      </c>
      <c r="AD793" t="s">
        <v>681</v>
      </c>
      <c r="AE793" t="s">
        <v>682</v>
      </c>
    </row>
    <row r="794" spans="1:31" x14ac:dyDescent="0.25">
      <c r="A794" t="s">
        <v>31</v>
      </c>
      <c r="C794" t="s">
        <v>10406</v>
      </c>
      <c r="D794" t="s">
        <v>10407</v>
      </c>
      <c r="E794" t="s">
        <v>34</v>
      </c>
      <c r="F794" t="s">
        <v>35</v>
      </c>
      <c r="G794">
        <v>2011</v>
      </c>
      <c r="H794" t="s">
        <v>36</v>
      </c>
      <c r="I794" t="s">
        <v>10408</v>
      </c>
      <c r="J794" t="s">
        <v>31</v>
      </c>
      <c r="K794" t="s">
        <v>38</v>
      </c>
      <c r="L794" t="s">
        <v>77</v>
      </c>
      <c r="M794" t="s">
        <v>78</v>
      </c>
      <c r="N794" t="s">
        <v>478</v>
      </c>
      <c r="O794" t="s">
        <v>479</v>
      </c>
      <c r="P794" t="s">
        <v>10409</v>
      </c>
      <c r="T794">
        <v>40.543981700000003</v>
      </c>
      <c r="U794">
        <v>-75.654552957999996</v>
      </c>
      <c r="V794">
        <f>SUM(W794:X794)+(Y794*0.8)+(Z794*0.4)</f>
        <v>17</v>
      </c>
      <c r="W794">
        <v>17</v>
      </c>
      <c r="X794">
        <v>0</v>
      </c>
      <c r="Y794">
        <v>0</v>
      </c>
      <c r="Z794">
        <v>0</v>
      </c>
      <c r="AA794" t="s">
        <v>43</v>
      </c>
      <c r="AB794">
        <v>16.3</v>
      </c>
      <c r="AD794" t="s">
        <v>10410</v>
      </c>
      <c r="AE794" t="s">
        <v>10411</v>
      </c>
    </row>
    <row r="795" spans="1:31" x14ac:dyDescent="0.25">
      <c r="A795" t="s">
        <v>31</v>
      </c>
      <c r="C795" t="s">
        <v>3849</v>
      </c>
      <c r="D795" t="s">
        <v>4545</v>
      </c>
      <c r="E795" t="s">
        <v>34</v>
      </c>
      <c r="F795" t="s">
        <v>66</v>
      </c>
      <c r="G795">
        <v>2017</v>
      </c>
      <c r="H795" t="s">
        <v>36</v>
      </c>
      <c r="I795" t="s">
        <v>4546</v>
      </c>
      <c r="J795" t="s">
        <v>31</v>
      </c>
      <c r="K795" t="s">
        <v>38</v>
      </c>
      <c r="L795" t="s">
        <v>242</v>
      </c>
      <c r="M795" t="s">
        <v>243</v>
      </c>
      <c r="N795" t="s">
        <v>405</v>
      </c>
      <c r="O795" t="s">
        <v>516</v>
      </c>
      <c r="P795" t="s">
        <v>517</v>
      </c>
      <c r="Q795" t="s">
        <v>1021</v>
      </c>
      <c r="T795">
        <v>39.001483757000003</v>
      </c>
      <c r="U795">
        <v>-77.479494857999995</v>
      </c>
      <c r="V795">
        <f>SUM(W795:X795)+(Y795*0.8)+(Z795*0.4)</f>
        <v>16.8</v>
      </c>
      <c r="W795">
        <v>16.8</v>
      </c>
      <c r="X795">
        <v>0</v>
      </c>
      <c r="Y795">
        <v>0</v>
      </c>
      <c r="Z795">
        <v>0</v>
      </c>
      <c r="AA795" t="s">
        <v>43</v>
      </c>
      <c r="AB795">
        <v>15.8</v>
      </c>
      <c r="AD795" t="s">
        <v>4547</v>
      </c>
      <c r="AE795" t="s">
        <v>4548</v>
      </c>
    </row>
    <row r="796" spans="1:31" x14ac:dyDescent="0.25">
      <c r="A796" t="s">
        <v>31</v>
      </c>
      <c r="C796" t="s">
        <v>9886</v>
      </c>
      <c r="D796" t="s">
        <v>4986</v>
      </c>
      <c r="E796" t="s">
        <v>34</v>
      </c>
      <c r="F796" t="s">
        <v>66</v>
      </c>
      <c r="G796">
        <v>2015</v>
      </c>
      <c r="H796" t="s">
        <v>36</v>
      </c>
      <c r="I796" t="s">
        <v>9966</v>
      </c>
      <c r="J796" t="s">
        <v>31</v>
      </c>
      <c r="K796" t="s">
        <v>38</v>
      </c>
      <c r="L796" t="s">
        <v>133</v>
      </c>
      <c r="M796" t="s">
        <v>134</v>
      </c>
      <c r="N796" t="s">
        <v>419</v>
      </c>
      <c r="O796" t="s">
        <v>420</v>
      </c>
      <c r="P796" t="s">
        <v>421</v>
      </c>
      <c r="T796">
        <v>45.549559160000001</v>
      </c>
      <c r="U796">
        <v>-122.927737904</v>
      </c>
      <c r="V796">
        <f>SUM(W796:X796)+(Y796*0.8)+(Z796*0.4)</f>
        <v>16.8</v>
      </c>
      <c r="W796">
        <v>12</v>
      </c>
      <c r="X796">
        <v>0</v>
      </c>
      <c r="Y796">
        <v>0</v>
      </c>
      <c r="Z796">
        <v>12</v>
      </c>
      <c r="AA796" t="s">
        <v>43</v>
      </c>
      <c r="AB796">
        <v>11.5</v>
      </c>
      <c r="AD796" t="s">
        <v>9967</v>
      </c>
      <c r="AE796" t="s">
        <v>9968</v>
      </c>
    </row>
    <row r="797" spans="1:31" x14ac:dyDescent="0.25">
      <c r="A797" t="s">
        <v>31</v>
      </c>
      <c r="C797" t="s">
        <v>10672</v>
      </c>
      <c r="D797" t="s">
        <v>5102</v>
      </c>
      <c r="E797" t="s">
        <v>34</v>
      </c>
      <c r="F797" t="s">
        <v>35</v>
      </c>
      <c r="G797">
        <v>2018</v>
      </c>
      <c r="H797" t="s">
        <v>36</v>
      </c>
      <c r="I797" t="s">
        <v>10673</v>
      </c>
      <c r="J797" t="s">
        <v>31</v>
      </c>
      <c r="K797" t="s">
        <v>38</v>
      </c>
      <c r="L797" t="s">
        <v>68</v>
      </c>
      <c r="M797" t="s">
        <v>69</v>
      </c>
      <c r="N797" t="s">
        <v>1951</v>
      </c>
      <c r="O797" t="s">
        <v>10674</v>
      </c>
      <c r="P797" t="s">
        <v>10675</v>
      </c>
      <c r="T797">
        <v>30.066121735999999</v>
      </c>
      <c r="U797">
        <v>-95.459035129</v>
      </c>
      <c r="V797">
        <f>SUM(W797:X797)+(Y797*0.8)+(Z797*0.4)</f>
        <v>16.600000000000001</v>
      </c>
      <c r="W797">
        <v>1</v>
      </c>
      <c r="X797">
        <v>12</v>
      </c>
      <c r="Y797">
        <v>0</v>
      </c>
      <c r="Z797">
        <v>9</v>
      </c>
      <c r="AA797" t="s">
        <v>43</v>
      </c>
      <c r="AB797">
        <v>6.5</v>
      </c>
      <c r="AD797" t="s">
        <v>10676</v>
      </c>
      <c r="AE797" t="s">
        <v>10677</v>
      </c>
    </row>
    <row r="798" spans="1:31" x14ac:dyDescent="0.25">
      <c r="A798" t="s">
        <v>31</v>
      </c>
      <c r="C798" t="s">
        <v>9886</v>
      </c>
      <c r="D798" t="s">
        <v>9887</v>
      </c>
      <c r="E798" t="s">
        <v>34</v>
      </c>
      <c r="F798" t="s">
        <v>66</v>
      </c>
      <c r="G798">
        <v>2011</v>
      </c>
      <c r="H798" t="s">
        <v>36</v>
      </c>
      <c r="I798" t="s">
        <v>9888</v>
      </c>
      <c r="J798" t="s">
        <v>31</v>
      </c>
      <c r="K798" t="s">
        <v>38</v>
      </c>
      <c r="L798" t="s">
        <v>185</v>
      </c>
      <c r="M798" t="s">
        <v>186</v>
      </c>
      <c r="N798" t="s">
        <v>187</v>
      </c>
      <c r="O798" t="s">
        <v>183</v>
      </c>
      <c r="P798" t="s">
        <v>7528</v>
      </c>
      <c r="Q798" t="s">
        <v>9889</v>
      </c>
      <c r="T798">
        <v>34.075910045000001</v>
      </c>
      <c r="U798">
        <v>-84.264287959000001</v>
      </c>
      <c r="V798">
        <f>SUM(W798:X798)+(Y798*0.8)+(Z798*0.4)</f>
        <v>16.600000000000001</v>
      </c>
      <c r="W798">
        <v>7</v>
      </c>
      <c r="X798">
        <v>0</v>
      </c>
      <c r="Y798">
        <v>12</v>
      </c>
      <c r="Z798">
        <v>0</v>
      </c>
      <c r="AA798" t="s">
        <v>43</v>
      </c>
      <c r="AB798">
        <v>6.11</v>
      </c>
      <c r="AC798">
        <v>1.45</v>
      </c>
      <c r="AD798" t="s">
        <v>9890</v>
      </c>
      <c r="AE798" t="s">
        <v>9891</v>
      </c>
    </row>
    <row r="799" spans="1:31" x14ac:dyDescent="0.25">
      <c r="A799" t="s">
        <v>31</v>
      </c>
      <c r="C799" t="s">
        <v>2064</v>
      </c>
      <c r="D799" t="s">
        <v>2159</v>
      </c>
      <c r="E799" t="s">
        <v>34</v>
      </c>
      <c r="F799" t="s">
        <v>35</v>
      </c>
      <c r="G799">
        <v>2001</v>
      </c>
      <c r="H799" t="s">
        <v>36</v>
      </c>
      <c r="I799" t="s">
        <v>2160</v>
      </c>
      <c r="J799" t="s">
        <v>31</v>
      </c>
      <c r="K799" t="s">
        <v>38</v>
      </c>
      <c r="L799" t="s">
        <v>39</v>
      </c>
      <c r="M799" t="s">
        <v>40</v>
      </c>
      <c r="N799" t="s">
        <v>2140</v>
      </c>
      <c r="O799" t="s">
        <v>2161</v>
      </c>
      <c r="P799" t="s">
        <v>2162</v>
      </c>
      <c r="T799">
        <v>40.786350978000002</v>
      </c>
      <c r="U799">
        <v>-74.069141560000006</v>
      </c>
      <c r="V799">
        <f>SUM(W799:X799)+(Y799*0.8)+(Z799*0.4)</f>
        <v>16.600000000000001</v>
      </c>
      <c r="W799">
        <v>16.600000000000001</v>
      </c>
      <c r="X799">
        <v>0</v>
      </c>
      <c r="Y799">
        <v>0</v>
      </c>
      <c r="Z799">
        <v>0</v>
      </c>
      <c r="AA799" t="s">
        <v>43</v>
      </c>
      <c r="AB799">
        <v>16.399999999999999</v>
      </c>
      <c r="AD799" t="s">
        <v>2163</v>
      </c>
      <c r="AE799" t="s">
        <v>2164</v>
      </c>
    </row>
    <row r="800" spans="1:31" x14ac:dyDescent="0.25">
      <c r="A800" t="s">
        <v>31</v>
      </c>
      <c r="C800" t="s">
        <v>3849</v>
      </c>
      <c r="D800" t="s">
        <v>4491</v>
      </c>
      <c r="E800" t="s">
        <v>34</v>
      </c>
      <c r="F800" t="s">
        <v>66</v>
      </c>
      <c r="G800">
        <v>2009</v>
      </c>
      <c r="H800" t="s">
        <v>36</v>
      </c>
      <c r="I800" t="s">
        <v>4492</v>
      </c>
      <c r="J800" t="s">
        <v>31</v>
      </c>
      <c r="K800" t="s">
        <v>38</v>
      </c>
      <c r="L800" t="s">
        <v>68</v>
      </c>
      <c r="M800" t="s">
        <v>69</v>
      </c>
      <c r="N800" t="s">
        <v>2377</v>
      </c>
      <c r="O800" t="s">
        <v>4450</v>
      </c>
      <c r="T800">
        <v>33.001325000000001</v>
      </c>
      <c r="U800">
        <v>-96.997936999999993</v>
      </c>
      <c r="V800">
        <f>SUM(W800:X800)+(Y800*0.8)+(Z800*0.4)</f>
        <v>16.5</v>
      </c>
      <c r="W800">
        <v>16.5</v>
      </c>
      <c r="X800">
        <v>0</v>
      </c>
      <c r="Y800">
        <v>0</v>
      </c>
      <c r="Z800">
        <v>0</v>
      </c>
      <c r="AA800" t="s">
        <v>43</v>
      </c>
      <c r="AB800">
        <v>16.3</v>
      </c>
      <c r="AD800" t="s">
        <v>4493</v>
      </c>
      <c r="AE800" t="s">
        <v>4494</v>
      </c>
    </row>
    <row r="801" spans="1:31" x14ac:dyDescent="0.25">
      <c r="A801" t="s">
        <v>31</v>
      </c>
      <c r="C801" t="s">
        <v>8365</v>
      </c>
      <c r="D801" t="s">
        <v>8366</v>
      </c>
      <c r="E801" t="s">
        <v>34</v>
      </c>
      <c r="F801" t="s">
        <v>35</v>
      </c>
      <c r="G801">
        <v>2015</v>
      </c>
      <c r="H801" t="s">
        <v>36</v>
      </c>
      <c r="I801" t="s">
        <v>8367</v>
      </c>
      <c r="J801" t="s">
        <v>31</v>
      </c>
      <c r="K801" t="s">
        <v>38</v>
      </c>
      <c r="L801" t="s">
        <v>77</v>
      </c>
      <c r="M801" t="s">
        <v>78</v>
      </c>
      <c r="N801" t="s">
        <v>278</v>
      </c>
      <c r="O801" t="s">
        <v>279</v>
      </c>
      <c r="P801" t="s">
        <v>280</v>
      </c>
      <c r="S801" t="s">
        <v>281</v>
      </c>
      <c r="T801">
        <v>39.959814055000002</v>
      </c>
      <c r="U801">
        <v>-75.160945397999996</v>
      </c>
      <c r="V801">
        <f>SUM(W801:X801)+(Y801*0.8)+(Z801*0.4)</f>
        <v>16.399999999999999</v>
      </c>
      <c r="W801">
        <v>14</v>
      </c>
      <c r="X801">
        <v>0</v>
      </c>
      <c r="Y801">
        <v>3</v>
      </c>
      <c r="Z801">
        <v>0</v>
      </c>
      <c r="AA801" t="s">
        <v>43</v>
      </c>
      <c r="AB801">
        <v>12.4</v>
      </c>
      <c r="AD801" t="s">
        <v>8368</v>
      </c>
      <c r="AE801" t="s">
        <v>8369</v>
      </c>
    </row>
    <row r="802" spans="1:31" x14ac:dyDescent="0.25">
      <c r="A802" t="s">
        <v>31</v>
      </c>
      <c r="C802" t="s">
        <v>3849</v>
      </c>
      <c r="D802" t="s">
        <v>4553</v>
      </c>
      <c r="E802" t="s">
        <v>34</v>
      </c>
      <c r="F802" t="s">
        <v>66</v>
      </c>
      <c r="G802">
        <v>2016</v>
      </c>
      <c r="H802" t="s">
        <v>36</v>
      </c>
      <c r="I802" t="s">
        <v>4554</v>
      </c>
      <c r="J802" t="s">
        <v>31</v>
      </c>
      <c r="K802" t="s">
        <v>38</v>
      </c>
      <c r="L802" t="s">
        <v>242</v>
      </c>
      <c r="M802" t="s">
        <v>243</v>
      </c>
      <c r="N802" t="s">
        <v>405</v>
      </c>
      <c r="O802" t="s">
        <v>516</v>
      </c>
      <c r="P802" t="s">
        <v>517</v>
      </c>
      <c r="Q802" t="s">
        <v>1021</v>
      </c>
      <c r="T802">
        <v>39.001195000000003</v>
      </c>
      <c r="U802">
        <v>-77.477332000000004</v>
      </c>
      <c r="V802">
        <f>SUM(W802:X802)+(Y802*0.8)+(Z802*0.4)</f>
        <v>16.2</v>
      </c>
      <c r="W802">
        <v>16.2</v>
      </c>
      <c r="X802">
        <v>0</v>
      </c>
      <c r="Y802">
        <v>0</v>
      </c>
      <c r="Z802">
        <v>0</v>
      </c>
      <c r="AA802" t="s">
        <v>43</v>
      </c>
      <c r="AB802">
        <v>15.52</v>
      </c>
      <c r="AD802" t="s">
        <v>4555</v>
      </c>
      <c r="AE802" t="s">
        <v>4556</v>
      </c>
    </row>
    <row r="803" spans="1:31" x14ac:dyDescent="0.25">
      <c r="A803" t="s">
        <v>31</v>
      </c>
      <c r="C803" t="s">
        <v>4759</v>
      </c>
      <c r="D803" t="s">
        <v>4760</v>
      </c>
      <c r="E803" t="s">
        <v>362</v>
      </c>
      <c r="F803" t="s">
        <v>381</v>
      </c>
      <c r="G803">
        <v>2006</v>
      </c>
      <c r="H803" t="s">
        <v>36</v>
      </c>
      <c r="I803" t="s">
        <v>4761</v>
      </c>
      <c r="J803" t="s">
        <v>31</v>
      </c>
      <c r="K803" t="s">
        <v>38</v>
      </c>
      <c r="L803" t="s">
        <v>326</v>
      </c>
      <c r="M803" t="s">
        <v>327</v>
      </c>
      <c r="N803" t="s">
        <v>328</v>
      </c>
      <c r="O803" t="s">
        <v>590</v>
      </c>
      <c r="P803" t="s">
        <v>4762</v>
      </c>
      <c r="S803" t="s">
        <v>4763</v>
      </c>
      <c r="T803">
        <v>33.493234299000001</v>
      </c>
      <c r="U803">
        <v>-112.07045960000001</v>
      </c>
      <c r="V803">
        <f>SUM(W803:X803)+(Y803*0.8)+(Z803*0.4)</f>
        <v>16.2</v>
      </c>
      <c r="W803">
        <v>16.2</v>
      </c>
      <c r="X803">
        <v>0</v>
      </c>
      <c r="Y803">
        <v>0</v>
      </c>
      <c r="Z803">
        <v>0</v>
      </c>
      <c r="AA803" t="s">
        <v>43</v>
      </c>
      <c r="AB803">
        <v>16.2</v>
      </c>
      <c r="AD803" t="s">
        <v>4764</v>
      </c>
      <c r="AE803" t="s">
        <v>4765</v>
      </c>
    </row>
    <row r="804" spans="1:31" x14ac:dyDescent="0.25">
      <c r="A804" t="s">
        <v>31</v>
      </c>
      <c r="C804" t="s">
        <v>8969</v>
      </c>
      <c r="D804" t="s">
        <v>9022</v>
      </c>
      <c r="E804" t="s">
        <v>34</v>
      </c>
      <c r="F804" t="s">
        <v>35</v>
      </c>
      <c r="G804">
        <v>2026</v>
      </c>
      <c r="H804" t="s">
        <v>36</v>
      </c>
      <c r="I804" t="s">
        <v>9023</v>
      </c>
      <c r="J804" t="s">
        <v>31</v>
      </c>
      <c r="K804" t="s">
        <v>38</v>
      </c>
      <c r="L804" t="s">
        <v>242</v>
      </c>
      <c r="M804" t="s">
        <v>243</v>
      </c>
      <c r="N804" t="s">
        <v>405</v>
      </c>
      <c r="O804" t="s">
        <v>516</v>
      </c>
      <c r="P804" t="s">
        <v>517</v>
      </c>
      <c r="T804">
        <v>39.010240715000002</v>
      </c>
      <c r="U804">
        <v>-77.471630673999996</v>
      </c>
      <c r="V804">
        <f>SUM(W804:X804)+(Y804*0.8)+(Z804*0.4)</f>
        <v>16</v>
      </c>
      <c r="W804">
        <v>0</v>
      </c>
      <c r="X804">
        <v>0</v>
      </c>
      <c r="Y804">
        <v>20</v>
      </c>
      <c r="Z804">
        <v>0</v>
      </c>
      <c r="AA804" t="s">
        <v>43</v>
      </c>
      <c r="AB804">
        <v>13</v>
      </c>
      <c r="AD804" t="s">
        <v>9024</v>
      </c>
      <c r="AE804" t="s">
        <v>9025</v>
      </c>
    </row>
    <row r="805" spans="1:31" x14ac:dyDescent="0.25">
      <c r="A805" t="s">
        <v>31</v>
      </c>
      <c r="C805" t="s">
        <v>6832</v>
      </c>
      <c r="D805" t="s">
        <v>6883</v>
      </c>
      <c r="E805" t="s">
        <v>34</v>
      </c>
      <c r="F805" t="s">
        <v>66</v>
      </c>
      <c r="G805">
        <v>2026</v>
      </c>
      <c r="H805" t="s">
        <v>36</v>
      </c>
      <c r="I805" t="s">
        <v>6884</v>
      </c>
      <c r="J805" t="s">
        <v>31</v>
      </c>
      <c r="K805" t="s">
        <v>38</v>
      </c>
      <c r="L805" t="s">
        <v>202</v>
      </c>
      <c r="M805" t="s">
        <v>203</v>
      </c>
      <c r="N805" t="s">
        <v>397</v>
      </c>
      <c r="O805" t="s">
        <v>3122</v>
      </c>
      <c r="P805" t="s">
        <v>6885</v>
      </c>
      <c r="T805">
        <v>25.884790202000001</v>
      </c>
      <c r="U805">
        <v>-80.247217528999997</v>
      </c>
      <c r="V805">
        <f>SUM(W805:X805)+(Y805*0.8)+(Z805*0.4)</f>
        <v>16</v>
      </c>
      <c r="W805">
        <v>0</v>
      </c>
      <c r="X805">
        <v>16</v>
      </c>
      <c r="Y805">
        <v>0</v>
      </c>
      <c r="Z805">
        <v>0</v>
      </c>
      <c r="AA805" t="s">
        <v>43</v>
      </c>
      <c r="AB805">
        <v>0</v>
      </c>
      <c r="AD805" t="s">
        <v>6886</v>
      </c>
      <c r="AE805" t="s">
        <v>6887</v>
      </c>
    </row>
    <row r="806" spans="1:31" x14ac:dyDescent="0.25">
      <c r="A806" t="s">
        <v>31</v>
      </c>
      <c r="C806" t="s">
        <v>6737</v>
      </c>
      <c r="D806" t="s">
        <v>6738</v>
      </c>
      <c r="E806" t="s">
        <v>34</v>
      </c>
      <c r="F806" t="s">
        <v>35</v>
      </c>
      <c r="G806">
        <v>2026</v>
      </c>
      <c r="H806" t="s">
        <v>36</v>
      </c>
      <c r="I806" t="s">
        <v>6739</v>
      </c>
      <c r="J806" t="s">
        <v>31</v>
      </c>
      <c r="K806" t="s">
        <v>38</v>
      </c>
      <c r="L806" t="s">
        <v>383</v>
      </c>
      <c r="M806" t="s">
        <v>384</v>
      </c>
      <c r="N806" t="s">
        <v>1319</v>
      </c>
      <c r="O806" t="s">
        <v>2396</v>
      </c>
      <c r="P806" t="s">
        <v>2397</v>
      </c>
      <c r="T806">
        <v>36.055983101000002</v>
      </c>
      <c r="U806">
        <v>-79.746748147000005</v>
      </c>
      <c r="V806">
        <f>SUM(W806:X806)+(Y806*0.8)+(Z806*0.4)</f>
        <v>16</v>
      </c>
      <c r="W806">
        <v>0</v>
      </c>
      <c r="X806">
        <v>0</v>
      </c>
      <c r="Y806">
        <v>20</v>
      </c>
      <c r="Z806">
        <v>0</v>
      </c>
      <c r="AA806" t="s">
        <v>43</v>
      </c>
      <c r="AB806">
        <v>0</v>
      </c>
      <c r="AD806" t="s">
        <v>6740</v>
      </c>
      <c r="AE806" t="s">
        <v>6741</v>
      </c>
    </row>
    <row r="807" spans="1:31" x14ac:dyDescent="0.25">
      <c r="A807" t="s">
        <v>31</v>
      </c>
      <c r="C807" t="s">
        <v>8571</v>
      </c>
      <c r="D807" t="s">
        <v>2809</v>
      </c>
      <c r="E807" t="s">
        <v>34</v>
      </c>
      <c r="F807" t="s">
        <v>66</v>
      </c>
      <c r="G807">
        <v>2021</v>
      </c>
      <c r="H807" t="s">
        <v>36</v>
      </c>
      <c r="I807" t="s">
        <v>8652</v>
      </c>
      <c r="J807" t="s">
        <v>31</v>
      </c>
      <c r="K807" t="s">
        <v>38</v>
      </c>
      <c r="L807" t="s">
        <v>172</v>
      </c>
      <c r="M807" t="s">
        <v>173</v>
      </c>
      <c r="N807" t="s">
        <v>780</v>
      </c>
      <c r="O807" t="s">
        <v>781</v>
      </c>
      <c r="P807" t="s">
        <v>8653</v>
      </c>
      <c r="S807" t="s">
        <v>788</v>
      </c>
      <c r="T807">
        <v>37.369023032999998</v>
      </c>
      <c r="U807">
        <v>-121.955232373</v>
      </c>
      <c r="V807">
        <f>SUM(W807:X807)+(Y807*0.8)+(Z807*0.4)</f>
        <v>16</v>
      </c>
      <c r="W807">
        <v>16</v>
      </c>
      <c r="X807">
        <v>0</v>
      </c>
      <c r="Y807">
        <v>0</v>
      </c>
      <c r="Z807">
        <v>0</v>
      </c>
      <c r="AA807" t="s">
        <v>43</v>
      </c>
      <c r="AB807">
        <v>16</v>
      </c>
      <c r="AD807" t="s">
        <v>8654</v>
      </c>
      <c r="AE807" t="s">
        <v>8655</v>
      </c>
    </row>
    <row r="808" spans="1:31" x14ac:dyDescent="0.25">
      <c r="A808" t="s">
        <v>31</v>
      </c>
      <c r="C808" t="s">
        <v>11333</v>
      </c>
      <c r="D808" t="s">
        <v>11334</v>
      </c>
      <c r="E808" t="s">
        <v>362</v>
      </c>
      <c r="F808" t="s">
        <v>381</v>
      </c>
      <c r="G808">
        <v>2019</v>
      </c>
      <c r="H808" t="s">
        <v>36</v>
      </c>
      <c r="I808" t="s">
        <v>11335</v>
      </c>
      <c r="J808" t="s">
        <v>31</v>
      </c>
      <c r="K808" t="s">
        <v>38</v>
      </c>
      <c r="L808" t="s">
        <v>843</v>
      </c>
      <c r="M808" t="s">
        <v>1644</v>
      </c>
      <c r="N808" t="s">
        <v>155</v>
      </c>
      <c r="O808" t="s">
        <v>7925</v>
      </c>
      <c r="P808" t="s">
        <v>7927</v>
      </c>
      <c r="T808">
        <v>47.407385665</v>
      </c>
      <c r="U808">
        <v>-120.214299297</v>
      </c>
      <c r="V808">
        <f>SUM(W808:X808)+(Y808*0.8)+(Z808*0.4)</f>
        <v>16</v>
      </c>
      <c r="W808">
        <v>8</v>
      </c>
      <c r="X808">
        <v>8</v>
      </c>
      <c r="Y808">
        <v>0</v>
      </c>
      <c r="Z808">
        <v>0</v>
      </c>
      <c r="AA808" t="s">
        <v>43</v>
      </c>
      <c r="AB808">
        <v>16</v>
      </c>
      <c r="AC808">
        <v>1.2</v>
      </c>
      <c r="AD808" t="s">
        <v>11336</v>
      </c>
      <c r="AE808" t="s">
        <v>11337</v>
      </c>
    </row>
    <row r="809" spans="1:31" x14ac:dyDescent="0.25">
      <c r="A809" t="s">
        <v>31</v>
      </c>
      <c r="C809" t="s">
        <v>8571</v>
      </c>
      <c r="D809" t="s">
        <v>8580</v>
      </c>
      <c r="E809" t="s">
        <v>34</v>
      </c>
      <c r="F809" t="s">
        <v>66</v>
      </c>
      <c r="G809">
        <v>2018</v>
      </c>
      <c r="H809" t="s">
        <v>36</v>
      </c>
      <c r="I809" t="s">
        <v>8581</v>
      </c>
      <c r="J809" t="s">
        <v>31</v>
      </c>
      <c r="K809" t="s">
        <v>38</v>
      </c>
      <c r="L809" t="s">
        <v>242</v>
      </c>
      <c r="M809" t="s">
        <v>243</v>
      </c>
      <c r="N809" t="s">
        <v>405</v>
      </c>
      <c r="O809" t="s">
        <v>516</v>
      </c>
      <c r="P809" t="s">
        <v>517</v>
      </c>
      <c r="T809">
        <v>39.017209999999999</v>
      </c>
      <c r="U809">
        <v>-77.470460000000003</v>
      </c>
      <c r="V809">
        <f>SUM(W809:X809)+(Y809*0.8)+(Z809*0.4)</f>
        <v>16</v>
      </c>
      <c r="W809">
        <v>16</v>
      </c>
      <c r="X809">
        <v>0</v>
      </c>
      <c r="Y809">
        <v>0</v>
      </c>
      <c r="Z809">
        <v>0</v>
      </c>
      <c r="AA809" t="s">
        <v>43</v>
      </c>
      <c r="AB809">
        <v>15.9</v>
      </c>
      <c r="AD809" t="s">
        <v>8582</v>
      </c>
      <c r="AE809" t="s">
        <v>8583</v>
      </c>
    </row>
    <row r="810" spans="1:31" x14ac:dyDescent="0.25">
      <c r="A810" t="s">
        <v>31</v>
      </c>
      <c r="C810" t="s">
        <v>10102</v>
      </c>
      <c r="D810" t="s">
        <v>10121</v>
      </c>
      <c r="E810" t="s">
        <v>34</v>
      </c>
      <c r="F810" t="s">
        <v>66</v>
      </c>
      <c r="G810">
        <v>2017</v>
      </c>
      <c r="H810" t="s">
        <v>36</v>
      </c>
      <c r="I810" t="s">
        <v>10122</v>
      </c>
      <c r="J810" t="s">
        <v>31</v>
      </c>
      <c r="K810" t="s">
        <v>38</v>
      </c>
      <c r="L810" t="s">
        <v>1457</v>
      </c>
      <c r="M810" t="s">
        <v>1458</v>
      </c>
      <c r="N810" t="s">
        <v>319</v>
      </c>
      <c r="O810" t="s">
        <v>10113</v>
      </c>
      <c r="P810" t="s">
        <v>10114</v>
      </c>
      <c r="T810">
        <v>36.055574139999997</v>
      </c>
      <c r="U810">
        <v>-115.22263623800001</v>
      </c>
      <c r="V810">
        <f>SUM(W810:X810)+(Y810*0.8)+(Z810*0.4)</f>
        <v>16</v>
      </c>
      <c r="W810">
        <v>16</v>
      </c>
      <c r="X810">
        <v>0</v>
      </c>
      <c r="Y810">
        <v>0</v>
      </c>
      <c r="Z810">
        <v>0</v>
      </c>
      <c r="AA810" t="s">
        <v>43</v>
      </c>
      <c r="AB810">
        <v>16</v>
      </c>
      <c r="AD810" t="s">
        <v>10123</v>
      </c>
      <c r="AE810" t="s">
        <v>10124</v>
      </c>
    </row>
    <row r="811" spans="1:31" x14ac:dyDescent="0.25">
      <c r="A811" t="s">
        <v>31</v>
      </c>
      <c r="C811" t="s">
        <v>3312</v>
      </c>
      <c r="D811" t="s">
        <v>3477</v>
      </c>
      <c r="E811" t="s">
        <v>34</v>
      </c>
      <c r="F811" t="s">
        <v>66</v>
      </c>
      <c r="G811">
        <v>2010</v>
      </c>
      <c r="H811" t="s">
        <v>36</v>
      </c>
      <c r="I811" t="s">
        <v>3478</v>
      </c>
      <c r="J811" t="s">
        <v>31</v>
      </c>
      <c r="K811" t="s">
        <v>38</v>
      </c>
      <c r="L811" t="s">
        <v>39</v>
      </c>
      <c r="M811" t="s">
        <v>40</v>
      </c>
      <c r="N811" t="s">
        <v>3479</v>
      </c>
      <c r="O811" t="s">
        <v>3480</v>
      </c>
      <c r="P811" t="s">
        <v>3481</v>
      </c>
      <c r="Q811" t="s">
        <v>3480</v>
      </c>
      <c r="T811">
        <v>40.907183000000003</v>
      </c>
      <c r="U811">
        <v>-74.242564000000002</v>
      </c>
      <c r="V811">
        <f>SUM(W811:X811)+(Y811*0.8)+(Z811*0.4)</f>
        <v>16</v>
      </c>
      <c r="W811">
        <v>16</v>
      </c>
      <c r="X811">
        <v>0</v>
      </c>
      <c r="Y811">
        <v>0</v>
      </c>
      <c r="Z811">
        <v>0</v>
      </c>
      <c r="AA811" t="s">
        <v>43</v>
      </c>
      <c r="AB811">
        <v>15.5</v>
      </c>
      <c r="AD811" t="s">
        <v>3482</v>
      </c>
      <c r="AE811" t="s">
        <v>3483</v>
      </c>
    </row>
    <row r="812" spans="1:31" x14ac:dyDescent="0.25">
      <c r="A812" t="s">
        <v>31</v>
      </c>
      <c r="C812" t="s">
        <v>2064</v>
      </c>
      <c r="D812" t="s">
        <v>2165</v>
      </c>
      <c r="E812" t="s">
        <v>34</v>
      </c>
      <c r="F812" t="s">
        <v>35</v>
      </c>
      <c r="G812">
        <v>2008</v>
      </c>
      <c r="H812" t="s">
        <v>36</v>
      </c>
      <c r="I812" t="s">
        <v>2166</v>
      </c>
      <c r="J812" t="s">
        <v>31</v>
      </c>
      <c r="K812" t="s">
        <v>38</v>
      </c>
      <c r="L812" t="s">
        <v>242</v>
      </c>
      <c r="M812" t="s">
        <v>243</v>
      </c>
      <c r="N812" t="s">
        <v>405</v>
      </c>
      <c r="O812" t="s">
        <v>526</v>
      </c>
      <c r="P812" t="s">
        <v>527</v>
      </c>
      <c r="T812">
        <v>39.024760764</v>
      </c>
      <c r="U812">
        <v>-77.412265676999994</v>
      </c>
      <c r="V812">
        <f>SUM(W812:X812)+(Y812*0.8)+(Z812*0.4)</f>
        <v>16</v>
      </c>
      <c r="W812">
        <v>16</v>
      </c>
      <c r="X812">
        <v>0</v>
      </c>
      <c r="Y812">
        <v>0</v>
      </c>
      <c r="Z812">
        <v>0</v>
      </c>
      <c r="AA812" t="s">
        <v>43</v>
      </c>
      <c r="AB812">
        <v>15.38</v>
      </c>
      <c r="AD812" t="s">
        <v>2167</v>
      </c>
      <c r="AE812" t="s">
        <v>2168</v>
      </c>
    </row>
    <row r="813" spans="1:31" x14ac:dyDescent="0.25">
      <c r="A813" t="s">
        <v>31</v>
      </c>
      <c r="C813" t="s">
        <v>3007</v>
      </c>
      <c r="D813" t="s">
        <v>3015</v>
      </c>
      <c r="E813" t="s">
        <v>34</v>
      </c>
      <c r="F813" t="s">
        <v>66</v>
      </c>
      <c r="G813">
        <v>2007</v>
      </c>
      <c r="H813" t="s">
        <v>36</v>
      </c>
      <c r="I813" t="s">
        <v>3016</v>
      </c>
      <c r="J813" t="s">
        <v>31</v>
      </c>
      <c r="K813" t="s">
        <v>38</v>
      </c>
      <c r="L813" t="s">
        <v>68</v>
      </c>
      <c r="M813" t="s">
        <v>69</v>
      </c>
      <c r="N813" t="s">
        <v>1350</v>
      </c>
      <c r="O813" t="s">
        <v>1351</v>
      </c>
      <c r="P813" t="s">
        <v>3017</v>
      </c>
      <c r="Q813" t="s">
        <v>3018</v>
      </c>
      <c r="S813" t="s">
        <v>3019</v>
      </c>
      <c r="T813">
        <v>30.268748599999999</v>
      </c>
      <c r="U813">
        <v>-97.666320427000002</v>
      </c>
      <c r="V813">
        <f>SUM(W813:X813)+(Y813*0.8)+(Z813*0.4)</f>
        <v>16</v>
      </c>
      <c r="W813">
        <v>16</v>
      </c>
      <c r="X813">
        <v>0</v>
      </c>
      <c r="Y813">
        <v>0</v>
      </c>
      <c r="Z813">
        <v>0</v>
      </c>
      <c r="AA813" t="s">
        <v>43</v>
      </c>
      <c r="AB813">
        <v>16</v>
      </c>
      <c r="AD813" t="s">
        <v>3020</v>
      </c>
      <c r="AE813" t="s">
        <v>3021</v>
      </c>
    </row>
    <row r="814" spans="1:31" x14ac:dyDescent="0.25">
      <c r="A814" t="s">
        <v>31</v>
      </c>
      <c r="C814" t="s">
        <v>2064</v>
      </c>
      <c r="D814" t="s">
        <v>2093</v>
      </c>
      <c r="E814" t="s">
        <v>34</v>
      </c>
      <c r="F814" t="s">
        <v>35</v>
      </c>
      <c r="G814">
        <v>1998</v>
      </c>
      <c r="H814" t="s">
        <v>36</v>
      </c>
      <c r="I814" t="s">
        <v>2094</v>
      </c>
      <c r="J814" t="s">
        <v>31</v>
      </c>
      <c r="K814" t="s">
        <v>38</v>
      </c>
      <c r="L814" t="s">
        <v>251</v>
      </c>
      <c r="M814" t="s">
        <v>252</v>
      </c>
      <c r="N814" t="s">
        <v>253</v>
      </c>
      <c r="O814" t="s">
        <v>2095</v>
      </c>
      <c r="P814" t="s">
        <v>2096</v>
      </c>
      <c r="Q814" t="s">
        <v>2097</v>
      </c>
      <c r="T814">
        <v>42.392989999999998</v>
      </c>
      <c r="U814">
        <v>-71.265330000000006</v>
      </c>
      <c r="V814">
        <f>SUM(W814:X814)+(Y814*0.8)+(Z814*0.4)</f>
        <v>16</v>
      </c>
      <c r="W814">
        <v>16</v>
      </c>
      <c r="X814">
        <v>0</v>
      </c>
      <c r="Y814">
        <v>0</v>
      </c>
      <c r="Z814">
        <v>0</v>
      </c>
      <c r="AA814" t="s">
        <v>43</v>
      </c>
      <c r="AB814">
        <v>14.6</v>
      </c>
      <c r="AD814" t="s">
        <v>2098</v>
      </c>
      <c r="AE814" t="s">
        <v>2099</v>
      </c>
    </row>
    <row r="815" spans="1:31" x14ac:dyDescent="0.25">
      <c r="A815" t="s">
        <v>31</v>
      </c>
      <c r="C815" t="s">
        <v>11281</v>
      </c>
      <c r="D815" t="s">
        <v>11282</v>
      </c>
      <c r="E815" t="s">
        <v>34</v>
      </c>
      <c r="F815" t="s">
        <v>43</v>
      </c>
      <c r="H815" t="s">
        <v>36</v>
      </c>
      <c r="I815" t="s">
        <v>11283</v>
      </c>
      <c r="J815" t="s">
        <v>31</v>
      </c>
      <c r="K815" t="s">
        <v>38</v>
      </c>
      <c r="L815" t="s">
        <v>39</v>
      </c>
      <c r="M815" t="s">
        <v>40</v>
      </c>
      <c r="N815" t="s">
        <v>253</v>
      </c>
      <c r="O815" t="s">
        <v>11284</v>
      </c>
      <c r="P815" t="s">
        <v>11285</v>
      </c>
      <c r="Q815" t="s">
        <v>11286</v>
      </c>
      <c r="T815">
        <v>40.361868837999999</v>
      </c>
      <c r="U815">
        <v>-74.602961084</v>
      </c>
      <c r="V815">
        <f>SUM(W815:X815)+(Y815*0.8)+(Z815*0.4)</f>
        <v>16</v>
      </c>
      <c r="W815">
        <v>0</v>
      </c>
      <c r="X815">
        <v>0</v>
      </c>
      <c r="Y815">
        <v>0</v>
      </c>
      <c r="Z815">
        <v>40</v>
      </c>
      <c r="AA815" t="s">
        <v>43</v>
      </c>
      <c r="AB815">
        <v>0</v>
      </c>
      <c r="AD815" t="s">
        <v>11287</v>
      </c>
      <c r="AE815" t="s">
        <v>11288</v>
      </c>
    </row>
    <row r="816" spans="1:31" x14ac:dyDescent="0.25">
      <c r="A816" t="s">
        <v>31</v>
      </c>
      <c r="C816" t="s">
        <v>9124</v>
      </c>
      <c r="D816" t="s">
        <v>9125</v>
      </c>
      <c r="E816" t="s">
        <v>34</v>
      </c>
      <c r="F816" t="s">
        <v>43</v>
      </c>
      <c r="H816" t="s">
        <v>36</v>
      </c>
      <c r="I816" t="s">
        <v>9126</v>
      </c>
      <c r="J816" t="s">
        <v>31</v>
      </c>
      <c r="K816" t="s">
        <v>38</v>
      </c>
      <c r="L816" t="s">
        <v>242</v>
      </c>
      <c r="M816" t="s">
        <v>243</v>
      </c>
      <c r="N816" t="s">
        <v>405</v>
      </c>
      <c r="O816" t="s">
        <v>526</v>
      </c>
      <c r="P816" t="s">
        <v>527</v>
      </c>
      <c r="T816">
        <v>38.985563804999998</v>
      </c>
      <c r="U816">
        <v>-77.438717080000004</v>
      </c>
      <c r="V816">
        <f>SUM(W816:X816)+(Y816*0.8)+(Z816*0.4)</f>
        <v>16</v>
      </c>
      <c r="W816">
        <v>0</v>
      </c>
      <c r="X816">
        <v>0</v>
      </c>
      <c r="Y816">
        <v>0</v>
      </c>
      <c r="Z816">
        <v>40</v>
      </c>
      <c r="AA816" t="s">
        <v>43</v>
      </c>
      <c r="AB816">
        <v>0</v>
      </c>
      <c r="AD816" t="s">
        <v>9127</v>
      </c>
      <c r="AE816" t="s">
        <v>9128</v>
      </c>
    </row>
    <row r="817" spans="1:31" x14ac:dyDescent="0.25">
      <c r="A817" t="s">
        <v>31</v>
      </c>
      <c r="C817" t="s">
        <v>8824</v>
      </c>
      <c r="D817" t="s">
        <v>8834</v>
      </c>
      <c r="E817" t="s">
        <v>34</v>
      </c>
      <c r="F817" t="s">
        <v>43</v>
      </c>
      <c r="H817" t="s">
        <v>36</v>
      </c>
      <c r="I817" t="s">
        <v>8835</v>
      </c>
      <c r="J817" t="s">
        <v>31</v>
      </c>
      <c r="K817" t="s">
        <v>38</v>
      </c>
      <c r="L817" t="s">
        <v>242</v>
      </c>
      <c r="M817" t="s">
        <v>243</v>
      </c>
      <c r="N817" t="s">
        <v>405</v>
      </c>
      <c r="O817" t="s">
        <v>526</v>
      </c>
      <c r="P817" t="s">
        <v>8836</v>
      </c>
      <c r="T817">
        <v>38.986286858</v>
      </c>
      <c r="U817">
        <v>-77.416639223999994</v>
      </c>
      <c r="V817">
        <f>SUM(W817:X817)+(Y817*0.8)+(Z817*0.4)</f>
        <v>16</v>
      </c>
      <c r="W817">
        <v>0</v>
      </c>
      <c r="X817">
        <v>0</v>
      </c>
      <c r="Y817">
        <v>0</v>
      </c>
      <c r="Z817">
        <v>40</v>
      </c>
      <c r="AA817" t="s">
        <v>43</v>
      </c>
      <c r="AB817">
        <v>0</v>
      </c>
      <c r="AD817" t="s">
        <v>8837</v>
      </c>
      <c r="AE817" t="s">
        <v>8838</v>
      </c>
    </row>
    <row r="818" spans="1:31" x14ac:dyDescent="0.25">
      <c r="A818" t="s">
        <v>31</v>
      </c>
      <c r="C818" t="s">
        <v>6970</v>
      </c>
      <c r="D818" t="s">
        <v>6979</v>
      </c>
      <c r="E818" t="s">
        <v>34</v>
      </c>
      <c r="F818" t="s">
        <v>66</v>
      </c>
      <c r="H818" t="s">
        <v>36</v>
      </c>
      <c r="I818" t="s">
        <v>6980</v>
      </c>
      <c r="J818" t="s">
        <v>31</v>
      </c>
      <c r="K818" t="s">
        <v>38</v>
      </c>
      <c r="L818" t="s">
        <v>242</v>
      </c>
      <c r="M818" t="s">
        <v>243</v>
      </c>
      <c r="N818" t="s">
        <v>405</v>
      </c>
      <c r="O818" t="s">
        <v>516</v>
      </c>
      <c r="P818" t="s">
        <v>517</v>
      </c>
      <c r="T818">
        <v>39.066623044000004</v>
      </c>
      <c r="U818">
        <v>-77.478587450999996</v>
      </c>
      <c r="V818">
        <f>SUM(W818:X818)+(Y818*0.8)+(Z818*0.4)</f>
        <v>16</v>
      </c>
      <c r="W818">
        <v>0</v>
      </c>
      <c r="X818">
        <v>0</v>
      </c>
      <c r="Y818">
        <v>0</v>
      </c>
      <c r="Z818">
        <v>40</v>
      </c>
      <c r="AA818" t="s">
        <v>43</v>
      </c>
      <c r="AB818">
        <v>0</v>
      </c>
      <c r="AD818" t="s">
        <v>6981</v>
      </c>
      <c r="AE818" t="s">
        <v>6982</v>
      </c>
    </row>
    <row r="819" spans="1:31" x14ac:dyDescent="0.25">
      <c r="A819" t="s">
        <v>31</v>
      </c>
      <c r="C819" t="s">
        <v>5077</v>
      </c>
      <c r="D819" t="s">
        <v>5078</v>
      </c>
      <c r="E819" t="s">
        <v>362</v>
      </c>
      <c r="F819" t="s">
        <v>1803</v>
      </c>
      <c r="H819" t="s">
        <v>36</v>
      </c>
      <c r="I819" t="s">
        <v>5079</v>
      </c>
      <c r="J819" t="s">
        <v>31</v>
      </c>
      <c r="K819" t="s">
        <v>38</v>
      </c>
      <c r="L819" t="s">
        <v>1380</v>
      </c>
      <c r="M819" t="s">
        <v>1381</v>
      </c>
      <c r="N819" t="s">
        <v>1653</v>
      </c>
      <c r="O819" t="s">
        <v>5080</v>
      </c>
      <c r="P819" t="s">
        <v>5081</v>
      </c>
      <c r="Q819" t="s">
        <v>5082</v>
      </c>
      <c r="S819" t="s">
        <v>5083</v>
      </c>
      <c r="T819">
        <v>41.668637355000001</v>
      </c>
      <c r="U819">
        <v>-72.794616711000003</v>
      </c>
      <c r="V819">
        <f>SUM(W819:X819)+(Y819*0.8)+(Z819*0.4)</f>
        <v>16</v>
      </c>
      <c r="W819">
        <v>0</v>
      </c>
      <c r="X819">
        <v>0</v>
      </c>
      <c r="Y819">
        <v>20</v>
      </c>
      <c r="Z819">
        <v>0</v>
      </c>
      <c r="AA819" t="s">
        <v>43</v>
      </c>
      <c r="AB819">
        <v>20</v>
      </c>
      <c r="AD819" t="s">
        <v>5084</v>
      </c>
      <c r="AE819" t="s">
        <v>5085</v>
      </c>
    </row>
    <row r="820" spans="1:31" x14ac:dyDescent="0.25">
      <c r="A820" t="s">
        <v>31</v>
      </c>
      <c r="C820" t="s">
        <v>3312</v>
      </c>
      <c r="D820" t="s">
        <v>3342</v>
      </c>
      <c r="E820" t="s">
        <v>34</v>
      </c>
      <c r="F820" t="s">
        <v>66</v>
      </c>
      <c r="G820">
        <v>2010</v>
      </c>
      <c r="H820" t="s">
        <v>36</v>
      </c>
      <c r="I820" t="s">
        <v>3343</v>
      </c>
      <c r="J820" t="s">
        <v>31</v>
      </c>
      <c r="K820" t="s">
        <v>38</v>
      </c>
      <c r="L820" t="s">
        <v>317</v>
      </c>
      <c r="M820" t="s">
        <v>318</v>
      </c>
      <c r="N820" t="s">
        <v>2036</v>
      </c>
      <c r="O820" t="s">
        <v>3344</v>
      </c>
      <c r="P820" t="s">
        <v>3345</v>
      </c>
      <c r="Q820" t="s">
        <v>3346</v>
      </c>
      <c r="S820" t="s">
        <v>3347</v>
      </c>
      <c r="T820">
        <v>39.102792000000001</v>
      </c>
      <c r="U820">
        <v>-84.517339000000007</v>
      </c>
      <c r="V820">
        <f>SUM(W820:X820)+(Y820*0.8)+(Z820*0.4)</f>
        <v>15.98</v>
      </c>
      <c r="W820">
        <v>11.5</v>
      </c>
      <c r="X820">
        <v>0</v>
      </c>
      <c r="Y820">
        <v>5.6</v>
      </c>
      <c r="Z820">
        <v>0</v>
      </c>
      <c r="AA820" t="s">
        <v>43</v>
      </c>
      <c r="AB820">
        <v>13.68</v>
      </c>
      <c r="AD820" t="s">
        <v>3348</v>
      </c>
      <c r="AE820" t="s">
        <v>3349</v>
      </c>
    </row>
    <row r="821" spans="1:31" x14ac:dyDescent="0.25">
      <c r="A821" t="s">
        <v>31</v>
      </c>
      <c r="C821" t="s">
        <v>8443</v>
      </c>
      <c r="D821" t="s">
        <v>8444</v>
      </c>
      <c r="E821" t="s">
        <v>34</v>
      </c>
      <c r="F821" t="s">
        <v>35</v>
      </c>
      <c r="G821">
        <v>2027</v>
      </c>
      <c r="H821" t="s">
        <v>36</v>
      </c>
      <c r="I821" t="s">
        <v>8445</v>
      </c>
      <c r="J821" t="s">
        <v>31</v>
      </c>
      <c r="K821" t="s">
        <v>38</v>
      </c>
      <c r="L821" t="s">
        <v>86</v>
      </c>
      <c r="M821" t="s">
        <v>87</v>
      </c>
      <c r="N821" t="s">
        <v>88</v>
      </c>
      <c r="O821" t="s">
        <v>554</v>
      </c>
      <c r="P821" t="s">
        <v>2216</v>
      </c>
      <c r="Q821" t="s">
        <v>2867</v>
      </c>
      <c r="T821">
        <v>42.011597852000001</v>
      </c>
      <c r="U821">
        <v>-88.031903206999999</v>
      </c>
      <c r="V821">
        <f>SUM(W821:X821)+(Y821*0.8)+(Z821*0.4)</f>
        <v>15.600000000000001</v>
      </c>
      <c r="W821">
        <v>0</v>
      </c>
      <c r="X821">
        <v>0</v>
      </c>
      <c r="Y821">
        <v>0</v>
      </c>
      <c r="Z821">
        <v>39</v>
      </c>
      <c r="AA821" t="s">
        <v>43</v>
      </c>
      <c r="AB821">
        <v>0</v>
      </c>
      <c r="AD821" t="s">
        <v>8446</v>
      </c>
      <c r="AE821" t="s">
        <v>8447</v>
      </c>
    </row>
    <row r="822" spans="1:31" x14ac:dyDescent="0.25">
      <c r="A822" t="s">
        <v>31</v>
      </c>
      <c r="C822" t="s">
        <v>4801</v>
      </c>
      <c r="D822" t="s">
        <v>4825</v>
      </c>
      <c r="E822" t="s">
        <v>34</v>
      </c>
      <c r="F822" t="s">
        <v>35</v>
      </c>
      <c r="G822">
        <v>2019</v>
      </c>
      <c r="H822" t="s">
        <v>36</v>
      </c>
      <c r="I822" t="s">
        <v>4826</v>
      </c>
      <c r="J822" t="s">
        <v>31</v>
      </c>
      <c r="K822" t="s">
        <v>38</v>
      </c>
      <c r="L822" t="s">
        <v>185</v>
      </c>
      <c r="M822" t="s">
        <v>186</v>
      </c>
      <c r="N822" t="s">
        <v>187</v>
      </c>
      <c r="O822" t="s">
        <v>1606</v>
      </c>
      <c r="P822" t="s">
        <v>3763</v>
      </c>
      <c r="T822">
        <v>33.731886000000003</v>
      </c>
      <c r="U822">
        <v>-84.423558999999997</v>
      </c>
      <c r="V822">
        <f>SUM(W822:X822)+(Y822*0.8)+(Z822*0.4)</f>
        <v>15.600000000000001</v>
      </c>
      <c r="W822">
        <v>6</v>
      </c>
      <c r="X822">
        <v>0</v>
      </c>
      <c r="Y822">
        <v>12</v>
      </c>
      <c r="Z822">
        <v>0</v>
      </c>
      <c r="AA822" t="s">
        <v>43</v>
      </c>
      <c r="AB822">
        <v>7.9</v>
      </c>
      <c r="AD822" t="s">
        <v>4827</v>
      </c>
      <c r="AE822" t="s">
        <v>4828</v>
      </c>
    </row>
    <row r="823" spans="1:31" x14ac:dyDescent="0.25">
      <c r="A823" t="s">
        <v>31</v>
      </c>
      <c r="C823" t="s">
        <v>6832</v>
      </c>
      <c r="D823" t="s">
        <v>6866</v>
      </c>
      <c r="E823" t="s">
        <v>34</v>
      </c>
      <c r="F823" t="s">
        <v>66</v>
      </c>
      <c r="G823">
        <v>2002</v>
      </c>
      <c r="H823" t="s">
        <v>36</v>
      </c>
      <c r="I823" t="s">
        <v>6867</v>
      </c>
      <c r="J823" t="s">
        <v>31</v>
      </c>
      <c r="K823" t="s">
        <v>38</v>
      </c>
      <c r="L823" t="s">
        <v>193</v>
      </c>
      <c r="M823" t="s">
        <v>194</v>
      </c>
      <c r="O823" t="s">
        <v>1343</v>
      </c>
      <c r="P823" t="s">
        <v>1344</v>
      </c>
      <c r="Q823" t="s">
        <v>3097</v>
      </c>
      <c r="T823">
        <v>39.777479</v>
      </c>
      <c r="U823">
        <v>-104.967775</v>
      </c>
      <c r="V823">
        <f>SUM(W823:X823)+(Y823*0.8)+(Z823*0.4)</f>
        <v>15.36</v>
      </c>
      <c r="W823">
        <v>14.4</v>
      </c>
      <c r="X823">
        <v>0</v>
      </c>
      <c r="Y823">
        <v>0</v>
      </c>
      <c r="Z823">
        <v>2.4</v>
      </c>
      <c r="AA823" t="s">
        <v>43</v>
      </c>
      <c r="AB823">
        <v>11.3</v>
      </c>
      <c r="AC823">
        <v>1.2</v>
      </c>
      <c r="AD823" t="s">
        <v>6868</v>
      </c>
      <c r="AE823" t="s">
        <v>6869</v>
      </c>
    </row>
    <row r="824" spans="1:31" x14ac:dyDescent="0.25">
      <c r="A824" t="s">
        <v>31</v>
      </c>
      <c r="C824" t="s">
        <v>9886</v>
      </c>
      <c r="D824" t="s">
        <v>9900</v>
      </c>
      <c r="E824" t="s">
        <v>34</v>
      </c>
      <c r="F824" t="s">
        <v>76</v>
      </c>
      <c r="G824">
        <v>2013</v>
      </c>
      <c r="H824" t="s">
        <v>36</v>
      </c>
      <c r="I824" t="s">
        <v>9901</v>
      </c>
      <c r="J824" t="s">
        <v>31</v>
      </c>
      <c r="K824" t="s">
        <v>38</v>
      </c>
      <c r="L824" t="s">
        <v>68</v>
      </c>
      <c r="M824" t="s">
        <v>69</v>
      </c>
      <c r="N824" t="s">
        <v>547</v>
      </c>
      <c r="O824" t="s">
        <v>548</v>
      </c>
      <c r="P824" t="s">
        <v>3939</v>
      </c>
      <c r="T824">
        <v>33.065003216000001</v>
      </c>
      <c r="U824">
        <v>-96.811057997999995</v>
      </c>
      <c r="V824">
        <f>SUM(W824:X824)+(Y824*0.8)+(Z824*0.4)</f>
        <v>15</v>
      </c>
      <c r="W824">
        <v>15</v>
      </c>
      <c r="X824">
        <v>0</v>
      </c>
      <c r="Y824">
        <v>0</v>
      </c>
      <c r="Z824">
        <v>0</v>
      </c>
      <c r="AA824" t="s">
        <v>43</v>
      </c>
      <c r="AB824">
        <v>13</v>
      </c>
      <c r="AC824">
        <v>1.45</v>
      </c>
      <c r="AD824" t="s">
        <v>9902</v>
      </c>
      <c r="AE824" t="s">
        <v>9903</v>
      </c>
    </row>
    <row r="825" spans="1:31" x14ac:dyDescent="0.25">
      <c r="A825" t="s">
        <v>31</v>
      </c>
      <c r="C825" t="s">
        <v>8260</v>
      </c>
      <c r="D825" t="s">
        <v>8267</v>
      </c>
      <c r="E825" t="s">
        <v>362</v>
      </c>
      <c r="F825" t="s">
        <v>4135</v>
      </c>
      <c r="G825">
        <v>2013</v>
      </c>
      <c r="H825" t="s">
        <v>36</v>
      </c>
      <c r="I825" t="s">
        <v>8268</v>
      </c>
      <c r="J825" t="s">
        <v>31</v>
      </c>
      <c r="K825" t="s">
        <v>38</v>
      </c>
      <c r="L825" t="s">
        <v>1146</v>
      </c>
      <c r="M825" t="s">
        <v>1147</v>
      </c>
      <c r="N825" t="s">
        <v>8269</v>
      </c>
      <c r="P825" t="s">
        <v>8270</v>
      </c>
      <c r="T825">
        <v>30.371586417</v>
      </c>
      <c r="U825">
        <v>-89.617101888999997</v>
      </c>
      <c r="V825">
        <f>SUM(W825:X825)+(Y825*0.8)+(Z825*0.4)</f>
        <v>15</v>
      </c>
      <c r="W825">
        <v>15</v>
      </c>
      <c r="X825">
        <v>0</v>
      </c>
      <c r="Y825">
        <v>0</v>
      </c>
      <c r="Z825">
        <v>0</v>
      </c>
      <c r="AA825" t="s">
        <v>43</v>
      </c>
      <c r="AB825">
        <v>15</v>
      </c>
      <c r="AD825" t="s">
        <v>8271</v>
      </c>
      <c r="AE825" t="s">
        <v>8272</v>
      </c>
    </row>
    <row r="826" spans="1:31" x14ac:dyDescent="0.25">
      <c r="A826" t="s">
        <v>31</v>
      </c>
      <c r="C826" t="s">
        <v>5181</v>
      </c>
      <c r="D826" t="s">
        <v>5266</v>
      </c>
      <c r="E826" t="s">
        <v>34</v>
      </c>
      <c r="F826" t="s">
        <v>35</v>
      </c>
      <c r="G826">
        <v>2013</v>
      </c>
      <c r="H826" t="s">
        <v>36</v>
      </c>
      <c r="I826" t="s">
        <v>5267</v>
      </c>
      <c r="J826" t="s">
        <v>31</v>
      </c>
      <c r="K826" t="s">
        <v>38</v>
      </c>
      <c r="L826" t="s">
        <v>242</v>
      </c>
      <c r="M826" t="s">
        <v>243</v>
      </c>
      <c r="N826" t="s">
        <v>405</v>
      </c>
      <c r="O826" t="s">
        <v>516</v>
      </c>
      <c r="P826" t="s">
        <v>517</v>
      </c>
      <c r="T826">
        <v>39.015014999999998</v>
      </c>
      <c r="U826">
        <v>-77.458642999999995</v>
      </c>
      <c r="V826">
        <f>SUM(W826:X826)+(Y826*0.8)+(Z826*0.4)</f>
        <v>15</v>
      </c>
      <c r="W826">
        <v>15</v>
      </c>
      <c r="X826">
        <v>0</v>
      </c>
      <c r="Y826">
        <v>0</v>
      </c>
      <c r="Z826">
        <v>0</v>
      </c>
      <c r="AA826" t="s">
        <v>43</v>
      </c>
      <c r="AB826">
        <v>14.8</v>
      </c>
      <c r="AD826" t="s">
        <v>5268</v>
      </c>
      <c r="AE826" t="s">
        <v>5269</v>
      </c>
    </row>
    <row r="827" spans="1:31" x14ac:dyDescent="0.25">
      <c r="A827" t="s">
        <v>31</v>
      </c>
      <c r="C827" t="s">
        <v>3849</v>
      </c>
      <c r="D827" t="s">
        <v>4479</v>
      </c>
      <c r="E827" t="s">
        <v>34</v>
      </c>
      <c r="F827" t="s">
        <v>66</v>
      </c>
      <c r="G827">
        <v>2012</v>
      </c>
      <c r="H827" t="s">
        <v>36</v>
      </c>
      <c r="I827" t="s">
        <v>4480</v>
      </c>
      <c r="J827" t="s">
        <v>31</v>
      </c>
      <c r="K827" t="s">
        <v>38</v>
      </c>
      <c r="L827" t="s">
        <v>68</v>
      </c>
      <c r="M827" t="s">
        <v>69</v>
      </c>
      <c r="N827" t="s">
        <v>297</v>
      </c>
      <c r="O827" t="s">
        <v>295</v>
      </c>
      <c r="P827" t="s">
        <v>298</v>
      </c>
      <c r="T827">
        <v>32.967280160999998</v>
      </c>
      <c r="U827">
        <v>-96.713341634000003</v>
      </c>
      <c r="V827">
        <f>SUM(W827:X827)+(Y827*0.8)+(Z827*0.4)</f>
        <v>15</v>
      </c>
      <c r="W827">
        <v>15</v>
      </c>
      <c r="X827">
        <v>0</v>
      </c>
      <c r="Y827">
        <v>0</v>
      </c>
      <c r="Z827">
        <v>0</v>
      </c>
      <c r="AA827" t="s">
        <v>43</v>
      </c>
      <c r="AB827">
        <v>15</v>
      </c>
      <c r="AC827">
        <v>1.3</v>
      </c>
      <c r="AD827" t="s">
        <v>4481</v>
      </c>
      <c r="AE827" t="s">
        <v>4482</v>
      </c>
    </row>
    <row r="828" spans="1:31" x14ac:dyDescent="0.25">
      <c r="A828" t="s">
        <v>31</v>
      </c>
      <c r="C828" t="s">
        <v>11324</v>
      </c>
      <c r="D828" t="s">
        <v>11325</v>
      </c>
      <c r="E828" t="s">
        <v>362</v>
      </c>
      <c r="F828" t="s">
        <v>649</v>
      </c>
      <c r="G828">
        <v>2010</v>
      </c>
      <c r="H828" t="s">
        <v>36</v>
      </c>
      <c r="I828" t="s">
        <v>11326</v>
      </c>
      <c r="J828" t="s">
        <v>31</v>
      </c>
      <c r="K828" t="s">
        <v>38</v>
      </c>
      <c r="L828" t="s">
        <v>153</v>
      </c>
      <c r="M828" t="s">
        <v>154</v>
      </c>
      <c r="N828" t="s">
        <v>5682</v>
      </c>
      <c r="O828" t="s">
        <v>11327</v>
      </c>
      <c r="Q828" t="s">
        <v>11327</v>
      </c>
      <c r="T828">
        <v>41.180491052000001</v>
      </c>
      <c r="U828">
        <v>-96.085070560000005</v>
      </c>
      <c r="V828">
        <f>SUM(W828:X828)+(Y828*0.8)+(Z828*0.4)</f>
        <v>15</v>
      </c>
      <c r="W828">
        <v>15</v>
      </c>
      <c r="X828">
        <v>0</v>
      </c>
      <c r="Y828">
        <v>0</v>
      </c>
      <c r="Z828">
        <v>0</v>
      </c>
      <c r="AA828" t="s">
        <v>43</v>
      </c>
      <c r="AB828">
        <v>15</v>
      </c>
      <c r="AD828" t="s">
        <v>11328</v>
      </c>
      <c r="AE828" t="s">
        <v>11329</v>
      </c>
    </row>
    <row r="829" spans="1:31" x14ac:dyDescent="0.25">
      <c r="A829" t="s">
        <v>31</v>
      </c>
      <c r="C829" t="s">
        <v>1416</v>
      </c>
      <c r="D829" t="s">
        <v>1417</v>
      </c>
      <c r="E829" t="s">
        <v>34</v>
      </c>
      <c r="F829" t="s">
        <v>66</v>
      </c>
      <c r="G829">
        <v>2010</v>
      </c>
      <c r="H829" t="s">
        <v>36</v>
      </c>
      <c r="I829" t="s">
        <v>1418</v>
      </c>
      <c r="J829" t="s">
        <v>31</v>
      </c>
      <c r="K829" t="s">
        <v>38</v>
      </c>
      <c r="L829" t="s">
        <v>1380</v>
      </c>
      <c r="M829" t="s">
        <v>1381</v>
      </c>
      <c r="N829" t="s">
        <v>1419</v>
      </c>
      <c r="O829" t="s">
        <v>1420</v>
      </c>
      <c r="P829" t="s">
        <v>1421</v>
      </c>
      <c r="Q829" t="s">
        <v>1420</v>
      </c>
      <c r="T829">
        <v>41.241292999999999</v>
      </c>
      <c r="U829">
        <v>-73.147488999999993</v>
      </c>
      <c r="V829">
        <f>SUM(W829:X829)+(Y829*0.8)+(Z829*0.4)</f>
        <v>15</v>
      </c>
      <c r="W829">
        <v>15</v>
      </c>
      <c r="X829">
        <v>0</v>
      </c>
      <c r="Y829">
        <v>0</v>
      </c>
      <c r="Z829">
        <v>0</v>
      </c>
      <c r="AA829" t="s">
        <v>43</v>
      </c>
      <c r="AB829">
        <v>13.994999999999999</v>
      </c>
      <c r="AD829" t="s">
        <v>1422</v>
      </c>
      <c r="AE829" t="s">
        <v>1423</v>
      </c>
    </row>
    <row r="830" spans="1:31" x14ac:dyDescent="0.25">
      <c r="A830" t="s">
        <v>31</v>
      </c>
      <c r="B830" t="s">
        <v>11350</v>
      </c>
      <c r="C830" t="s">
        <v>6116</v>
      </c>
      <c r="D830" t="s">
        <v>6137</v>
      </c>
      <c r="E830" t="s">
        <v>362</v>
      </c>
      <c r="F830" t="s">
        <v>649</v>
      </c>
      <c r="G830">
        <v>2009</v>
      </c>
      <c r="H830" t="s">
        <v>36</v>
      </c>
      <c r="I830" t="s">
        <v>6138</v>
      </c>
      <c r="J830" t="s">
        <v>31</v>
      </c>
      <c r="K830" t="s">
        <v>38</v>
      </c>
      <c r="L830" t="s">
        <v>1433</v>
      </c>
      <c r="M830" t="s">
        <v>1434</v>
      </c>
      <c r="N830" t="s">
        <v>3499</v>
      </c>
      <c r="O830" t="s">
        <v>3500</v>
      </c>
      <c r="P830" t="s">
        <v>3501</v>
      </c>
      <c r="T830">
        <v>41.221122999999999</v>
      </c>
      <c r="U830">
        <v>-95.863853000000006</v>
      </c>
      <c r="V830">
        <f>SUM(W830:X830)+(Y830*0.8)+(Z830*0.4)</f>
        <v>15</v>
      </c>
      <c r="W830">
        <v>15</v>
      </c>
      <c r="X830">
        <v>0</v>
      </c>
      <c r="Y830">
        <v>0</v>
      </c>
      <c r="Z830">
        <v>0</v>
      </c>
      <c r="AA830" t="s">
        <v>43</v>
      </c>
      <c r="AB830">
        <v>15</v>
      </c>
      <c r="AD830" t="s">
        <v>6139</v>
      </c>
      <c r="AE830" t="s">
        <v>6140</v>
      </c>
    </row>
    <row r="831" spans="1:31" x14ac:dyDescent="0.25">
      <c r="A831" t="s">
        <v>31</v>
      </c>
      <c r="C831" t="s">
        <v>2064</v>
      </c>
      <c r="D831" t="s">
        <v>2100</v>
      </c>
      <c r="E831" t="s">
        <v>34</v>
      </c>
      <c r="F831" t="s">
        <v>35</v>
      </c>
      <c r="G831">
        <v>2002</v>
      </c>
      <c r="H831" t="s">
        <v>36</v>
      </c>
      <c r="I831" t="s">
        <v>2101</v>
      </c>
      <c r="J831" t="s">
        <v>31</v>
      </c>
      <c r="K831" t="s">
        <v>38</v>
      </c>
      <c r="L831" t="s">
        <v>251</v>
      </c>
      <c r="M831" t="s">
        <v>252</v>
      </c>
      <c r="N831" t="s">
        <v>253</v>
      </c>
      <c r="O831" t="s">
        <v>2102</v>
      </c>
      <c r="P831" t="s">
        <v>2103</v>
      </c>
      <c r="S831" t="s">
        <v>2104</v>
      </c>
      <c r="T831">
        <v>42.366320000000002</v>
      </c>
      <c r="U831">
        <v>-71.159312999999997</v>
      </c>
      <c r="V831">
        <f>SUM(W831:X831)+(Y831*0.8)+(Z831*0.4)</f>
        <v>15</v>
      </c>
      <c r="W831">
        <v>15</v>
      </c>
      <c r="X831">
        <v>0</v>
      </c>
      <c r="Y831">
        <v>0</v>
      </c>
      <c r="Z831">
        <v>0</v>
      </c>
      <c r="AA831" t="s">
        <v>43</v>
      </c>
      <c r="AB831">
        <v>13.5</v>
      </c>
      <c r="AD831" t="s">
        <v>2105</v>
      </c>
      <c r="AE831" t="s">
        <v>2106</v>
      </c>
    </row>
    <row r="832" spans="1:31" x14ac:dyDescent="0.25">
      <c r="A832" t="s">
        <v>31</v>
      </c>
      <c r="C832" t="s">
        <v>2064</v>
      </c>
      <c r="D832" t="s">
        <v>2203</v>
      </c>
      <c r="E832" t="s">
        <v>34</v>
      </c>
      <c r="F832" t="s">
        <v>35</v>
      </c>
      <c r="G832">
        <v>2002</v>
      </c>
      <c r="H832" t="s">
        <v>36</v>
      </c>
      <c r="I832" t="s">
        <v>2204</v>
      </c>
      <c r="J832" t="s">
        <v>31</v>
      </c>
      <c r="K832" t="s">
        <v>38</v>
      </c>
      <c r="L832" t="s">
        <v>172</v>
      </c>
      <c r="M832" t="s">
        <v>173</v>
      </c>
      <c r="N832" t="s">
        <v>433</v>
      </c>
      <c r="O832" t="s">
        <v>501</v>
      </c>
      <c r="P832" t="s">
        <v>502</v>
      </c>
      <c r="S832" t="s">
        <v>503</v>
      </c>
      <c r="T832">
        <v>33.684884476000001</v>
      </c>
      <c r="U832">
        <v>-117.836820902</v>
      </c>
      <c r="V832">
        <f>SUM(W832:X832)+(Y832*0.8)+(Z832*0.4)</f>
        <v>15</v>
      </c>
      <c r="W832">
        <v>15</v>
      </c>
      <c r="X832">
        <v>0</v>
      </c>
      <c r="Y832">
        <v>0</v>
      </c>
      <c r="Z832">
        <v>0</v>
      </c>
      <c r="AA832" t="s">
        <v>43</v>
      </c>
      <c r="AB832">
        <v>14.65</v>
      </c>
      <c r="AD832" t="s">
        <v>2205</v>
      </c>
      <c r="AE832" t="s">
        <v>2206</v>
      </c>
    </row>
    <row r="833" spans="1:31" x14ac:dyDescent="0.25">
      <c r="A833" t="s">
        <v>31</v>
      </c>
      <c r="B833" t="s">
        <v>11350</v>
      </c>
      <c r="C833" t="s">
        <v>647</v>
      </c>
      <c r="D833" t="s">
        <v>912</v>
      </c>
      <c r="E833" t="s">
        <v>362</v>
      </c>
      <c r="F833" t="s">
        <v>649</v>
      </c>
      <c r="H833" t="s">
        <v>36</v>
      </c>
      <c r="I833" t="s">
        <v>913</v>
      </c>
      <c r="J833" t="s">
        <v>31</v>
      </c>
      <c r="K833" t="s">
        <v>38</v>
      </c>
      <c r="L833" t="s">
        <v>242</v>
      </c>
      <c r="M833" t="s">
        <v>243</v>
      </c>
      <c r="N833" t="s">
        <v>405</v>
      </c>
      <c r="O833" t="s">
        <v>526</v>
      </c>
      <c r="P833" t="s">
        <v>527</v>
      </c>
      <c r="T833">
        <v>39.024697791000001</v>
      </c>
      <c r="U833">
        <v>-77.410287725000003</v>
      </c>
      <c r="V833">
        <f>SUM(W833:X833)+(Y833*0.8)+(Z833*0.4)</f>
        <v>14.56</v>
      </c>
      <c r="W833">
        <v>0</v>
      </c>
      <c r="X833">
        <v>0</v>
      </c>
      <c r="Y833">
        <v>0</v>
      </c>
      <c r="Z833">
        <v>36.4</v>
      </c>
      <c r="AA833" t="s">
        <v>43</v>
      </c>
      <c r="AB833">
        <v>0</v>
      </c>
      <c r="AD833" t="s">
        <v>914</v>
      </c>
      <c r="AE833" t="s">
        <v>915</v>
      </c>
    </row>
    <row r="834" spans="1:31" x14ac:dyDescent="0.25">
      <c r="A834" t="s">
        <v>31</v>
      </c>
      <c r="C834" t="s">
        <v>6381</v>
      </c>
      <c r="D834" t="s">
        <v>6498</v>
      </c>
      <c r="E834" t="s">
        <v>34</v>
      </c>
      <c r="F834" t="s">
        <v>66</v>
      </c>
      <c r="G834">
        <v>2001</v>
      </c>
      <c r="H834" t="s">
        <v>36</v>
      </c>
      <c r="I834" t="s">
        <v>6499</v>
      </c>
      <c r="J834" t="s">
        <v>31</v>
      </c>
      <c r="K834" t="s">
        <v>38</v>
      </c>
      <c r="L834" t="s">
        <v>242</v>
      </c>
      <c r="M834" t="s">
        <v>243</v>
      </c>
      <c r="N834" t="s">
        <v>244</v>
      </c>
      <c r="O834" t="s">
        <v>719</v>
      </c>
      <c r="P834" t="s">
        <v>720</v>
      </c>
      <c r="T834">
        <v>38.909533809999999</v>
      </c>
      <c r="U834">
        <v>-77.472526291999998</v>
      </c>
      <c r="V834">
        <f>SUM(W834:X834)+(Y834*0.8)+(Z834*0.4)</f>
        <v>14.44</v>
      </c>
      <c r="W834">
        <v>10.6</v>
      </c>
      <c r="X834">
        <v>0</v>
      </c>
      <c r="Y834">
        <v>4.8</v>
      </c>
      <c r="Z834">
        <v>0</v>
      </c>
      <c r="AA834" t="s">
        <v>43</v>
      </c>
      <c r="AB834">
        <v>12.5</v>
      </c>
      <c r="AD834" t="s">
        <v>6500</v>
      </c>
      <c r="AE834" t="s">
        <v>6501</v>
      </c>
    </row>
    <row r="835" spans="1:31" x14ac:dyDescent="0.25">
      <c r="A835" t="s">
        <v>31</v>
      </c>
      <c r="B835" t="s">
        <v>11350</v>
      </c>
      <c r="C835" t="s">
        <v>647</v>
      </c>
      <c r="D835" t="s">
        <v>1085</v>
      </c>
      <c r="E835" t="s">
        <v>362</v>
      </c>
      <c r="F835" t="s">
        <v>649</v>
      </c>
      <c r="G835">
        <v>2013</v>
      </c>
      <c r="H835" t="s">
        <v>36</v>
      </c>
      <c r="I835" t="s">
        <v>1086</v>
      </c>
      <c r="J835" t="s">
        <v>31</v>
      </c>
      <c r="K835" t="s">
        <v>38</v>
      </c>
      <c r="L835" t="s">
        <v>242</v>
      </c>
      <c r="M835" t="s">
        <v>243</v>
      </c>
      <c r="N835" t="s">
        <v>509</v>
      </c>
      <c r="O835" t="s">
        <v>510</v>
      </c>
      <c r="P835" t="s">
        <v>511</v>
      </c>
      <c r="T835">
        <v>38.792406593000003</v>
      </c>
      <c r="U835">
        <v>-77.548876331000002</v>
      </c>
      <c r="V835">
        <f>SUM(W835:X835)+(Y835*0.8)+(Z835*0.4)</f>
        <v>14.4</v>
      </c>
      <c r="W835">
        <v>14.4</v>
      </c>
      <c r="X835">
        <v>0</v>
      </c>
      <c r="Y835">
        <v>0</v>
      </c>
      <c r="Z835">
        <v>0</v>
      </c>
      <c r="AA835" t="s">
        <v>43</v>
      </c>
      <c r="AB835">
        <v>14.4</v>
      </c>
      <c r="AD835" t="s">
        <v>1087</v>
      </c>
      <c r="AE835" t="s">
        <v>1088</v>
      </c>
    </row>
    <row r="836" spans="1:31" x14ac:dyDescent="0.25">
      <c r="A836" t="s">
        <v>31</v>
      </c>
      <c r="C836" t="s">
        <v>9713</v>
      </c>
      <c r="D836" t="s">
        <v>9714</v>
      </c>
      <c r="E836" t="s">
        <v>34</v>
      </c>
      <c r="F836" t="s">
        <v>35</v>
      </c>
      <c r="H836" t="s">
        <v>36</v>
      </c>
      <c r="I836" t="s">
        <v>9715</v>
      </c>
      <c r="J836" t="s">
        <v>31</v>
      </c>
      <c r="K836" t="s">
        <v>38</v>
      </c>
      <c r="L836" t="s">
        <v>242</v>
      </c>
      <c r="M836" t="s">
        <v>243</v>
      </c>
      <c r="N836" t="s">
        <v>244</v>
      </c>
      <c r="O836" t="s">
        <v>2653</v>
      </c>
      <c r="P836" t="s">
        <v>2654</v>
      </c>
      <c r="T836">
        <v>38.908673049000001</v>
      </c>
      <c r="U836">
        <v>-77.219950263000001</v>
      </c>
      <c r="V836">
        <f>SUM(W836:X836)+(Y836*0.8)+(Z836*0.4)</f>
        <v>14.4</v>
      </c>
      <c r="W836">
        <v>0</v>
      </c>
      <c r="X836">
        <v>0</v>
      </c>
      <c r="Y836">
        <v>0</v>
      </c>
      <c r="Z836">
        <v>36</v>
      </c>
      <c r="AA836" t="s">
        <v>43</v>
      </c>
      <c r="AB836">
        <v>0</v>
      </c>
      <c r="AD836" t="s">
        <v>9716</v>
      </c>
      <c r="AE836" t="s">
        <v>9717</v>
      </c>
    </row>
    <row r="837" spans="1:31" x14ac:dyDescent="0.25">
      <c r="A837" t="s">
        <v>31</v>
      </c>
      <c r="C837" t="s">
        <v>3052</v>
      </c>
      <c r="D837" t="s">
        <v>3165</v>
      </c>
      <c r="E837" t="s">
        <v>34</v>
      </c>
      <c r="F837" t="s">
        <v>35</v>
      </c>
      <c r="G837">
        <v>2014</v>
      </c>
      <c r="H837" t="s">
        <v>36</v>
      </c>
      <c r="I837" t="s">
        <v>3166</v>
      </c>
      <c r="J837" t="s">
        <v>31</v>
      </c>
      <c r="K837" t="s">
        <v>38</v>
      </c>
      <c r="L837" t="s">
        <v>242</v>
      </c>
      <c r="M837" t="s">
        <v>243</v>
      </c>
      <c r="N837" t="s">
        <v>244</v>
      </c>
      <c r="O837" t="s">
        <v>3161</v>
      </c>
      <c r="P837" t="s">
        <v>3162</v>
      </c>
      <c r="T837">
        <v>38.950906128</v>
      </c>
      <c r="U837">
        <v>-77.363887715999994</v>
      </c>
      <c r="V837">
        <f>SUM(W837:X837)+(Y837*0.8)+(Z837*0.4)</f>
        <v>14.3</v>
      </c>
      <c r="W837">
        <v>14.3</v>
      </c>
      <c r="X837">
        <v>0</v>
      </c>
      <c r="Y837">
        <v>0</v>
      </c>
      <c r="Z837">
        <v>0</v>
      </c>
      <c r="AA837" t="s">
        <v>43</v>
      </c>
      <c r="AB837">
        <v>14.27</v>
      </c>
      <c r="AD837" t="s">
        <v>3167</v>
      </c>
      <c r="AE837" t="s">
        <v>3168</v>
      </c>
    </row>
    <row r="838" spans="1:31" x14ac:dyDescent="0.25">
      <c r="A838" t="s">
        <v>31</v>
      </c>
      <c r="C838" t="s">
        <v>3179</v>
      </c>
      <c r="D838" t="s">
        <v>3180</v>
      </c>
      <c r="E838" t="s">
        <v>34</v>
      </c>
      <c r="F838" t="s">
        <v>35</v>
      </c>
      <c r="G838">
        <v>2009</v>
      </c>
      <c r="H838" t="s">
        <v>36</v>
      </c>
      <c r="I838" t="s">
        <v>3181</v>
      </c>
      <c r="J838" t="s">
        <v>31</v>
      </c>
      <c r="K838" t="s">
        <v>38</v>
      </c>
      <c r="L838" t="s">
        <v>68</v>
      </c>
      <c r="M838" t="s">
        <v>69</v>
      </c>
      <c r="N838" t="s">
        <v>547</v>
      </c>
      <c r="O838" t="s">
        <v>548</v>
      </c>
      <c r="P838" t="s">
        <v>3182</v>
      </c>
      <c r="T838">
        <v>33.015099132000003</v>
      </c>
      <c r="U838">
        <v>-96.764733061000001</v>
      </c>
      <c r="V838">
        <f>SUM(W838:X838)+(Y838*0.8)+(Z838*0.4)</f>
        <v>14.2</v>
      </c>
      <c r="W838">
        <v>13</v>
      </c>
      <c r="X838">
        <v>0</v>
      </c>
      <c r="Y838">
        <v>0</v>
      </c>
      <c r="Z838">
        <v>3</v>
      </c>
      <c r="AA838" t="s">
        <v>43</v>
      </c>
      <c r="AB838">
        <v>11</v>
      </c>
      <c r="AD838" t="s">
        <v>3183</v>
      </c>
      <c r="AE838" t="s">
        <v>3184</v>
      </c>
    </row>
    <row r="839" spans="1:31" x14ac:dyDescent="0.25">
      <c r="A839" t="s">
        <v>31</v>
      </c>
      <c r="C839" t="s">
        <v>6367</v>
      </c>
      <c r="D839" t="s">
        <v>6368</v>
      </c>
      <c r="E839" t="s">
        <v>362</v>
      </c>
      <c r="F839" t="s">
        <v>372</v>
      </c>
      <c r="G839">
        <v>2019</v>
      </c>
      <c r="H839" t="s">
        <v>36</v>
      </c>
      <c r="I839" t="s">
        <v>6369</v>
      </c>
      <c r="J839" t="s">
        <v>31</v>
      </c>
      <c r="K839" t="s">
        <v>38</v>
      </c>
      <c r="L839" t="s">
        <v>123</v>
      </c>
      <c r="M839" t="s">
        <v>124</v>
      </c>
      <c r="N839" t="s">
        <v>6370</v>
      </c>
      <c r="O839" t="s">
        <v>6371</v>
      </c>
      <c r="P839" t="s">
        <v>6372</v>
      </c>
      <c r="T839">
        <v>42.679453555999999</v>
      </c>
      <c r="U839">
        <v>-76.948637128000001</v>
      </c>
      <c r="V839">
        <f>SUM(W839:X839)+(Y839*0.8)+(Z839*0.4)</f>
        <v>14</v>
      </c>
      <c r="W839">
        <v>14</v>
      </c>
      <c r="X839">
        <v>0</v>
      </c>
      <c r="Y839">
        <v>0</v>
      </c>
      <c r="Z839">
        <v>0</v>
      </c>
      <c r="AA839" t="s">
        <v>43</v>
      </c>
      <c r="AB839">
        <v>14</v>
      </c>
      <c r="AD839" t="s">
        <v>6373</v>
      </c>
      <c r="AE839" t="s">
        <v>6374</v>
      </c>
    </row>
    <row r="840" spans="1:31" x14ac:dyDescent="0.25">
      <c r="A840" t="s">
        <v>31</v>
      </c>
      <c r="B840" t="s">
        <v>11350</v>
      </c>
      <c r="C840" t="s">
        <v>647</v>
      </c>
      <c r="D840" t="s">
        <v>659</v>
      </c>
      <c r="E840" t="s">
        <v>362</v>
      </c>
      <c r="F840" t="s">
        <v>649</v>
      </c>
      <c r="G840">
        <v>2019</v>
      </c>
      <c r="H840" t="s">
        <v>36</v>
      </c>
      <c r="I840" t="s">
        <v>660</v>
      </c>
      <c r="J840" t="s">
        <v>31</v>
      </c>
      <c r="K840" t="s">
        <v>38</v>
      </c>
      <c r="L840" t="s">
        <v>242</v>
      </c>
      <c r="M840" t="s">
        <v>243</v>
      </c>
      <c r="N840" t="s">
        <v>405</v>
      </c>
      <c r="O840" t="s">
        <v>526</v>
      </c>
      <c r="P840" t="s">
        <v>527</v>
      </c>
      <c r="T840">
        <v>38.981794407999999</v>
      </c>
      <c r="U840">
        <v>-77.427586149000007</v>
      </c>
      <c r="V840">
        <f>SUM(W840:X840)+(Y840*0.8)+(Z840*0.4)</f>
        <v>14</v>
      </c>
      <c r="W840">
        <v>14</v>
      </c>
      <c r="X840">
        <v>0</v>
      </c>
      <c r="Y840">
        <v>0</v>
      </c>
      <c r="Z840">
        <v>0</v>
      </c>
      <c r="AA840" t="s">
        <v>43</v>
      </c>
      <c r="AB840">
        <v>14</v>
      </c>
      <c r="AD840" t="s">
        <v>661</v>
      </c>
      <c r="AE840" t="s">
        <v>662</v>
      </c>
    </row>
    <row r="841" spans="1:31" x14ac:dyDescent="0.25">
      <c r="A841" t="s">
        <v>31</v>
      </c>
      <c r="C841" t="s">
        <v>5181</v>
      </c>
      <c r="D841" t="s">
        <v>5428</v>
      </c>
      <c r="E841" t="s">
        <v>34</v>
      </c>
      <c r="F841" t="s">
        <v>35</v>
      </c>
      <c r="G841">
        <v>2017</v>
      </c>
      <c r="H841" t="s">
        <v>36</v>
      </c>
      <c r="I841" t="s">
        <v>5429</v>
      </c>
      <c r="J841" t="s">
        <v>31</v>
      </c>
      <c r="K841" t="s">
        <v>38</v>
      </c>
      <c r="L841" t="s">
        <v>172</v>
      </c>
      <c r="M841" t="s">
        <v>173</v>
      </c>
      <c r="N841" t="s">
        <v>780</v>
      </c>
      <c r="O841" t="s">
        <v>2067</v>
      </c>
      <c r="P841" t="s">
        <v>5425</v>
      </c>
      <c r="T841">
        <v>37.241174260999998</v>
      </c>
      <c r="U841">
        <v>-121.784706671</v>
      </c>
      <c r="V841">
        <f>SUM(W841:X841)+(Y841*0.8)+(Z841*0.4)</f>
        <v>14</v>
      </c>
      <c r="W841">
        <v>14</v>
      </c>
      <c r="X841">
        <v>0</v>
      </c>
      <c r="Y841">
        <v>0</v>
      </c>
      <c r="Z841">
        <v>0</v>
      </c>
      <c r="AA841" t="s">
        <v>43</v>
      </c>
      <c r="AB841">
        <v>13.88</v>
      </c>
      <c r="AD841" t="s">
        <v>5430</v>
      </c>
      <c r="AE841" t="s">
        <v>5431</v>
      </c>
    </row>
    <row r="842" spans="1:31" x14ac:dyDescent="0.25">
      <c r="A842" t="s">
        <v>31</v>
      </c>
      <c r="C842" t="s">
        <v>8571</v>
      </c>
      <c r="D842" t="s">
        <v>8576</v>
      </c>
      <c r="E842" t="s">
        <v>34</v>
      </c>
      <c r="F842" t="s">
        <v>66</v>
      </c>
      <c r="G842">
        <v>2016</v>
      </c>
      <c r="H842" t="s">
        <v>36</v>
      </c>
      <c r="I842" t="s">
        <v>8577</v>
      </c>
      <c r="J842" t="s">
        <v>31</v>
      </c>
      <c r="K842" t="s">
        <v>38</v>
      </c>
      <c r="L842" t="s">
        <v>242</v>
      </c>
      <c r="M842" t="s">
        <v>243</v>
      </c>
      <c r="N842" t="s">
        <v>405</v>
      </c>
      <c r="O842" t="s">
        <v>516</v>
      </c>
      <c r="P842" t="s">
        <v>517</v>
      </c>
      <c r="T842">
        <v>39.024949999999997</v>
      </c>
      <c r="U842">
        <v>-77.457599999999999</v>
      </c>
      <c r="V842">
        <f>SUM(W842:X842)+(Y842*0.8)+(Z842*0.4)</f>
        <v>14</v>
      </c>
      <c r="W842">
        <v>14</v>
      </c>
      <c r="X842">
        <v>0</v>
      </c>
      <c r="Y842">
        <v>0</v>
      </c>
      <c r="Z842">
        <v>0</v>
      </c>
      <c r="AA842" t="s">
        <v>43</v>
      </c>
      <c r="AB842">
        <v>13.9</v>
      </c>
      <c r="AC842">
        <v>1.29</v>
      </c>
      <c r="AD842" t="s">
        <v>8578</v>
      </c>
      <c r="AE842" t="s">
        <v>8579</v>
      </c>
    </row>
    <row r="843" spans="1:31" x14ac:dyDescent="0.25">
      <c r="A843" t="s">
        <v>31</v>
      </c>
      <c r="C843" t="s">
        <v>8571</v>
      </c>
      <c r="D843" t="s">
        <v>8615</v>
      </c>
      <c r="E843" t="s">
        <v>34</v>
      </c>
      <c r="F843" t="s">
        <v>66</v>
      </c>
      <c r="G843">
        <v>2014</v>
      </c>
      <c r="H843" t="s">
        <v>36</v>
      </c>
      <c r="I843" t="s">
        <v>8616</v>
      </c>
      <c r="J843" t="s">
        <v>31</v>
      </c>
      <c r="K843" t="s">
        <v>38</v>
      </c>
      <c r="L843" t="s">
        <v>172</v>
      </c>
      <c r="M843" t="s">
        <v>173</v>
      </c>
      <c r="N843" t="s">
        <v>174</v>
      </c>
      <c r="P843" t="s">
        <v>8609</v>
      </c>
      <c r="T843">
        <v>38.644551913000001</v>
      </c>
      <c r="U843">
        <v>-121.498648335</v>
      </c>
      <c r="V843">
        <f>SUM(W843:X843)+(Y843*0.8)+(Z843*0.4)</f>
        <v>14</v>
      </c>
      <c r="W843">
        <v>14</v>
      </c>
      <c r="X843">
        <v>0</v>
      </c>
      <c r="Y843">
        <v>0</v>
      </c>
      <c r="Z843">
        <v>0</v>
      </c>
      <c r="AA843" t="s">
        <v>43</v>
      </c>
      <c r="AB843">
        <v>13.63</v>
      </c>
      <c r="AD843" t="s">
        <v>8617</v>
      </c>
      <c r="AE843" t="s">
        <v>8618</v>
      </c>
    </row>
    <row r="844" spans="1:31" x14ac:dyDescent="0.25">
      <c r="A844" t="s">
        <v>31</v>
      </c>
      <c r="C844" t="s">
        <v>3312</v>
      </c>
      <c r="D844" t="s">
        <v>3484</v>
      </c>
      <c r="E844" t="s">
        <v>34</v>
      </c>
      <c r="F844" t="s">
        <v>66</v>
      </c>
      <c r="G844">
        <v>2013</v>
      </c>
      <c r="H844" t="s">
        <v>36</v>
      </c>
      <c r="I844" t="s">
        <v>3485</v>
      </c>
      <c r="J844" t="s">
        <v>31</v>
      </c>
      <c r="K844" t="s">
        <v>38</v>
      </c>
      <c r="L844" t="s">
        <v>1380</v>
      </c>
      <c r="M844" t="s">
        <v>1381</v>
      </c>
      <c r="N844" t="s">
        <v>3486</v>
      </c>
      <c r="O844" t="s">
        <v>3487</v>
      </c>
      <c r="Q844" t="s">
        <v>3487</v>
      </c>
      <c r="T844">
        <v>41.112830000000002</v>
      </c>
      <c r="U844">
        <v>-73.388597000000004</v>
      </c>
      <c r="V844">
        <f>SUM(W844:X844)+(Y844*0.8)+(Z844*0.4)</f>
        <v>14</v>
      </c>
      <c r="W844">
        <v>6</v>
      </c>
      <c r="X844">
        <v>0</v>
      </c>
      <c r="Y844">
        <v>10</v>
      </c>
      <c r="Z844">
        <v>0</v>
      </c>
      <c r="AA844" t="s">
        <v>43</v>
      </c>
      <c r="AB844">
        <v>6</v>
      </c>
      <c r="AD844" t="s">
        <v>3488</v>
      </c>
      <c r="AE844" t="s">
        <v>3489</v>
      </c>
    </row>
    <row r="845" spans="1:31" x14ac:dyDescent="0.25">
      <c r="A845" t="s">
        <v>31</v>
      </c>
      <c r="C845" t="s">
        <v>1530</v>
      </c>
      <c r="D845" t="s">
        <v>1531</v>
      </c>
      <c r="E845" t="s">
        <v>34</v>
      </c>
      <c r="F845" t="s">
        <v>35</v>
      </c>
      <c r="G845">
        <v>2012</v>
      </c>
      <c r="H845" t="s">
        <v>36</v>
      </c>
      <c r="I845" t="s">
        <v>1532</v>
      </c>
      <c r="J845" t="s">
        <v>31</v>
      </c>
      <c r="K845" t="s">
        <v>38</v>
      </c>
      <c r="L845" t="s">
        <v>317</v>
      </c>
      <c r="M845" t="s">
        <v>318</v>
      </c>
      <c r="N845" t="s">
        <v>1533</v>
      </c>
      <c r="O845" t="s">
        <v>1534</v>
      </c>
      <c r="P845" t="s">
        <v>1535</v>
      </c>
      <c r="Q845" t="s">
        <v>1534</v>
      </c>
      <c r="T845">
        <v>41.057521453</v>
      </c>
      <c r="U845">
        <v>-81.522350975999998</v>
      </c>
      <c r="V845">
        <f>SUM(W845:X845)+(Y845*0.8)+(Z845*0.4)</f>
        <v>14</v>
      </c>
      <c r="W845">
        <v>4</v>
      </c>
      <c r="X845">
        <v>0</v>
      </c>
      <c r="Y845">
        <v>0</v>
      </c>
      <c r="Z845">
        <v>25</v>
      </c>
      <c r="AA845" t="s">
        <v>43</v>
      </c>
      <c r="AB845">
        <v>1.75</v>
      </c>
      <c r="AD845" t="s">
        <v>1536</v>
      </c>
      <c r="AE845" t="s">
        <v>1537</v>
      </c>
    </row>
    <row r="846" spans="1:31" x14ac:dyDescent="0.25">
      <c r="A846" t="s">
        <v>31</v>
      </c>
      <c r="C846" t="s">
        <v>9202</v>
      </c>
      <c r="D846" t="s">
        <v>8547</v>
      </c>
      <c r="E846" t="s">
        <v>34</v>
      </c>
      <c r="F846" t="s">
        <v>66</v>
      </c>
      <c r="G846">
        <v>2011</v>
      </c>
      <c r="H846" t="s">
        <v>36</v>
      </c>
      <c r="I846" t="s">
        <v>9248</v>
      </c>
      <c r="J846" t="s">
        <v>31</v>
      </c>
      <c r="K846" t="s">
        <v>38</v>
      </c>
      <c r="L846" t="s">
        <v>193</v>
      </c>
      <c r="M846" t="s">
        <v>194</v>
      </c>
      <c r="N846" t="s">
        <v>5949</v>
      </c>
      <c r="O846" t="s">
        <v>8547</v>
      </c>
      <c r="P846" t="s">
        <v>9249</v>
      </c>
      <c r="T846">
        <v>38.917978189000003</v>
      </c>
      <c r="U846">
        <v>-104.84782584200001</v>
      </c>
      <c r="V846">
        <f>SUM(W846:X846)+(Y846*0.8)+(Z846*0.4)</f>
        <v>14</v>
      </c>
      <c r="W846">
        <v>14</v>
      </c>
      <c r="X846">
        <v>0</v>
      </c>
      <c r="Y846">
        <v>0</v>
      </c>
      <c r="Z846">
        <v>0</v>
      </c>
      <c r="AA846" t="s">
        <v>43</v>
      </c>
      <c r="AB846">
        <v>13</v>
      </c>
      <c r="AD846" t="s">
        <v>9250</v>
      </c>
      <c r="AE846" t="s">
        <v>9251</v>
      </c>
    </row>
    <row r="847" spans="1:31" x14ac:dyDescent="0.25">
      <c r="A847" t="s">
        <v>31</v>
      </c>
      <c r="C847" t="s">
        <v>5181</v>
      </c>
      <c r="D847" t="s">
        <v>5396</v>
      </c>
      <c r="E847" t="s">
        <v>34</v>
      </c>
      <c r="F847" t="s">
        <v>35</v>
      </c>
      <c r="G847">
        <v>2007</v>
      </c>
      <c r="H847" t="s">
        <v>36</v>
      </c>
      <c r="I847" t="s">
        <v>5397</v>
      </c>
      <c r="J847" t="s">
        <v>31</v>
      </c>
      <c r="K847" t="s">
        <v>38</v>
      </c>
      <c r="L847" t="s">
        <v>39</v>
      </c>
      <c r="M847" t="s">
        <v>40</v>
      </c>
      <c r="N847" t="s">
        <v>2140</v>
      </c>
      <c r="O847" t="s">
        <v>2161</v>
      </c>
      <c r="P847" t="s">
        <v>2162</v>
      </c>
      <c r="Q847" t="s">
        <v>2161</v>
      </c>
      <c r="T847">
        <v>40.777864000000001</v>
      </c>
      <c r="U847">
        <v>-74.069101000000003</v>
      </c>
      <c r="V847">
        <f>SUM(W847:X847)+(Y847*0.8)+(Z847*0.4)</f>
        <v>14</v>
      </c>
      <c r="W847">
        <v>14</v>
      </c>
      <c r="X847">
        <v>0</v>
      </c>
      <c r="Y847">
        <v>0</v>
      </c>
      <c r="Z847">
        <v>0</v>
      </c>
      <c r="AA847" t="s">
        <v>43</v>
      </c>
      <c r="AB847">
        <v>13.5</v>
      </c>
      <c r="AC847">
        <v>1.3</v>
      </c>
      <c r="AD847" t="s">
        <v>5398</v>
      </c>
      <c r="AE847" t="s">
        <v>5399</v>
      </c>
    </row>
    <row r="848" spans="1:31" x14ac:dyDescent="0.25">
      <c r="A848" t="s">
        <v>31</v>
      </c>
      <c r="C848" t="s">
        <v>3849</v>
      </c>
      <c r="D848" t="s">
        <v>4255</v>
      </c>
      <c r="E848" t="s">
        <v>34</v>
      </c>
      <c r="F848" t="s">
        <v>66</v>
      </c>
      <c r="G848">
        <v>2001</v>
      </c>
      <c r="H848" t="s">
        <v>36</v>
      </c>
      <c r="I848" t="s">
        <v>4256</v>
      </c>
      <c r="J848" t="s">
        <v>31</v>
      </c>
      <c r="K848" t="s">
        <v>38</v>
      </c>
      <c r="L848" t="s">
        <v>172</v>
      </c>
      <c r="M848" t="s">
        <v>173</v>
      </c>
      <c r="N848" t="s">
        <v>780</v>
      </c>
      <c r="O848" t="s">
        <v>781</v>
      </c>
      <c r="P848" t="s">
        <v>4257</v>
      </c>
      <c r="T848">
        <v>37.361911085999999</v>
      </c>
      <c r="U848">
        <v>-121.94632274600001</v>
      </c>
      <c r="V848">
        <f>SUM(W848:X848)+(Y848*0.8)+(Z848*0.4)</f>
        <v>14</v>
      </c>
      <c r="W848">
        <v>14</v>
      </c>
      <c r="X848">
        <v>0</v>
      </c>
      <c r="Y848">
        <v>0</v>
      </c>
      <c r="Z848">
        <v>0</v>
      </c>
      <c r="AA848" t="s">
        <v>43</v>
      </c>
      <c r="AB848">
        <v>14</v>
      </c>
      <c r="AD848" t="s">
        <v>4258</v>
      </c>
      <c r="AE848" t="s">
        <v>4259</v>
      </c>
    </row>
    <row r="849" spans="1:31" x14ac:dyDescent="0.25">
      <c r="A849" t="s">
        <v>31</v>
      </c>
      <c r="C849" t="s">
        <v>3849</v>
      </c>
      <c r="D849" t="s">
        <v>4388</v>
      </c>
      <c r="E849" t="s">
        <v>34</v>
      </c>
      <c r="F849" t="s">
        <v>66</v>
      </c>
      <c r="G849">
        <v>2006</v>
      </c>
      <c r="H849" t="s">
        <v>36</v>
      </c>
      <c r="I849" t="s">
        <v>4389</v>
      </c>
      <c r="J849" t="s">
        <v>31</v>
      </c>
      <c r="K849" t="s">
        <v>38</v>
      </c>
      <c r="L849" t="s">
        <v>242</v>
      </c>
      <c r="M849" t="s">
        <v>243</v>
      </c>
      <c r="N849" t="s">
        <v>405</v>
      </c>
      <c r="O849" t="s">
        <v>516</v>
      </c>
      <c r="P849" t="s">
        <v>853</v>
      </c>
      <c r="T849">
        <v>39.019862398999997</v>
      </c>
      <c r="U849">
        <v>-77.459974102000004</v>
      </c>
      <c r="V849">
        <f>SUM(W849:X849)+(Y849*0.8)+(Z849*0.4)</f>
        <v>13.9</v>
      </c>
      <c r="W849">
        <v>13.9</v>
      </c>
      <c r="X849">
        <v>0</v>
      </c>
      <c r="Y849">
        <v>0</v>
      </c>
      <c r="Z849">
        <v>0</v>
      </c>
      <c r="AA849" t="s">
        <v>43</v>
      </c>
      <c r="AB849">
        <v>13</v>
      </c>
      <c r="AC849">
        <v>1.5</v>
      </c>
      <c r="AD849" t="s">
        <v>4390</v>
      </c>
      <c r="AE849" t="s">
        <v>4391</v>
      </c>
    </row>
    <row r="850" spans="1:31" x14ac:dyDescent="0.25">
      <c r="A850" t="s">
        <v>31</v>
      </c>
      <c r="C850" t="s">
        <v>10102</v>
      </c>
      <c r="D850" t="s">
        <v>10125</v>
      </c>
      <c r="E850" t="s">
        <v>34</v>
      </c>
      <c r="F850" t="s">
        <v>66</v>
      </c>
      <c r="G850">
        <v>2017</v>
      </c>
      <c r="H850" t="s">
        <v>36</v>
      </c>
      <c r="I850" t="s">
        <v>10126</v>
      </c>
      <c r="J850" t="s">
        <v>31</v>
      </c>
      <c r="K850" t="s">
        <v>38</v>
      </c>
      <c r="L850" t="s">
        <v>1457</v>
      </c>
      <c r="M850" t="s">
        <v>1458</v>
      </c>
      <c r="N850" t="s">
        <v>319</v>
      </c>
      <c r="O850" t="s">
        <v>10113</v>
      </c>
      <c r="P850" t="s">
        <v>10114</v>
      </c>
      <c r="T850">
        <v>36.055900147999999</v>
      </c>
      <c r="U850">
        <v>-115.21421515999999</v>
      </c>
      <c r="V850">
        <f>SUM(W850:X850)+(Y850*0.8)+(Z850*0.4)</f>
        <v>13.75</v>
      </c>
      <c r="W850">
        <v>13.75</v>
      </c>
      <c r="X850">
        <v>0</v>
      </c>
      <c r="Y850">
        <v>0</v>
      </c>
      <c r="Z850">
        <v>0</v>
      </c>
      <c r="AA850" t="s">
        <v>43</v>
      </c>
      <c r="AB850">
        <v>13.75</v>
      </c>
      <c r="AD850" t="s">
        <v>10127</v>
      </c>
      <c r="AE850" t="s">
        <v>10128</v>
      </c>
    </row>
    <row r="851" spans="1:31" x14ac:dyDescent="0.25">
      <c r="A851" t="s">
        <v>31</v>
      </c>
      <c r="C851" t="s">
        <v>2064</v>
      </c>
      <c r="D851" t="s">
        <v>2181</v>
      </c>
      <c r="E851" t="s">
        <v>34</v>
      </c>
      <c r="F851" t="s">
        <v>35</v>
      </c>
      <c r="G851">
        <v>2001</v>
      </c>
      <c r="H851" t="s">
        <v>36</v>
      </c>
      <c r="I851" t="s">
        <v>2182</v>
      </c>
      <c r="J851" t="s">
        <v>31</v>
      </c>
      <c r="K851" t="s">
        <v>38</v>
      </c>
      <c r="L851" t="s">
        <v>242</v>
      </c>
      <c r="M851" t="s">
        <v>243</v>
      </c>
      <c r="N851" t="s">
        <v>405</v>
      </c>
      <c r="O851" t="s">
        <v>526</v>
      </c>
      <c r="P851" t="s">
        <v>527</v>
      </c>
      <c r="T851">
        <v>38.983879999999999</v>
      </c>
      <c r="U851">
        <v>-77.424700000000001</v>
      </c>
      <c r="V851">
        <f>SUM(W851:X851)+(Y851*0.8)+(Z851*0.4)</f>
        <v>13.7</v>
      </c>
      <c r="W851">
        <v>13.7</v>
      </c>
      <c r="X851">
        <v>0</v>
      </c>
      <c r="Y851">
        <v>0</v>
      </c>
      <c r="Z851">
        <v>0</v>
      </c>
      <c r="AA851" t="s">
        <v>43</v>
      </c>
      <c r="AB851">
        <v>13.7</v>
      </c>
      <c r="AD851" t="s">
        <v>2183</v>
      </c>
      <c r="AE851" t="s">
        <v>2184</v>
      </c>
    </row>
    <row r="852" spans="1:31" x14ac:dyDescent="0.25">
      <c r="A852" t="s">
        <v>31</v>
      </c>
      <c r="B852" t="s">
        <v>11350</v>
      </c>
      <c r="C852" t="s">
        <v>647</v>
      </c>
      <c r="D852" t="s">
        <v>1097</v>
      </c>
      <c r="E852" t="s">
        <v>362</v>
      </c>
      <c r="F852" t="s">
        <v>649</v>
      </c>
      <c r="G852">
        <v>2016</v>
      </c>
      <c r="H852" t="s">
        <v>36</v>
      </c>
      <c r="I852" t="s">
        <v>1098</v>
      </c>
      <c r="J852" t="s">
        <v>31</v>
      </c>
      <c r="K852" t="s">
        <v>38</v>
      </c>
      <c r="L852" t="s">
        <v>242</v>
      </c>
      <c r="M852" t="s">
        <v>243</v>
      </c>
      <c r="N852" t="s">
        <v>509</v>
      </c>
      <c r="O852" t="s">
        <v>510</v>
      </c>
      <c r="P852" t="s">
        <v>511</v>
      </c>
      <c r="T852">
        <v>38.777970904999997</v>
      </c>
      <c r="U852">
        <v>-77.558516589000007</v>
      </c>
      <c r="V852">
        <f>SUM(W852:X852)+(Y852*0.8)+(Z852*0.4)</f>
        <v>13.5</v>
      </c>
      <c r="W852">
        <v>13.5</v>
      </c>
      <c r="X852">
        <v>0</v>
      </c>
      <c r="Y852">
        <v>0</v>
      </c>
      <c r="Z852">
        <v>0</v>
      </c>
      <c r="AA852" t="s">
        <v>43</v>
      </c>
      <c r="AB852">
        <v>13.5</v>
      </c>
      <c r="AD852" t="s">
        <v>1099</v>
      </c>
      <c r="AE852" t="s">
        <v>1100</v>
      </c>
    </row>
    <row r="853" spans="1:31" x14ac:dyDescent="0.25">
      <c r="A853" t="s">
        <v>31</v>
      </c>
      <c r="B853" t="s">
        <v>11350</v>
      </c>
      <c r="C853" t="s">
        <v>647</v>
      </c>
      <c r="D853" t="s">
        <v>1101</v>
      </c>
      <c r="E853" t="s">
        <v>362</v>
      </c>
      <c r="F853" t="s">
        <v>649</v>
      </c>
      <c r="G853">
        <v>2016</v>
      </c>
      <c r="H853" t="s">
        <v>36</v>
      </c>
      <c r="I853" t="s">
        <v>1102</v>
      </c>
      <c r="J853" t="s">
        <v>31</v>
      </c>
      <c r="K853" t="s">
        <v>38</v>
      </c>
      <c r="L853" t="s">
        <v>242</v>
      </c>
      <c r="M853" t="s">
        <v>243</v>
      </c>
      <c r="N853" t="s">
        <v>509</v>
      </c>
      <c r="O853" t="s">
        <v>510</v>
      </c>
      <c r="P853" t="s">
        <v>511</v>
      </c>
      <c r="T853">
        <v>38.777806337000001</v>
      </c>
      <c r="U853">
        <v>-77.557745456000006</v>
      </c>
      <c r="V853">
        <f>SUM(W853:X853)+(Y853*0.8)+(Z853*0.4)</f>
        <v>13.5</v>
      </c>
      <c r="W853">
        <v>13.5</v>
      </c>
      <c r="X853">
        <v>0</v>
      </c>
      <c r="Y853">
        <v>0</v>
      </c>
      <c r="Z853">
        <v>0</v>
      </c>
      <c r="AA853" t="s">
        <v>43</v>
      </c>
      <c r="AB853">
        <v>13.5</v>
      </c>
      <c r="AD853" t="s">
        <v>1103</v>
      </c>
      <c r="AE853" t="s">
        <v>1104</v>
      </c>
    </row>
    <row r="854" spans="1:31" x14ac:dyDescent="0.25">
      <c r="A854" t="s">
        <v>31</v>
      </c>
      <c r="C854" t="s">
        <v>9886</v>
      </c>
      <c r="D854" t="s">
        <v>9892</v>
      </c>
      <c r="E854" t="s">
        <v>34</v>
      </c>
      <c r="F854" t="s">
        <v>66</v>
      </c>
      <c r="G854">
        <v>2015</v>
      </c>
      <c r="H854" t="s">
        <v>36</v>
      </c>
      <c r="I854" t="s">
        <v>9893</v>
      </c>
      <c r="J854" t="s">
        <v>31</v>
      </c>
      <c r="K854" t="s">
        <v>38</v>
      </c>
      <c r="L854" t="s">
        <v>86</v>
      </c>
      <c r="M854" t="s">
        <v>87</v>
      </c>
      <c r="N854" t="s">
        <v>88</v>
      </c>
      <c r="O854" t="s">
        <v>554</v>
      </c>
      <c r="P854" t="s">
        <v>2216</v>
      </c>
      <c r="T854">
        <v>42.006882795999999</v>
      </c>
      <c r="U854">
        <v>-87.964451597999997</v>
      </c>
      <c r="V854">
        <f>SUM(W854:X854)+(Y854*0.8)+(Z854*0.4)</f>
        <v>13.5</v>
      </c>
      <c r="W854">
        <v>13.5</v>
      </c>
      <c r="X854">
        <v>0</v>
      </c>
      <c r="Y854">
        <v>0</v>
      </c>
      <c r="Z854">
        <v>0</v>
      </c>
      <c r="AA854" t="s">
        <v>43</v>
      </c>
      <c r="AB854">
        <v>13.5</v>
      </c>
      <c r="AD854" t="s">
        <v>9894</v>
      </c>
      <c r="AE854" t="s">
        <v>9895</v>
      </c>
    </row>
    <row r="855" spans="1:31" x14ac:dyDescent="0.25">
      <c r="A855" t="s">
        <v>31</v>
      </c>
      <c r="B855" t="s">
        <v>11350</v>
      </c>
      <c r="C855" t="s">
        <v>647</v>
      </c>
      <c r="D855" t="s">
        <v>1081</v>
      </c>
      <c r="E855" t="s">
        <v>362</v>
      </c>
      <c r="F855" t="s">
        <v>649</v>
      </c>
      <c r="G855">
        <v>2015</v>
      </c>
      <c r="H855" t="s">
        <v>36</v>
      </c>
      <c r="I855" t="s">
        <v>1082</v>
      </c>
      <c r="J855" t="s">
        <v>31</v>
      </c>
      <c r="K855" t="s">
        <v>38</v>
      </c>
      <c r="L855" t="s">
        <v>242</v>
      </c>
      <c r="M855" t="s">
        <v>243</v>
      </c>
      <c r="N855" t="s">
        <v>405</v>
      </c>
      <c r="P855" t="s">
        <v>527</v>
      </c>
      <c r="T855">
        <v>38.986421241000002</v>
      </c>
      <c r="U855">
        <v>-77.441960101999996</v>
      </c>
      <c r="V855">
        <f>SUM(W855:X855)+(Y855*0.8)+(Z855*0.4)</f>
        <v>13.5</v>
      </c>
      <c r="W855">
        <v>13.5</v>
      </c>
      <c r="X855">
        <v>0</v>
      </c>
      <c r="Y855">
        <v>0</v>
      </c>
      <c r="Z855">
        <v>0</v>
      </c>
      <c r="AA855" t="s">
        <v>43</v>
      </c>
      <c r="AB855">
        <v>13.5</v>
      </c>
      <c r="AD855" t="s">
        <v>1083</v>
      </c>
      <c r="AE855" t="s">
        <v>1084</v>
      </c>
    </row>
    <row r="856" spans="1:31" x14ac:dyDescent="0.25">
      <c r="A856" t="s">
        <v>31</v>
      </c>
      <c r="C856" t="s">
        <v>5181</v>
      </c>
      <c r="D856" t="s">
        <v>5182</v>
      </c>
      <c r="E856" t="s">
        <v>34</v>
      </c>
      <c r="F856" t="s">
        <v>35</v>
      </c>
      <c r="G856">
        <v>2010</v>
      </c>
      <c r="H856" t="s">
        <v>36</v>
      </c>
      <c r="I856" t="s">
        <v>5183</v>
      </c>
      <c r="J856" t="s">
        <v>31</v>
      </c>
      <c r="K856" t="s">
        <v>38</v>
      </c>
      <c r="L856" t="s">
        <v>185</v>
      </c>
      <c r="M856" t="s">
        <v>186</v>
      </c>
      <c r="N856" t="s">
        <v>187</v>
      </c>
      <c r="O856" t="s">
        <v>1606</v>
      </c>
      <c r="P856" t="s">
        <v>4187</v>
      </c>
      <c r="Q856" t="s">
        <v>4290</v>
      </c>
      <c r="T856">
        <v>33.758929356000003</v>
      </c>
      <c r="U856">
        <v>-84.388114109</v>
      </c>
      <c r="V856">
        <f>SUM(W856:X856)+(Y856*0.8)+(Z856*0.4)</f>
        <v>13.5</v>
      </c>
      <c r="W856">
        <v>13.5</v>
      </c>
      <c r="X856">
        <v>0</v>
      </c>
      <c r="Y856">
        <v>0</v>
      </c>
      <c r="Z856">
        <v>0</v>
      </c>
      <c r="AA856" t="s">
        <v>43</v>
      </c>
      <c r="AB856">
        <v>8.32</v>
      </c>
      <c r="AD856" t="s">
        <v>5184</v>
      </c>
      <c r="AE856" t="s">
        <v>5185</v>
      </c>
    </row>
    <row r="857" spans="1:31" x14ac:dyDescent="0.25">
      <c r="A857" t="s">
        <v>31</v>
      </c>
      <c r="C857" t="s">
        <v>4801</v>
      </c>
      <c r="D857" t="s">
        <v>4817</v>
      </c>
      <c r="E857" t="s">
        <v>34</v>
      </c>
      <c r="F857" t="s">
        <v>66</v>
      </c>
      <c r="G857">
        <v>2026</v>
      </c>
      <c r="H857" t="s">
        <v>36</v>
      </c>
      <c r="I857" t="s">
        <v>4818</v>
      </c>
      <c r="J857" t="s">
        <v>31</v>
      </c>
      <c r="K857" t="s">
        <v>38</v>
      </c>
      <c r="L857" t="s">
        <v>193</v>
      </c>
      <c r="M857" t="s">
        <v>194</v>
      </c>
      <c r="N857" t="s">
        <v>155</v>
      </c>
      <c r="O857" t="s">
        <v>2128</v>
      </c>
      <c r="P857" t="s">
        <v>2129</v>
      </c>
      <c r="T857">
        <v>39.562944997000002</v>
      </c>
      <c r="U857">
        <v>-104.82934543</v>
      </c>
      <c r="V857">
        <f>SUM(W857:X857)+(Y857*0.8)+(Z857*0.4)</f>
        <v>13.44</v>
      </c>
      <c r="W857">
        <v>0</v>
      </c>
      <c r="X857">
        <v>9.6</v>
      </c>
      <c r="Y857">
        <v>0</v>
      </c>
      <c r="Z857">
        <v>9.6</v>
      </c>
      <c r="AA857" t="s">
        <v>43</v>
      </c>
      <c r="AB857">
        <v>3.84</v>
      </c>
      <c r="AC857">
        <v>1.4</v>
      </c>
      <c r="AD857" t="s">
        <v>4819</v>
      </c>
      <c r="AE857" t="s">
        <v>4820</v>
      </c>
    </row>
    <row r="858" spans="1:31" x14ac:dyDescent="0.25">
      <c r="A858" t="s">
        <v>31</v>
      </c>
      <c r="C858" t="s">
        <v>8540</v>
      </c>
      <c r="D858" t="s">
        <v>8547</v>
      </c>
      <c r="E858" t="s">
        <v>34</v>
      </c>
      <c r="F858" t="s">
        <v>66</v>
      </c>
      <c r="G858">
        <v>2005</v>
      </c>
      <c r="H858" t="s">
        <v>36</v>
      </c>
      <c r="I858" t="s">
        <v>8548</v>
      </c>
      <c r="J858" t="s">
        <v>31</v>
      </c>
      <c r="K858" t="s">
        <v>38</v>
      </c>
      <c r="L858" t="s">
        <v>193</v>
      </c>
      <c r="M858" t="s">
        <v>194</v>
      </c>
      <c r="N858" t="s">
        <v>5949</v>
      </c>
      <c r="O858" t="s">
        <v>8547</v>
      </c>
      <c r="P858" t="s">
        <v>8549</v>
      </c>
      <c r="T858">
        <v>39.014298672999999</v>
      </c>
      <c r="U858">
        <v>-104.814696156</v>
      </c>
      <c r="V858">
        <f>SUM(W858:X858)+(Y858*0.8)+(Z858*0.4)</f>
        <v>13</v>
      </c>
      <c r="W858">
        <v>1</v>
      </c>
      <c r="X858">
        <v>0</v>
      </c>
      <c r="Y858">
        <v>0</v>
      </c>
      <c r="Z858">
        <v>30</v>
      </c>
      <c r="AA858" t="s">
        <v>43</v>
      </c>
      <c r="AB858">
        <v>0.3</v>
      </c>
      <c r="AC858">
        <v>1.3</v>
      </c>
      <c r="AD858" t="s">
        <v>8550</v>
      </c>
      <c r="AE858" t="s">
        <v>8551</v>
      </c>
    </row>
    <row r="859" spans="1:31" x14ac:dyDescent="0.25">
      <c r="A859" t="s">
        <v>31</v>
      </c>
      <c r="C859" t="s">
        <v>3849</v>
      </c>
      <c r="D859" t="s">
        <v>4246</v>
      </c>
      <c r="E859" t="s">
        <v>34</v>
      </c>
      <c r="F859" t="s">
        <v>66</v>
      </c>
      <c r="G859">
        <v>2004</v>
      </c>
      <c r="H859" t="s">
        <v>36</v>
      </c>
      <c r="I859" t="s">
        <v>4247</v>
      </c>
      <c r="J859" t="s">
        <v>31</v>
      </c>
      <c r="K859" t="s">
        <v>38</v>
      </c>
      <c r="L859" t="s">
        <v>172</v>
      </c>
      <c r="M859" t="s">
        <v>173</v>
      </c>
      <c r="O859" t="s">
        <v>3662</v>
      </c>
      <c r="P859" t="s">
        <v>4248</v>
      </c>
      <c r="T859">
        <v>37.723797691999998</v>
      </c>
      <c r="U859">
        <v>-122.398072095</v>
      </c>
      <c r="V859">
        <f>SUM(W859:X859)+(Y859*0.8)+(Z859*0.4)</f>
        <v>13</v>
      </c>
      <c r="W859">
        <v>13</v>
      </c>
      <c r="X859">
        <v>0</v>
      </c>
      <c r="Y859">
        <v>0</v>
      </c>
      <c r="Z859">
        <v>0</v>
      </c>
      <c r="AA859" t="s">
        <v>43</v>
      </c>
      <c r="AB859">
        <v>12.9</v>
      </c>
      <c r="AD859" t="s">
        <v>4249</v>
      </c>
      <c r="AE859" t="s">
        <v>4250</v>
      </c>
    </row>
    <row r="860" spans="1:31" x14ac:dyDescent="0.25">
      <c r="A860" t="s">
        <v>31</v>
      </c>
      <c r="C860" t="s">
        <v>3849</v>
      </c>
      <c r="D860" t="s">
        <v>4645</v>
      </c>
      <c r="E860" t="s">
        <v>34</v>
      </c>
      <c r="F860" t="s">
        <v>66</v>
      </c>
      <c r="G860">
        <v>2001</v>
      </c>
      <c r="H860" t="s">
        <v>36</v>
      </c>
      <c r="I860" t="s">
        <v>4646</v>
      </c>
      <c r="J860" t="s">
        <v>31</v>
      </c>
      <c r="K860" t="s">
        <v>38</v>
      </c>
      <c r="L860" t="s">
        <v>242</v>
      </c>
      <c r="M860" t="s">
        <v>243</v>
      </c>
      <c r="N860" t="s">
        <v>244</v>
      </c>
      <c r="O860" t="s">
        <v>3161</v>
      </c>
      <c r="P860" t="s">
        <v>4647</v>
      </c>
      <c r="T860">
        <v>38.948447999999999</v>
      </c>
      <c r="U860">
        <v>-77.327186999999995</v>
      </c>
      <c r="V860">
        <f>SUM(W860:X860)+(Y860*0.8)+(Z860*0.4)</f>
        <v>13</v>
      </c>
      <c r="W860">
        <v>13</v>
      </c>
      <c r="X860">
        <v>0</v>
      </c>
      <c r="Y860">
        <v>0</v>
      </c>
      <c r="Z860">
        <v>0</v>
      </c>
      <c r="AA860" t="s">
        <v>43</v>
      </c>
      <c r="AB860">
        <v>13</v>
      </c>
      <c r="AD860" t="s">
        <v>4648</v>
      </c>
      <c r="AE860" t="s">
        <v>4649</v>
      </c>
    </row>
    <row r="861" spans="1:31" x14ac:dyDescent="0.25">
      <c r="A861" t="s">
        <v>31</v>
      </c>
      <c r="C861" t="s">
        <v>3849</v>
      </c>
      <c r="D861" t="s">
        <v>4569</v>
      </c>
      <c r="E861" t="s">
        <v>34</v>
      </c>
      <c r="F861" t="s">
        <v>66</v>
      </c>
      <c r="G861">
        <v>2000</v>
      </c>
      <c r="H861" t="s">
        <v>36</v>
      </c>
      <c r="I861" t="s">
        <v>4570</v>
      </c>
      <c r="J861" t="s">
        <v>31</v>
      </c>
      <c r="K861" t="s">
        <v>38</v>
      </c>
      <c r="L861" t="s">
        <v>68</v>
      </c>
      <c r="M861" t="s">
        <v>69</v>
      </c>
      <c r="N861" t="s">
        <v>1951</v>
      </c>
      <c r="O861" t="s">
        <v>1952</v>
      </c>
      <c r="P861" t="s">
        <v>3683</v>
      </c>
      <c r="T861">
        <v>29.941685571000001</v>
      </c>
      <c r="U861">
        <v>-95.417274289000005</v>
      </c>
      <c r="V861">
        <f>SUM(W861:X861)+(Y861*0.8)+(Z861*0.4)</f>
        <v>13</v>
      </c>
      <c r="W861">
        <v>13</v>
      </c>
      <c r="X861">
        <v>0</v>
      </c>
      <c r="Y861">
        <v>0</v>
      </c>
      <c r="Z861">
        <v>0</v>
      </c>
      <c r="AA861" t="s">
        <v>43</v>
      </c>
      <c r="AB861">
        <v>7.22</v>
      </c>
      <c r="AD861" t="s">
        <v>4571</v>
      </c>
      <c r="AE861" t="s">
        <v>4572</v>
      </c>
    </row>
    <row r="862" spans="1:31" x14ac:dyDescent="0.25">
      <c r="A862" t="s">
        <v>31</v>
      </c>
      <c r="C862" t="s">
        <v>7843</v>
      </c>
      <c r="D862" t="s">
        <v>7844</v>
      </c>
      <c r="E862" t="s">
        <v>34</v>
      </c>
      <c r="F862" t="s">
        <v>35</v>
      </c>
      <c r="G862">
        <v>2024</v>
      </c>
      <c r="H862" t="s">
        <v>36</v>
      </c>
      <c r="I862" t="s">
        <v>7845</v>
      </c>
      <c r="J862" t="s">
        <v>31</v>
      </c>
      <c r="K862" t="s">
        <v>38</v>
      </c>
      <c r="L862" t="s">
        <v>86</v>
      </c>
      <c r="M862" t="s">
        <v>87</v>
      </c>
      <c r="N862" t="s">
        <v>88</v>
      </c>
      <c r="O862" t="s">
        <v>89</v>
      </c>
      <c r="P862" t="s">
        <v>7846</v>
      </c>
      <c r="Q862" t="s">
        <v>89</v>
      </c>
      <c r="S862" t="s">
        <v>7847</v>
      </c>
      <c r="T862">
        <v>41.863651101000002</v>
      </c>
      <c r="U862">
        <v>-87.674956765999994</v>
      </c>
      <c r="V862">
        <f>SUM(W862:X862)+(Y862*0.8)+(Z862*0.4)</f>
        <v>12.8</v>
      </c>
      <c r="W862">
        <v>0</v>
      </c>
      <c r="X862">
        <v>0</v>
      </c>
      <c r="Y862">
        <v>16</v>
      </c>
      <c r="Z862">
        <v>0</v>
      </c>
      <c r="AA862" t="s">
        <v>43</v>
      </c>
      <c r="AB862">
        <v>2</v>
      </c>
      <c r="AD862" t="s">
        <v>7848</v>
      </c>
      <c r="AE862" t="s">
        <v>7849</v>
      </c>
    </row>
    <row r="863" spans="1:31" x14ac:dyDescent="0.25">
      <c r="A863" t="s">
        <v>31</v>
      </c>
      <c r="C863" t="s">
        <v>3849</v>
      </c>
      <c r="D863" t="s">
        <v>4603</v>
      </c>
      <c r="E863" t="s">
        <v>34</v>
      </c>
      <c r="F863" t="s">
        <v>66</v>
      </c>
      <c r="G863">
        <v>2017</v>
      </c>
      <c r="H863" t="s">
        <v>36</v>
      </c>
      <c r="I863" t="s">
        <v>4604</v>
      </c>
      <c r="J863" t="s">
        <v>31</v>
      </c>
      <c r="K863" t="s">
        <v>38</v>
      </c>
      <c r="L863" t="s">
        <v>86</v>
      </c>
      <c r="M863" t="s">
        <v>87</v>
      </c>
      <c r="N863" t="s">
        <v>88</v>
      </c>
      <c r="O863" t="s">
        <v>4283</v>
      </c>
      <c r="P863" t="s">
        <v>4284</v>
      </c>
      <c r="T863">
        <v>41.928428265999997</v>
      </c>
      <c r="U863">
        <v>-87.859268627000006</v>
      </c>
      <c r="V863">
        <f>SUM(W863:X863)+(Y863*0.8)+(Z863*0.4)</f>
        <v>12.8</v>
      </c>
      <c r="W863">
        <v>12.8</v>
      </c>
      <c r="X863">
        <v>0</v>
      </c>
      <c r="Y863">
        <v>0</v>
      </c>
      <c r="Z863">
        <v>0</v>
      </c>
      <c r="AA863" t="s">
        <v>43</v>
      </c>
      <c r="AB863">
        <v>8.9600000000000009</v>
      </c>
      <c r="AD863" t="s">
        <v>4605</v>
      </c>
      <c r="AE863" t="s">
        <v>4606</v>
      </c>
    </row>
    <row r="864" spans="1:31" x14ac:dyDescent="0.25">
      <c r="A864" t="s">
        <v>31</v>
      </c>
      <c r="C864" t="s">
        <v>3007</v>
      </c>
      <c r="D864" t="s">
        <v>3008</v>
      </c>
      <c r="E864" t="s">
        <v>34</v>
      </c>
      <c r="F864" t="s">
        <v>66</v>
      </c>
      <c r="H864" t="s">
        <v>36</v>
      </c>
      <c r="I864" t="s">
        <v>3009</v>
      </c>
      <c r="J864" t="s">
        <v>31</v>
      </c>
      <c r="K864" t="s">
        <v>38</v>
      </c>
      <c r="L864" t="s">
        <v>1883</v>
      </c>
      <c r="M864" t="s">
        <v>1884</v>
      </c>
      <c r="N864" t="s">
        <v>3010</v>
      </c>
      <c r="O864" t="s">
        <v>3011</v>
      </c>
      <c r="P864" t="s">
        <v>3012</v>
      </c>
      <c r="T864">
        <v>32.600911308999997</v>
      </c>
      <c r="U864">
        <v>-85.512759364000004</v>
      </c>
      <c r="V864">
        <f>SUM(W864:X864)+(Y864*0.8)+(Z864*0.4)</f>
        <v>12.8</v>
      </c>
      <c r="W864">
        <v>0</v>
      </c>
      <c r="X864">
        <v>0</v>
      </c>
      <c r="Y864">
        <v>16</v>
      </c>
      <c r="Z864">
        <v>0</v>
      </c>
      <c r="AA864" t="s">
        <v>43</v>
      </c>
      <c r="AB864">
        <v>0</v>
      </c>
      <c r="AD864" t="s">
        <v>3013</v>
      </c>
      <c r="AE864" t="s">
        <v>3014</v>
      </c>
    </row>
    <row r="865" spans="1:31" x14ac:dyDescent="0.25">
      <c r="A865" t="s">
        <v>31</v>
      </c>
      <c r="C865" t="s">
        <v>3710</v>
      </c>
      <c r="D865" t="s">
        <v>3826</v>
      </c>
      <c r="E865" t="s">
        <v>34</v>
      </c>
      <c r="F865" t="s">
        <v>35</v>
      </c>
      <c r="G865">
        <v>2019</v>
      </c>
      <c r="H865" t="s">
        <v>36</v>
      </c>
      <c r="I865" t="s">
        <v>3827</v>
      </c>
      <c r="J865" t="s">
        <v>31</v>
      </c>
      <c r="K865" t="s">
        <v>38</v>
      </c>
      <c r="L865" t="s">
        <v>3818</v>
      </c>
      <c r="M865" t="s">
        <v>3819</v>
      </c>
      <c r="N865" t="s">
        <v>3820</v>
      </c>
      <c r="O865" t="s">
        <v>3823</v>
      </c>
      <c r="P865" t="s">
        <v>3828</v>
      </c>
      <c r="S865" t="s">
        <v>3829</v>
      </c>
      <c r="T865">
        <v>38.925336907000002</v>
      </c>
      <c r="U865">
        <v>-94.770307422000002</v>
      </c>
      <c r="V865">
        <f>SUM(W865:X865)+(Y865*0.8)+(Z865*0.4)</f>
        <v>12.75</v>
      </c>
      <c r="W865">
        <v>12.75</v>
      </c>
      <c r="X865">
        <v>0</v>
      </c>
      <c r="Y865">
        <v>0</v>
      </c>
      <c r="Z865">
        <v>0</v>
      </c>
      <c r="AA865" t="s">
        <v>43</v>
      </c>
      <c r="AB865">
        <v>8.35</v>
      </c>
      <c r="AD865" t="s">
        <v>3830</v>
      </c>
      <c r="AE865" t="s">
        <v>3831</v>
      </c>
    </row>
    <row r="866" spans="1:31" x14ac:dyDescent="0.25">
      <c r="A866" t="s">
        <v>31</v>
      </c>
      <c r="C866" t="s">
        <v>3312</v>
      </c>
      <c r="D866" t="s">
        <v>3451</v>
      </c>
      <c r="E866" t="s">
        <v>34</v>
      </c>
      <c r="F866" t="s">
        <v>66</v>
      </c>
      <c r="G866">
        <v>2016</v>
      </c>
      <c r="H866" t="s">
        <v>36</v>
      </c>
      <c r="I866" t="s">
        <v>3452</v>
      </c>
      <c r="J866" t="s">
        <v>31</v>
      </c>
      <c r="K866" t="s">
        <v>38</v>
      </c>
      <c r="L866" t="s">
        <v>242</v>
      </c>
      <c r="M866" t="s">
        <v>243</v>
      </c>
      <c r="N866" t="s">
        <v>405</v>
      </c>
      <c r="O866" t="s">
        <v>526</v>
      </c>
      <c r="P866" t="s">
        <v>527</v>
      </c>
      <c r="T866">
        <v>38.985117000000002</v>
      </c>
      <c r="U866">
        <v>-77.425274000000002</v>
      </c>
      <c r="V866">
        <f>SUM(W866:X866)+(Y866*0.8)+(Z866*0.4)</f>
        <v>12.6</v>
      </c>
      <c r="W866">
        <v>12.6</v>
      </c>
      <c r="X866">
        <v>0</v>
      </c>
      <c r="Y866">
        <v>0</v>
      </c>
      <c r="Z866">
        <v>0</v>
      </c>
      <c r="AA866" t="s">
        <v>43</v>
      </c>
      <c r="AB866">
        <v>12.6</v>
      </c>
      <c r="AD866" t="s">
        <v>3453</v>
      </c>
      <c r="AE866" t="s">
        <v>3454</v>
      </c>
    </row>
    <row r="867" spans="1:31" x14ac:dyDescent="0.25">
      <c r="A867" t="s">
        <v>31</v>
      </c>
      <c r="C867" t="s">
        <v>8571</v>
      </c>
      <c r="D867" t="s">
        <v>8572</v>
      </c>
      <c r="E867" t="s">
        <v>34</v>
      </c>
      <c r="F867" t="s">
        <v>66</v>
      </c>
      <c r="G867">
        <v>2012</v>
      </c>
      <c r="H867" t="s">
        <v>36</v>
      </c>
      <c r="I867" t="s">
        <v>8573</v>
      </c>
      <c r="J867" t="s">
        <v>31</v>
      </c>
      <c r="K867" t="s">
        <v>38</v>
      </c>
      <c r="L867" t="s">
        <v>242</v>
      </c>
      <c r="M867" t="s">
        <v>243</v>
      </c>
      <c r="N867" t="s">
        <v>405</v>
      </c>
      <c r="O867" t="s">
        <v>516</v>
      </c>
      <c r="P867" t="s">
        <v>517</v>
      </c>
      <c r="T867">
        <v>39.022759999999998</v>
      </c>
      <c r="U867">
        <v>-77.454949999999997</v>
      </c>
      <c r="V867">
        <f>SUM(W867:X867)+(Y867*0.8)+(Z867*0.4)</f>
        <v>12.6</v>
      </c>
      <c r="W867">
        <v>12.6</v>
      </c>
      <c r="X867">
        <v>0</v>
      </c>
      <c r="Y867">
        <v>0</v>
      </c>
      <c r="Z867">
        <v>0</v>
      </c>
      <c r="AA867" t="s">
        <v>43</v>
      </c>
      <c r="AB867">
        <v>12.5</v>
      </c>
      <c r="AD867" t="s">
        <v>8574</v>
      </c>
      <c r="AE867" t="s">
        <v>8575</v>
      </c>
    </row>
    <row r="868" spans="1:31" x14ac:dyDescent="0.25">
      <c r="A868" t="s">
        <v>31</v>
      </c>
      <c r="C868" t="s">
        <v>8571</v>
      </c>
      <c r="D868" t="s">
        <v>8607</v>
      </c>
      <c r="E868" t="s">
        <v>34</v>
      </c>
      <c r="F868" t="s">
        <v>66</v>
      </c>
      <c r="G868">
        <v>2008</v>
      </c>
      <c r="H868" t="s">
        <v>36</v>
      </c>
      <c r="I868" t="s">
        <v>8608</v>
      </c>
      <c r="J868" t="s">
        <v>31</v>
      </c>
      <c r="K868" t="s">
        <v>38</v>
      </c>
      <c r="L868" t="s">
        <v>172</v>
      </c>
      <c r="M868" t="s">
        <v>173</v>
      </c>
      <c r="N868" t="s">
        <v>174</v>
      </c>
      <c r="O868" t="s">
        <v>7371</v>
      </c>
      <c r="P868" t="s">
        <v>8609</v>
      </c>
      <c r="T868">
        <v>38.650583908000002</v>
      </c>
      <c r="U868">
        <v>-121.48939532199999</v>
      </c>
      <c r="V868">
        <f>SUM(W868:X868)+(Y868*0.8)+(Z868*0.4)</f>
        <v>12.6</v>
      </c>
      <c r="W868">
        <v>12.6</v>
      </c>
      <c r="X868">
        <v>0</v>
      </c>
      <c r="Y868">
        <v>0</v>
      </c>
      <c r="Z868">
        <v>0</v>
      </c>
      <c r="AA868" t="s">
        <v>43</v>
      </c>
      <c r="AB868">
        <v>12.6</v>
      </c>
      <c r="AD868" t="s">
        <v>8610</v>
      </c>
      <c r="AE868" t="s">
        <v>8611</v>
      </c>
    </row>
    <row r="869" spans="1:31" x14ac:dyDescent="0.25">
      <c r="A869" t="s">
        <v>31</v>
      </c>
      <c r="C869" t="s">
        <v>9398</v>
      </c>
      <c r="D869" t="s">
        <v>9406</v>
      </c>
      <c r="E869" t="s">
        <v>34</v>
      </c>
      <c r="F869" t="s">
        <v>35</v>
      </c>
      <c r="G869">
        <v>2009</v>
      </c>
      <c r="H869" t="s">
        <v>36</v>
      </c>
      <c r="I869" t="s">
        <v>9407</v>
      </c>
      <c r="J869" t="s">
        <v>31</v>
      </c>
      <c r="K869" t="s">
        <v>38</v>
      </c>
      <c r="L869" t="s">
        <v>172</v>
      </c>
      <c r="M869" t="s">
        <v>173</v>
      </c>
      <c r="N869" t="s">
        <v>174</v>
      </c>
      <c r="O869" t="s">
        <v>9082</v>
      </c>
      <c r="P869" t="s">
        <v>2966</v>
      </c>
      <c r="S869" t="s">
        <v>9083</v>
      </c>
      <c r="T869">
        <v>38.644213127999997</v>
      </c>
      <c r="U869">
        <v>-121.407672276</v>
      </c>
      <c r="V869">
        <f>SUM(W869:X869)+(Y869*0.8)+(Z869*0.4)</f>
        <v>12.5</v>
      </c>
      <c r="W869">
        <v>12.5</v>
      </c>
      <c r="X869">
        <v>0</v>
      </c>
      <c r="Y869">
        <v>0</v>
      </c>
      <c r="Z869">
        <v>0</v>
      </c>
      <c r="AA869" t="s">
        <v>43</v>
      </c>
      <c r="AB869">
        <v>11.6</v>
      </c>
      <c r="AD869" t="s">
        <v>9408</v>
      </c>
      <c r="AE869" t="s">
        <v>9409</v>
      </c>
    </row>
    <row r="870" spans="1:31" x14ac:dyDescent="0.25">
      <c r="A870" t="s">
        <v>31</v>
      </c>
      <c r="C870" t="s">
        <v>8365</v>
      </c>
      <c r="D870" t="s">
        <v>8374</v>
      </c>
      <c r="E870" t="s">
        <v>34</v>
      </c>
      <c r="F870" t="s">
        <v>35</v>
      </c>
      <c r="G870">
        <v>2009</v>
      </c>
      <c r="H870" t="s">
        <v>36</v>
      </c>
      <c r="I870" t="s">
        <v>8375</v>
      </c>
      <c r="J870" t="s">
        <v>31</v>
      </c>
      <c r="K870" t="s">
        <v>38</v>
      </c>
      <c r="L870" t="s">
        <v>68</v>
      </c>
      <c r="M870" t="s">
        <v>69</v>
      </c>
      <c r="N870" t="s">
        <v>1951</v>
      </c>
      <c r="O870" t="s">
        <v>1952</v>
      </c>
      <c r="P870" t="s">
        <v>7193</v>
      </c>
      <c r="T870">
        <v>29.753546517</v>
      </c>
      <c r="U870">
        <v>-95.365697385000004</v>
      </c>
      <c r="V870">
        <f>SUM(W870:X870)+(Y870*0.8)+(Z870*0.4)</f>
        <v>12.5</v>
      </c>
      <c r="W870">
        <v>12.5</v>
      </c>
      <c r="X870">
        <v>0</v>
      </c>
      <c r="Y870">
        <v>0</v>
      </c>
      <c r="Z870">
        <v>0</v>
      </c>
      <c r="AA870" t="s">
        <v>43</v>
      </c>
      <c r="AB870">
        <v>9</v>
      </c>
      <c r="AD870" t="s">
        <v>8376</v>
      </c>
      <c r="AE870" t="s">
        <v>8377</v>
      </c>
    </row>
    <row r="871" spans="1:31" x14ac:dyDescent="0.25">
      <c r="A871" t="s">
        <v>31</v>
      </c>
      <c r="C871" t="s">
        <v>8571</v>
      </c>
      <c r="D871" t="s">
        <v>8600</v>
      </c>
      <c r="E871" t="s">
        <v>34</v>
      </c>
      <c r="F871" t="s">
        <v>66</v>
      </c>
      <c r="G871">
        <v>2023</v>
      </c>
      <c r="H871" t="s">
        <v>36</v>
      </c>
      <c r="I871" t="s">
        <v>8601</v>
      </c>
      <c r="J871" t="s">
        <v>31</v>
      </c>
      <c r="K871" t="s">
        <v>38</v>
      </c>
      <c r="L871" t="s">
        <v>242</v>
      </c>
      <c r="M871" t="s">
        <v>243</v>
      </c>
      <c r="N871" t="s">
        <v>405</v>
      </c>
      <c r="O871" t="s">
        <v>516</v>
      </c>
      <c r="P871" t="s">
        <v>517</v>
      </c>
      <c r="T871">
        <v>39.018920547999997</v>
      </c>
      <c r="U871">
        <v>-77.475136367000005</v>
      </c>
      <c r="V871">
        <f>SUM(W871:X871)+(Y871*0.8)+(Z871*0.4)</f>
        <v>12.4</v>
      </c>
      <c r="W871">
        <v>0</v>
      </c>
      <c r="X871">
        <v>0</v>
      </c>
      <c r="Y871">
        <v>15.5</v>
      </c>
      <c r="Z871">
        <v>0</v>
      </c>
      <c r="AA871" t="s">
        <v>43</v>
      </c>
      <c r="AB871">
        <v>0</v>
      </c>
      <c r="AD871" t="s">
        <v>8602</v>
      </c>
      <c r="AE871" t="s">
        <v>8603</v>
      </c>
    </row>
    <row r="872" spans="1:31" x14ac:dyDescent="0.25">
      <c r="A872" t="s">
        <v>31</v>
      </c>
      <c r="C872" t="s">
        <v>6832</v>
      </c>
      <c r="D872" t="s">
        <v>6907</v>
      </c>
      <c r="E872" t="s">
        <v>34</v>
      </c>
      <c r="F872" t="s">
        <v>66</v>
      </c>
      <c r="G872">
        <v>2017</v>
      </c>
      <c r="H872" t="s">
        <v>36</v>
      </c>
      <c r="I872" t="s">
        <v>6908</v>
      </c>
      <c r="J872" t="s">
        <v>31</v>
      </c>
      <c r="K872" t="s">
        <v>38</v>
      </c>
      <c r="L872" t="s">
        <v>242</v>
      </c>
      <c r="M872" t="s">
        <v>243</v>
      </c>
      <c r="N872" t="s">
        <v>509</v>
      </c>
      <c r="O872" t="s">
        <v>510</v>
      </c>
      <c r="P872" t="s">
        <v>511</v>
      </c>
      <c r="T872">
        <v>38.777912999999998</v>
      </c>
      <c r="U872">
        <v>-77.547068999999993</v>
      </c>
      <c r="V872">
        <f>SUM(W872:X872)+(Y872*0.8)+(Z872*0.4)</f>
        <v>12.4</v>
      </c>
      <c r="W872">
        <v>12.4</v>
      </c>
      <c r="X872">
        <v>0</v>
      </c>
      <c r="Y872">
        <v>0</v>
      </c>
      <c r="Z872">
        <v>0</v>
      </c>
      <c r="AA872" t="s">
        <v>43</v>
      </c>
      <c r="AB872">
        <v>12.4</v>
      </c>
      <c r="AD872" t="s">
        <v>6909</v>
      </c>
      <c r="AE872" t="s">
        <v>6910</v>
      </c>
    </row>
    <row r="873" spans="1:31" x14ac:dyDescent="0.25">
      <c r="A873" t="s">
        <v>31</v>
      </c>
      <c r="C873" t="s">
        <v>9546</v>
      </c>
      <c r="D873" t="s">
        <v>9559</v>
      </c>
      <c r="E873" t="s">
        <v>34</v>
      </c>
      <c r="F873" t="s">
        <v>35</v>
      </c>
      <c r="G873">
        <v>2000</v>
      </c>
      <c r="H873" t="s">
        <v>36</v>
      </c>
      <c r="I873" t="s">
        <v>9560</v>
      </c>
      <c r="J873" t="s">
        <v>31</v>
      </c>
      <c r="K873" t="s">
        <v>38</v>
      </c>
      <c r="L873" t="s">
        <v>843</v>
      </c>
      <c r="M873" t="s">
        <v>1644</v>
      </c>
      <c r="N873" t="s">
        <v>2232</v>
      </c>
      <c r="O873" t="s">
        <v>2233</v>
      </c>
      <c r="P873" t="s">
        <v>4938</v>
      </c>
      <c r="T873">
        <v>47.49308078</v>
      </c>
      <c r="U873">
        <v>-122.293678011</v>
      </c>
      <c r="V873">
        <f>SUM(W873:X873)+(Y873*0.8)+(Z873*0.4)</f>
        <v>12.183999999999999</v>
      </c>
      <c r="W873">
        <v>12.183999999999999</v>
      </c>
      <c r="X873">
        <v>0</v>
      </c>
      <c r="Y873">
        <v>0</v>
      </c>
      <c r="Z873">
        <v>0</v>
      </c>
      <c r="AA873" t="s">
        <v>43</v>
      </c>
      <c r="AB873">
        <v>12.170999999999999</v>
      </c>
      <c r="AC873">
        <v>1.4</v>
      </c>
      <c r="AD873" t="s">
        <v>9561</v>
      </c>
      <c r="AE873" t="s">
        <v>9562</v>
      </c>
    </row>
    <row r="874" spans="1:31" x14ac:dyDescent="0.25">
      <c r="A874" t="s">
        <v>31</v>
      </c>
      <c r="C874" t="s">
        <v>4679</v>
      </c>
      <c r="D874" t="s">
        <v>4680</v>
      </c>
      <c r="E874" t="s">
        <v>362</v>
      </c>
      <c r="F874" t="s">
        <v>630</v>
      </c>
      <c r="G874">
        <v>2008</v>
      </c>
      <c r="H874" t="s">
        <v>36</v>
      </c>
      <c r="I874" t="s">
        <v>4681</v>
      </c>
      <c r="J874" t="s">
        <v>31</v>
      </c>
      <c r="K874" t="s">
        <v>38</v>
      </c>
      <c r="L874" t="s">
        <v>86</v>
      </c>
      <c r="M874" t="s">
        <v>87</v>
      </c>
      <c r="N874" t="s">
        <v>1002</v>
      </c>
      <c r="O874" t="s">
        <v>4682</v>
      </c>
      <c r="P874" t="s">
        <v>4683</v>
      </c>
      <c r="Q874" t="s">
        <v>4684</v>
      </c>
      <c r="T874">
        <v>42.155548600000003</v>
      </c>
      <c r="U874">
        <v>-87.887241489999994</v>
      </c>
      <c r="V874">
        <f>SUM(W874:X874)+(Y874*0.8)+(Z874*0.4)</f>
        <v>12.092000000000001</v>
      </c>
      <c r="W874">
        <v>12.092000000000001</v>
      </c>
      <c r="X874">
        <v>0</v>
      </c>
      <c r="Y874">
        <v>0</v>
      </c>
      <c r="Z874">
        <v>0</v>
      </c>
      <c r="AA874" t="s">
        <v>43</v>
      </c>
      <c r="AB874">
        <v>12.092000000000001</v>
      </c>
      <c r="AD874" t="s">
        <v>4685</v>
      </c>
      <c r="AE874" t="s">
        <v>4686</v>
      </c>
    </row>
    <row r="875" spans="1:31" x14ac:dyDescent="0.25">
      <c r="A875" t="s">
        <v>31</v>
      </c>
      <c r="C875" t="s">
        <v>6381</v>
      </c>
      <c r="D875" t="s">
        <v>240</v>
      </c>
      <c r="E875" t="s">
        <v>34</v>
      </c>
      <c r="F875" t="s">
        <v>35</v>
      </c>
      <c r="G875">
        <v>2027</v>
      </c>
      <c r="H875" t="s">
        <v>36</v>
      </c>
      <c r="I875" t="s">
        <v>6489</v>
      </c>
      <c r="J875" t="s">
        <v>31</v>
      </c>
      <c r="K875" t="s">
        <v>38</v>
      </c>
      <c r="L875" t="s">
        <v>242</v>
      </c>
      <c r="M875" t="s">
        <v>243</v>
      </c>
      <c r="N875" t="s">
        <v>244</v>
      </c>
      <c r="O875" t="s">
        <v>848</v>
      </c>
      <c r="P875" t="s">
        <v>6490</v>
      </c>
      <c r="T875">
        <v>38.962904297999998</v>
      </c>
      <c r="U875">
        <v>-77.376854359999996</v>
      </c>
      <c r="V875">
        <f>SUM(W875:X875)+(Y875*0.8)+(Z875*0.4)</f>
        <v>12</v>
      </c>
      <c r="W875">
        <v>0</v>
      </c>
      <c r="X875">
        <v>0</v>
      </c>
      <c r="Y875">
        <v>15</v>
      </c>
      <c r="Z875">
        <v>0</v>
      </c>
      <c r="AA875" t="s">
        <v>43</v>
      </c>
      <c r="AB875">
        <v>0</v>
      </c>
      <c r="AD875" t="s">
        <v>6491</v>
      </c>
      <c r="AE875" t="s">
        <v>6492</v>
      </c>
    </row>
    <row r="876" spans="1:31" x14ac:dyDescent="0.25">
      <c r="A876" t="s">
        <v>31</v>
      </c>
      <c r="C876" t="s">
        <v>6595</v>
      </c>
      <c r="D876" t="s">
        <v>6596</v>
      </c>
      <c r="E876" t="s">
        <v>34</v>
      </c>
      <c r="F876" t="s">
        <v>35</v>
      </c>
      <c r="G876">
        <v>2025</v>
      </c>
      <c r="H876" t="s">
        <v>36</v>
      </c>
      <c r="I876" t="s">
        <v>6597</v>
      </c>
      <c r="J876" t="s">
        <v>31</v>
      </c>
      <c r="K876" t="s">
        <v>38</v>
      </c>
      <c r="L876" t="s">
        <v>202</v>
      </c>
      <c r="M876" t="s">
        <v>203</v>
      </c>
      <c r="N876" t="s">
        <v>433</v>
      </c>
      <c r="O876" t="s">
        <v>6598</v>
      </c>
      <c r="P876" t="s">
        <v>6599</v>
      </c>
      <c r="T876">
        <v>28.614627180999999</v>
      </c>
      <c r="U876">
        <v>-81.385270825999996</v>
      </c>
      <c r="V876">
        <f>SUM(W876:X876)+(Y876*0.8)+(Z876*0.4)</f>
        <v>12</v>
      </c>
      <c r="W876">
        <v>0</v>
      </c>
      <c r="X876">
        <v>12</v>
      </c>
      <c r="Y876">
        <v>0</v>
      </c>
      <c r="Z876">
        <v>0</v>
      </c>
      <c r="AA876" t="s">
        <v>43</v>
      </c>
      <c r="AB876">
        <v>0</v>
      </c>
      <c r="AD876" t="s">
        <v>6600</v>
      </c>
      <c r="AE876" t="s">
        <v>6601</v>
      </c>
    </row>
    <row r="877" spans="1:31" x14ac:dyDescent="0.25">
      <c r="A877" t="s">
        <v>31</v>
      </c>
      <c r="C877" t="s">
        <v>3849</v>
      </c>
      <c r="D877" t="s">
        <v>4349</v>
      </c>
      <c r="E877" t="s">
        <v>34</v>
      </c>
      <c r="F877" t="s">
        <v>35</v>
      </c>
      <c r="G877">
        <v>2022</v>
      </c>
      <c r="H877" t="s">
        <v>36</v>
      </c>
      <c r="I877" t="s">
        <v>4350</v>
      </c>
      <c r="J877" t="s">
        <v>31</v>
      </c>
      <c r="K877" t="s">
        <v>38</v>
      </c>
      <c r="L877" t="s">
        <v>39</v>
      </c>
      <c r="M877" t="s">
        <v>40</v>
      </c>
      <c r="N877" t="s">
        <v>3479</v>
      </c>
      <c r="O877" t="s">
        <v>3480</v>
      </c>
      <c r="P877" t="s">
        <v>3481</v>
      </c>
      <c r="Q877" t="s">
        <v>3480</v>
      </c>
      <c r="T877">
        <v>40.891665150000001</v>
      </c>
      <c r="U877">
        <v>-74.229666086999998</v>
      </c>
      <c r="V877">
        <f>SUM(W877:X877)+(Y877*0.8)+(Z877*0.4)</f>
        <v>12</v>
      </c>
      <c r="W877">
        <v>12</v>
      </c>
      <c r="X877">
        <v>0</v>
      </c>
      <c r="Y877">
        <v>0</v>
      </c>
      <c r="Z877">
        <v>0</v>
      </c>
      <c r="AA877" t="s">
        <v>43</v>
      </c>
      <c r="AB877">
        <v>12</v>
      </c>
      <c r="AD877" t="s">
        <v>4351</v>
      </c>
      <c r="AE877" t="s">
        <v>4352</v>
      </c>
    </row>
    <row r="878" spans="1:31" x14ac:dyDescent="0.25">
      <c r="A878" t="s">
        <v>31</v>
      </c>
      <c r="C878" t="s">
        <v>3710</v>
      </c>
      <c r="D878" t="s">
        <v>2087</v>
      </c>
      <c r="E878" t="s">
        <v>34</v>
      </c>
      <c r="F878" t="s">
        <v>35</v>
      </c>
      <c r="G878">
        <v>2019</v>
      </c>
      <c r="H878" t="s">
        <v>36</v>
      </c>
      <c r="I878" t="s">
        <v>3756</v>
      </c>
      <c r="J878" t="s">
        <v>31</v>
      </c>
      <c r="K878" t="s">
        <v>38</v>
      </c>
      <c r="L878" t="s">
        <v>185</v>
      </c>
      <c r="M878" t="s">
        <v>186</v>
      </c>
      <c r="N878" t="s">
        <v>187</v>
      </c>
      <c r="O878" t="s">
        <v>1606</v>
      </c>
      <c r="P878" t="s">
        <v>3757</v>
      </c>
      <c r="Q878" t="s">
        <v>3758</v>
      </c>
      <c r="T878">
        <v>33.775314999999999</v>
      </c>
      <c r="U878">
        <v>-84.387800999999996</v>
      </c>
      <c r="V878">
        <f>SUM(W878:X878)+(Y878*0.8)+(Z878*0.4)</f>
        <v>12</v>
      </c>
      <c r="W878">
        <v>10</v>
      </c>
      <c r="X878">
        <v>0</v>
      </c>
      <c r="Y878">
        <v>2.5</v>
      </c>
      <c r="Z878">
        <v>0</v>
      </c>
      <c r="AA878" t="s">
        <v>43</v>
      </c>
      <c r="AB878">
        <v>10</v>
      </c>
      <c r="AC878">
        <v>1.2</v>
      </c>
      <c r="AD878" t="s">
        <v>3759</v>
      </c>
      <c r="AE878" t="s">
        <v>3760</v>
      </c>
    </row>
    <row r="879" spans="1:31" x14ac:dyDescent="0.25">
      <c r="A879" t="s">
        <v>31</v>
      </c>
      <c r="C879" t="s">
        <v>2064</v>
      </c>
      <c r="D879" t="s">
        <v>2081</v>
      </c>
      <c r="E879" t="s">
        <v>34</v>
      </c>
      <c r="F879" t="s">
        <v>35</v>
      </c>
      <c r="G879">
        <v>2019</v>
      </c>
      <c r="H879" t="s">
        <v>36</v>
      </c>
      <c r="I879" t="s">
        <v>2082</v>
      </c>
      <c r="J879" t="s">
        <v>31</v>
      </c>
      <c r="K879" t="s">
        <v>38</v>
      </c>
      <c r="L879" t="s">
        <v>68</v>
      </c>
      <c r="M879" t="s">
        <v>69</v>
      </c>
      <c r="N879" t="s">
        <v>547</v>
      </c>
      <c r="O879" t="s">
        <v>2081</v>
      </c>
      <c r="P879" t="s">
        <v>2083</v>
      </c>
      <c r="Q879" t="s">
        <v>2084</v>
      </c>
      <c r="T879">
        <v>33.095097711000001</v>
      </c>
      <c r="U879">
        <v>-96.683682399999995</v>
      </c>
      <c r="V879">
        <f>SUM(W879:X879)+(Y879*0.8)+(Z879*0.4)</f>
        <v>12</v>
      </c>
      <c r="W879">
        <v>12</v>
      </c>
      <c r="X879">
        <v>0</v>
      </c>
      <c r="Y879">
        <v>0</v>
      </c>
      <c r="Z879">
        <v>0</v>
      </c>
      <c r="AA879" t="s">
        <v>43</v>
      </c>
      <c r="AB879">
        <v>9.5</v>
      </c>
      <c r="AD879" t="s">
        <v>2085</v>
      </c>
      <c r="AE879" t="s">
        <v>2086</v>
      </c>
    </row>
    <row r="880" spans="1:31" x14ac:dyDescent="0.25">
      <c r="A880" t="s">
        <v>31</v>
      </c>
      <c r="C880" t="s">
        <v>9713</v>
      </c>
      <c r="D880" t="s">
        <v>2087</v>
      </c>
      <c r="E880" t="s">
        <v>34</v>
      </c>
      <c r="F880" t="s">
        <v>66</v>
      </c>
      <c r="G880">
        <v>2012</v>
      </c>
      <c r="H880" t="s">
        <v>36</v>
      </c>
      <c r="I880" t="s">
        <v>9718</v>
      </c>
      <c r="J880" t="s">
        <v>31</v>
      </c>
      <c r="K880" t="s">
        <v>38</v>
      </c>
      <c r="L880" t="s">
        <v>185</v>
      </c>
      <c r="M880" t="s">
        <v>186</v>
      </c>
      <c r="N880" t="s">
        <v>9366</v>
      </c>
      <c r="O880" t="s">
        <v>9367</v>
      </c>
      <c r="P880" t="s">
        <v>9719</v>
      </c>
      <c r="T880">
        <v>34.036064197000002</v>
      </c>
      <c r="U880">
        <v>-84.06411568</v>
      </c>
      <c r="V880">
        <f>SUM(W880:X880)+(Y880*0.8)+(Z880*0.4)</f>
        <v>12</v>
      </c>
      <c r="W880">
        <v>12</v>
      </c>
      <c r="X880">
        <v>0</v>
      </c>
      <c r="Y880">
        <v>0</v>
      </c>
      <c r="Z880">
        <v>0</v>
      </c>
      <c r="AA880" t="s">
        <v>43</v>
      </c>
      <c r="AB880">
        <v>8.5</v>
      </c>
      <c r="AC880">
        <v>1.35</v>
      </c>
      <c r="AD880" t="s">
        <v>9720</v>
      </c>
      <c r="AE880" t="s">
        <v>9721</v>
      </c>
    </row>
    <row r="881" spans="1:31" x14ac:dyDescent="0.25">
      <c r="A881" t="s">
        <v>31</v>
      </c>
      <c r="C881" t="s">
        <v>9713</v>
      </c>
      <c r="D881" t="s">
        <v>9742</v>
      </c>
      <c r="E881" t="s">
        <v>34</v>
      </c>
      <c r="F881" t="s">
        <v>35</v>
      </c>
      <c r="G881">
        <v>2012</v>
      </c>
      <c r="H881" t="s">
        <v>36</v>
      </c>
      <c r="I881" t="s">
        <v>9743</v>
      </c>
      <c r="J881" t="s">
        <v>31</v>
      </c>
      <c r="K881" t="s">
        <v>38</v>
      </c>
      <c r="L881" t="s">
        <v>172</v>
      </c>
      <c r="M881" t="s">
        <v>173</v>
      </c>
      <c r="N881" t="s">
        <v>493</v>
      </c>
      <c r="O881" t="s">
        <v>4273</v>
      </c>
      <c r="P881" t="s">
        <v>4274</v>
      </c>
      <c r="T881">
        <v>33.921809985000003</v>
      </c>
      <c r="U881">
        <v>-118.38652658700001</v>
      </c>
      <c r="V881">
        <f>SUM(W881:X881)+(Y881*0.8)+(Z881*0.4)</f>
        <v>12</v>
      </c>
      <c r="W881">
        <v>12</v>
      </c>
      <c r="X881">
        <v>0</v>
      </c>
      <c r="Y881">
        <v>0</v>
      </c>
      <c r="Z881">
        <v>0</v>
      </c>
      <c r="AA881" t="s">
        <v>43</v>
      </c>
      <c r="AB881">
        <v>11.65</v>
      </c>
      <c r="AC881">
        <v>1.3</v>
      </c>
      <c r="AD881" t="s">
        <v>9744</v>
      </c>
      <c r="AE881" t="s">
        <v>9745</v>
      </c>
    </row>
    <row r="882" spans="1:31" x14ac:dyDescent="0.25">
      <c r="A882" t="s">
        <v>31</v>
      </c>
      <c r="C882" t="s">
        <v>5181</v>
      </c>
      <c r="D882" t="s">
        <v>5261</v>
      </c>
      <c r="E882" t="s">
        <v>34</v>
      </c>
      <c r="F882" t="s">
        <v>35</v>
      </c>
      <c r="G882">
        <v>2012</v>
      </c>
      <c r="H882" t="s">
        <v>36</v>
      </c>
      <c r="I882" t="s">
        <v>5262</v>
      </c>
      <c r="J882" t="s">
        <v>31</v>
      </c>
      <c r="K882" t="s">
        <v>38</v>
      </c>
      <c r="L882" t="s">
        <v>242</v>
      </c>
      <c r="M882" t="s">
        <v>243</v>
      </c>
      <c r="N882" t="s">
        <v>405</v>
      </c>
      <c r="O882" t="s">
        <v>516</v>
      </c>
      <c r="P882" t="s">
        <v>853</v>
      </c>
      <c r="Q882" t="s">
        <v>5263</v>
      </c>
      <c r="T882">
        <v>39.020941999999998</v>
      </c>
      <c r="U882">
        <v>-77.451500999999993</v>
      </c>
      <c r="V882">
        <f>SUM(W882:X882)+(Y882*0.8)+(Z882*0.4)</f>
        <v>12</v>
      </c>
      <c r="W882">
        <v>12</v>
      </c>
      <c r="X882">
        <v>0</v>
      </c>
      <c r="Y882">
        <v>0</v>
      </c>
      <c r="Z882">
        <v>0</v>
      </c>
      <c r="AA882" t="s">
        <v>43</v>
      </c>
      <c r="AB882">
        <v>11.75</v>
      </c>
      <c r="AD882" t="s">
        <v>5264</v>
      </c>
      <c r="AE882" t="s">
        <v>5265</v>
      </c>
    </row>
    <row r="883" spans="1:31" x14ac:dyDescent="0.25">
      <c r="A883" t="s">
        <v>31</v>
      </c>
      <c r="C883" t="s">
        <v>6742</v>
      </c>
      <c r="D883" t="s">
        <v>6743</v>
      </c>
      <c r="E883" t="s">
        <v>34</v>
      </c>
      <c r="F883" t="s">
        <v>35</v>
      </c>
      <c r="G883">
        <v>2011</v>
      </c>
      <c r="H883" t="s">
        <v>36</v>
      </c>
      <c r="I883" t="s">
        <v>6744</v>
      </c>
      <c r="J883" t="s">
        <v>31</v>
      </c>
      <c r="K883" t="s">
        <v>38</v>
      </c>
      <c r="L883" t="s">
        <v>68</v>
      </c>
      <c r="M883" t="s">
        <v>69</v>
      </c>
      <c r="N883" t="s">
        <v>547</v>
      </c>
      <c r="O883" t="s">
        <v>548</v>
      </c>
      <c r="P883" t="s">
        <v>3182</v>
      </c>
      <c r="T883">
        <v>33.015774999999998</v>
      </c>
      <c r="U883">
        <v>-96.768720000000002</v>
      </c>
      <c r="V883">
        <f>SUM(W883:X883)+(Y883*0.8)+(Z883*0.4)</f>
        <v>12</v>
      </c>
      <c r="W883">
        <v>12</v>
      </c>
      <c r="X883">
        <v>0</v>
      </c>
      <c r="Y883">
        <v>0</v>
      </c>
      <c r="Z883">
        <v>0</v>
      </c>
      <c r="AA883" t="s">
        <v>43</v>
      </c>
      <c r="AB883">
        <v>10</v>
      </c>
      <c r="AD883" t="s">
        <v>6745</v>
      </c>
      <c r="AE883" t="s">
        <v>6746</v>
      </c>
    </row>
    <row r="884" spans="1:31" x14ac:dyDescent="0.25">
      <c r="A884" t="s">
        <v>31</v>
      </c>
      <c r="C884" t="s">
        <v>5499</v>
      </c>
      <c r="D884" t="s">
        <v>5509</v>
      </c>
      <c r="E884" t="s">
        <v>34</v>
      </c>
      <c r="F884" t="s">
        <v>35</v>
      </c>
      <c r="G884">
        <v>2011</v>
      </c>
      <c r="H884" t="s">
        <v>36</v>
      </c>
      <c r="I884" t="s">
        <v>5510</v>
      </c>
      <c r="J884" t="s">
        <v>31</v>
      </c>
      <c r="K884" t="s">
        <v>38</v>
      </c>
      <c r="L884" t="s">
        <v>68</v>
      </c>
      <c r="M884" t="s">
        <v>69</v>
      </c>
      <c r="N884" t="s">
        <v>547</v>
      </c>
      <c r="O884" t="s">
        <v>548</v>
      </c>
      <c r="P884" t="s">
        <v>3182</v>
      </c>
      <c r="T884">
        <v>33.015723098999999</v>
      </c>
      <c r="U884">
        <v>-96.768863646</v>
      </c>
      <c r="V884">
        <f>SUM(W884:X884)+(Y884*0.8)+(Z884*0.4)</f>
        <v>12</v>
      </c>
      <c r="W884">
        <v>12</v>
      </c>
      <c r="X884">
        <v>0</v>
      </c>
      <c r="Y884">
        <v>0</v>
      </c>
      <c r="Z884">
        <v>0</v>
      </c>
      <c r="AA884" t="s">
        <v>43</v>
      </c>
      <c r="AB884">
        <v>11</v>
      </c>
      <c r="AD884" t="s">
        <v>5511</v>
      </c>
      <c r="AE884" t="s">
        <v>5512</v>
      </c>
    </row>
    <row r="885" spans="1:31" x14ac:dyDescent="0.25">
      <c r="A885" t="s">
        <v>31</v>
      </c>
      <c r="C885" t="s">
        <v>3849</v>
      </c>
      <c r="D885" t="s">
        <v>4607</v>
      </c>
      <c r="E885" t="s">
        <v>34</v>
      </c>
      <c r="F885" t="s">
        <v>66</v>
      </c>
      <c r="G885">
        <v>2011</v>
      </c>
      <c r="H885" t="s">
        <v>36</v>
      </c>
      <c r="I885" t="s">
        <v>4608</v>
      </c>
      <c r="J885" t="s">
        <v>31</v>
      </c>
      <c r="K885" t="s">
        <v>38</v>
      </c>
      <c r="L885" t="s">
        <v>86</v>
      </c>
      <c r="M885" t="s">
        <v>87</v>
      </c>
      <c r="N885" t="s">
        <v>88</v>
      </c>
      <c r="O885" t="s">
        <v>577</v>
      </c>
      <c r="P885" t="s">
        <v>578</v>
      </c>
      <c r="Q885" t="s">
        <v>579</v>
      </c>
      <c r="T885">
        <v>41.920482999999997</v>
      </c>
      <c r="U885">
        <v>-87.912334000000001</v>
      </c>
      <c r="V885">
        <f>SUM(W885:X885)+(Y885*0.8)+(Z885*0.4)</f>
        <v>12</v>
      </c>
      <c r="W885">
        <v>12</v>
      </c>
      <c r="X885">
        <v>0</v>
      </c>
      <c r="Y885">
        <v>0</v>
      </c>
      <c r="Z885">
        <v>0</v>
      </c>
      <c r="AA885" t="s">
        <v>43</v>
      </c>
      <c r="AB885">
        <v>12</v>
      </c>
      <c r="AC885">
        <v>1.3</v>
      </c>
      <c r="AD885" t="s">
        <v>4609</v>
      </c>
      <c r="AE885" t="s">
        <v>4610</v>
      </c>
    </row>
    <row r="886" spans="1:31" x14ac:dyDescent="0.25">
      <c r="A886" t="s">
        <v>31</v>
      </c>
      <c r="C886" t="s">
        <v>5181</v>
      </c>
      <c r="D886" t="s">
        <v>5388</v>
      </c>
      <c r="E886" t="s">
        <v>34</v>
      </c>
      <c r="F886" t="s">
        <v>35</v>
      </c>
      <c r="G886">
        <v>2001</v>
      </c>
      <c r="H886" t="s">
        <v>36</v>
      </c>
      <c r="I886" t="s">
        <v>5389</v>
      </c>
      <c r="J886" t="s">
        <v>31</v>
      </c>
      <c r="K886" t="s">
        <v>38</v>
      </c>
      <c r="L886" t="s">
        <v>39</v>
      </c>
      <c r="M886" t="s">
        <v>40</v>
      </c>
      <c r="N886" t="s">
        <v>2140</v>
      </c>
      <c r="O886" t="s">
        <v>2161</v>
      </c>
      <c r="P886" t="s">
        <v>2162</v>
      </c>
      <c r="T886">
        <v>40.777810000000002</v>
      </c>
      <c r="U886">
        <v>-74.076335</v>
      </c>
      <c r="V886">
        <f>SUM(W886:X886)+(Y886*0.8)+(Z886*0.4)</f>
        <v>12</v>
      </c>
      <c r="W886">
        <v>12</v>
      </c>
      <c r="X886">
        <v>0</v>
      </c>
      <c r="Y886">
        <v>0</v>
      </c>
      <c r="Z886">
        <v>0</v>
      </c>
      <c r="AA886" t="s">
        <v>43</v>
      </c>
      <c r="AB886">
        <v>11.8</v>
      </c>
      <c r="AD886" t="s">
        <v>5390</v>
      </c>
      <c r="AE886" t="s">
        <v>5391</v>
      </c>
    </row>
    <row r="887" spans="1:31" x14ac:dyDescent="0.25">
      <c r="A887" t="s">
        <v>31</v>
      </c>
      <c r="C887" t="s">
        <v>2064</v>
      </c>
      <c r="D887" t="s">
        <v>2244</v>
      </c>
      <c r="E887" t="s">
        <v>34</v>
      </c>
      <c r="F887" t="s">
        <v>66</v>
      </c>
      <c r="G887">
        <v>2001</v>
      </c>
      <c r="H887" t="s">
        <v>36</v>
      </c>
      <c r="I887" t="s">
        <v>2245</v>
      </c>
      <c r="J887" t="s">
        <v>31</v>
      </c>
      <c r="K887" t="s">
        <v>38</v>
      </c>
      <c r="L887" t="s">
        <v>172</v>
      </c>
      <c r="M887" t="s">
        <v>173</v>
      </c>
      <c r="N887" t="s">
        <v>780</v>
      </c>
      <c r="O887" t="s">
        <v>781</v>
      </c>
      <c r="P887" t="s">
        <v>2246</v>
      </c>
      <c r="T887">
        <v>37.397570000000002</v>
      </c>
      <c r="U887">
        <v>-121.98125</v>
      </c>
      <c r="V887">
        <f>SUM(W887:X887)+(Y887*0.8)+(Z887*0.4)</f>
        <v>12</v>
      </c>
      <c r="W887">
        <v>12</v>
      </c>
      <c r="X887">
        <v>0</v>
      </c>
      <c r="Y887">
        <v>0</v>
      </c>
      <c r="Z887">
        <v>0</v>
      </c>
      <c r="AA887" t="s">
        <v>43</v>
      </c>
      <c r="AB887">
        <v>11.81</v>
      </c>
      <c r="AD887" t="s">
        <v>2247</v>
      </c>
      <c r="AE887" t="s">
        <v>2248</v>
      </c>
    </row>
    <row r="888" spans="1:31" x14ac:dyDescent="0.25">
      <c r="A888" t="s">
        <v>31</v>
      </c>
      <c r="C888" t="s">
        <v>7076</v>
      </c>
      <c r="D888" t="s">
        <v>7077</v>
      </c>
      <c r="E888" t="s">
        <v>362</v>
      </c>
      <c r="F888" t="s">
        <v>630</v>
      </c>
      <c r="G888">
        <v>2014</v>
      </c>
      <c r="H888" t="s">
        <v>36</v>
      </c>
      <c r="I888" t="s">
        <v>7078</v>
      </c>
      <c r="J888" t="s">
        <v>31</v>
      </c>
      <c r="K888" t="s">
        <v>38</v>
      </c>
      <c r="L888" t="s">
        <v>326</v>
      </c>
      <c r="M888" t="s">
        <v>327</v>
      </c>
      <c r="N888" t="s">
        <v>328</v>
      </c>
      <c r="O888" t="s">
        <v>590</v>
      </c>
      <c r="P888" t="s">
        <v>7079</v>
      </c>
      <c r="S888" t="s">
        <v>4763</v>
      </c>
      <c r="T888">
        <v>33.493184356999997</v>
      </c>
      <c r="U888">
        <v>-112.07022295500001</v>
      </c>
      <c r="V888">
        <f>SUM(W888:X888)+(Y888*0.8)+(Z888*0.4)</f>
        <v>11.8</v>
      </c>
      <c r="W888">
        <v>9</v>
      </c>
      <c r="X888">
        <v>0</v>
      </c>
      <c r="Y888">
        <v>0</v>
      </c>
      <c r="Z888">
        <v>7</v>
      </c>
      <c r="AA888" t="s">
        <v>43</v>
      </c>
      <c r="AB888">
        <v>9</v>
      </c>
      <c r="AD888" t="s">
        <v>7080</v>
      </c>
      <c r="AE888" t="s">
        <v>7081</v>
      </c>
    </row>
    <row r="889" spans="1:31" x14ac:dyDescent="0.25">
      <c r="A889" t="s">
        <v>31</v>
      </c>
      <c r="C889" t="s">
        <v>3849</v>
      </c>
      <c r="D889" t="s">
        <v>4220</v>
      </c>
      <c r="E889" t="s">
        <v>34</v>
      </c>
      <c r="F889" t="s">
        <v>66</v>
      </c>
      <c r="G889">
        <v>2000</v>
      </c>
      <c r="H889" t="s">
        <v>36</v>
      </c>
      <c r="I889" t="s">
        <v>4221</v>
      </c>
      <c r="J889" t="s">
        <v>31</v>
      </c>
      <c r="K889" t="s">
        <v>38</v>
      </c>
      <c r="L889" t="s">
        <v>251</v>
      </c>
      <c r="M889" t="s">
        <v>252</v>
      </c>
      <c r="N889" t="s">
        <v>4198</v>
      </c>
      <c r="O889" t="s">
        <v>4199</v>
      </c>
      <c r="P889" t="s">
        <v>4222</v>
      </c>
      <c r="Q889" t="s">
        <v>4199</v>
      </c>
      <c r="T889">
        <v>42.301229999999997</v>
      </c>
      <c r="U889">
        <v>-71.218993999999995</v>
      </c>
      <c r="V889">
        <f>SUM(W889:X889)+(Y889*0.8)+(Z889*0.4)</f>
        <v>11.7</v>
      </c>
      <c r="W889">
        <v>11.7</v>
      </c>
      <c r="X889">
        <v>0</v>
      </c>
      <c r="Y889">
        <v>0</v>
      </c>
      <c r="Z889">
        <v>0</v>
      </c>
      <c r="AA889" t="s">
        <v>43</v>
      </c>
      <c r="AB889">
        <v>4.4000000000000004</v>
      </c>
      <c r="AC889">
        <v>1.5</v>
      </c>
      <c r="AD889" t="s">
        <v>4223</v>
      </c>
      <c r="AE889" t="s">
        <v>4224</v>
      </c>
    </row>
    <row r="890" spans="1:31" x14ac:dyDescent="0.25">
      <c r="A890" t="s">
        <v>31</v>
      </c>
      <c r="C890" t="s">
        <v>6953</v>
      </c>
      <c r="D890" t="s">
        <v>10705</v>
      </c>
      <c r="E890" t="s">
        <v>34</v>
      </c>
      <c r="F890" t="s">
        <v>66</v>
      </c>
      <c r="H890" t="s">
        <v>36</v>
      </c>
      <c r="I890" t="s">
        <v>10706</v>
      </c>
      <c r="J890" t="s">
        <v>31</v>
      </c>
      <c r="K890" t="s">
        <v>38</v>
      </c>
      <c r="L890" t="s">
        <v>86</v>
      </c>
      <c r="M890" t="s">
        <v>87</v>
      </c>
      <c r="N890" t="s">
        <v>88</v>
      </c>
      <c r="O890" t="s">
        <v>10707</v>
      </c>
      <c r="P890" t="s">
        <v>10708</v>
      </c>
      <c r="T890">
        <v>41.871182111000003</v>
      </c>
      <c r="U890">
        <v>-87.898440578000006</v>
      </c>
      <c r="V890">
        <f>SUM(W890:X890)+(Y890*0.8)+(Z890*0.4)</f>
        <v>11.600000000000001</v>
      </c>
      <c r="W890">
        <v>0</v>
      </c>
      <c r="X890">
        <v>0</v>
      </c>
      <c r="Y890">
        <v>0</v>
      </c>
      <c r="Z890">
        <v>29</v>
      </c>
      <c r="AA890" t="s">
        <v>43</v>
      </c>
      <c r="AB890">
        <v>0</v>
      </c>
      <c r="AD890" t="s">
        <v>10709</v>
      </c>
      <c r="AE890" t="s">
        <v>10710</v>
      </c>
    </row>
    <row r="891" spans="1:31" x14ac:dyDescent="0.25">
      <c r="A891" t="s">
        <v>31</v>
      </c>
      <c r="C891" t="s">
        <v>2064</v>
      </c>
      <c r="D891" t="s">
        <v>2213</v>
      </c>
      <c r="E891" t="s">
        <v>34</v>
      </c>
      <c r="F891" t="s">
        <v>35</v>
      </c>
      <c r="G891">
        <v>2008</v>
      </c>
      <c r="H891" t="s">
        <v>36</v>
      </c>
      <c r="I891" t="s">
        <v>2214</v>
      </c>
      <c r="J891" t="s">
        <v>31</v>
      </c>
      <c r="K891" t="s">
        <v>38</v>
      </c>
      <c r="L891" t="s">
        <v>86</v>
      </c>
      <c r="M891" t="s">
        <v>87</v>
      </c>
      <c r="N891" t="s">
        <v>2215</v>
      </c>
      <c r="O891" t="s">
        <v>554</v>
      </c>
      <c r="P891" t="s">
        <v>2216</v>
      </c>
      <c r="T891">
        <v>41.992330000000003</v>
      </c>
      <c r="U891">
        <v>-87.958290000000005</v>
      </c>
      <c r="V891">
        <f>SUM(W891:X891)+(Y891*0.8)+(Z891*0.4)</f>
        <v>11.6</v>
      </c>
      <c r="W891">
        <v>11.6</v>
      </c>
      <c r="X891">
        <v>0</v>
      </c>
      <c r="Y891">
        <v>0</v>
      </c>
      <c r="Z891">
        <v>0</v>
      </c>
      <c r="AA891" t="s">
        <v>43</v>
      </c>
      <c r="AB891">
        <v>9.09</v>
      </c>
      <c r="AD891" t="s">
        <v>2217</v>
      </c>
      <c r="AE891" t="s">
        <v>2218</v>
      </c>
    </row>
    <row r="892" spans="1:31" x14ac:dyDescent="0.25">
      <c r="A892" t="s">
        <v>31</v>
      </c>
      <c r="C892" t="s">
        <v>3849</v>
      </c>
      <c r="D892" t="s">
        <v>4251</v>
      </c>
      <c r="E892" t="s">
        <v>34</v>
      </c>
      <c r="F892" t="s">
        <v>66</v>
      </c>
      <c r="G892">
        <v>2013</v>
      </c>
      <c r="H892" t="s">
        <v>36</v>
      </c>
      <c r="I892" t="s">
        <v>4252</v>
      </c>
      <c r="J892" t="s">
        <v>31</v>
      </c>
      <c r="K892" t="s">
        <v>38</v>
      </c>
      <c r="L892" t="s">
        <v>843</v>
      </c>
      <c r="M892" t="s">
        <v>1644</v>
      </c>
      <c r="N892" t="s">
        <v>2232</v>
      </c>
      <c r="O892" t="s">
        <v>4155</v>
      </c>
      <c r="P892" t="s">
        <v>4156</v>
      </c>
      <c r="Q892" t="s">
        <v>3086</v>
      </c>
      <c r="S892" t="s">
        <v>4157</v>
      </c>
      <c r="T892">
        <v>47.614430931000001</v>
      </c>
      <c r="U892">
        <v>-122.33974678600001</v>
      </c>
      <c r="V892">
        <f>SUM(W892:X892)+(Y892*0.8)+(Z892*0.4)</f>
        <v>11.3</v>
      </c>
      <c r="W892">
        <v>11.3</v>
      </c>
      <c r="X892">
        <v>0</v>
      </c>
      <c r="Y892">
        <v>0</v>
      </c>
      <c r="Z892">
        <v>0</v>
      </c>
      <c r="AA892" t="s">
        <v>43</v>
      </c>
      <c r="AB892">
        <v>11.3</v>
      </c>
      <c r="AD892" t="s">
        <v>4253</v>
      </c>
      <c r="AE892" t="s">
        <v>4254</v>
      </c>
    </row>
    <row r="893" spans="1:31" x14ac:dyDescent="0.25">
      <c r="A893" t="s">
        <v>31</v>
      </c>
      <c r="C893" t="s">
        <v>5765</v>
      </c>
      <c r="D893" t="s">
        <v>5841</v>
      </c>
      <c r="E893" t="s">
        <v>34</v>
      </c>
      <c r="F893" t="s">
        <v>66</v>
      </c>
      <c r="G893">
        <v>2013</v>
      </c>
      <c r="H893" t="s">
        <v>36</v>
      </c>
      <c r="I893" t="s">
        <v>5842</v>
      </c>
      <c r="J893" t="s">
        <v>31</v>
      </c>
      <c r="K893" t="s">
        <v>38</v>
      </c>
      <c r="L893" t="s">
        <v>1457</v>
      </c>
      <c r="M893" t="s">
        <v>1458</v>
      </c>
      <c r="N893" t="s">
        <v>319</v>
      </c>
      <c r="O893" t="s">
        <v>5843</v>
      </c>
      <c r="P893" t="s">
        <v>5844</v>
      </c>
      <c r="T893">
        <v>36.248179981</v>
      </c>
      <c r="U893">
        <v>-115.10125515599999</v>
      </c>
      <c r="V893">
        <f>SUM(W893:X893)+(Y893*0.8)+(Z893*0.4)</f>
        <v>11.25</v>
      </c>
      <c r="W893">
        <v>11.25</v>
      </c>
      <c r="X893">
        <v>0</v>
      </c>
      <c r="Y893">
        <v>0</v>
      </c>
      <c r="Z893">
        <v>0</v>
      </c>
      <c r="AA893" t="s">
        <v>43</v>
      </c>
      <c r="AB893">
        <v>10.7</v>
      </c>
      <c r="AC893">
        <v>1.3</v>
      </c>
      <c r="AD893" t="s">
        <v>5845</v>
      </c>
      <c r="AE893" t="s">
        <v>5846</v>
      </c>
    </row>
    <row r="894" spans="1:31" x14ac:dyDescent="0.25">
      <c r="A894" t="s">
        <v>31</v>
      </c>
      <c r="C894" t="s">
        <v>3849</v>
      </c>
      <c r="D894" t="s">
        <v>4185</v>
      </c>
      <c r="E894" t="s">
        <v>34</v>
      </c>
      <c r="F894" t="s">
        <v>35</v>
      </c>
      <c r="H894" t="s">
        <v>36</v>
      </c>
      <c r="I894" t="s">
        <v>4186</v>
      </c>
      <c r="J894" t="s">
        <v>31</v>
      </c>
      <c r="K894" t="s">
        <v>38</v>
      </c>
      <c r="L894" t="s">
        <v>185</v>
      </c>
      <c r="M894" t="s">
        <v>186</v>
      </c>
      <c r="N894" t="s">
        <v>187</v>
      </c>
      <c r="O894" t="s">
        <v>1606</v>
      </c>
      <c r="P894" t="s">
        <v>4187</v>
      </c>
      <c r="T894">
        <v>33.755208500999998</v>
      </c>
      <c r="U894">
        <v>-84.392019069</v>
      </c>
      <c r="V894">
        <f>SUM(W894:X894)+(Y894*0.8)+(Z894*0.4)</f>
        <v>11.200000000000001</v>
      </c>
      <c r="W894">
        <v>0</v>
      </c>
      <c r="X894">
        <v>0</v>
      </c>
      <c r="Y894">
        <v>0</v>
      </c>
      <c r="Z894">
        <v>28</v>
      </c>
      <c r="AA894" t="s">
        <v>43</v>
      </c>
      <c r="AB894">
        <v>0</v>
      </c>
      <c r="AD894" t="s">
        <v>4188</v>
      </c>
      <c r="AE894" t="s">
        <v>4189</v>
      </c>
    </row>
    <row r="895" spans="1:31" x14ac:dyDescent="0.25">
      <c r="A895" t="s">
        <v>31</v>
      </c>
      <c r="C895" t="s">
        <v>4035</v>
      </c>
      <c r="D895" t="s">
        <v>4063</v>
      </c>
      <c r="E895" t="s">
        <v>34</v>
      </c>
      <c r="F895" t="s">
        <v>35</v>
      </c>
      <c r="G895">
        <v>2018</v>
      </c>
      <c r="H895" t="s">
        <v>36</v>
      </c>
      <c r="I895" t="s">
        <v>4064</v>
      </c>
      <c r="J895" t="s">
        <v>31</v>
      </c>
      <c r="K895" t="s">
        <v>38</v>
      </c>
      <c r="L895" t="s">
        <v>1883</v>
      </c>
      <c r="M895" t="s">
        <v>1884</v>
      </c>
      <c r="N895" t="s">
        <v>1144</v>
      </c>
      <c r="O895" t="s">
        <v>4065</v>
      </c>
      <c r="P895" t="s">
        <v>4066</v>
      </c>
      <c r="T895">
        <v>34.709889042999997</v>
      </c>
      <c r="U895">
        <v>-86.692898338000006</v>
      </c>
      <c r="V895">
        <f>SUM(W895:X895)+(Y895*0.8)+(Z895*0.4)</f>
        <v>11.100000000000001</v>
      </c>
      <c r="W895">
        <v>1.5</v>
      </c>
      <c r="X895">
        <v>0</v>
      </c>
      <c r="Y895">
        <v>12</v>
      </c>
      <c r="Z895">
        <v>0</v>
      </c>
      <c r="AA895" t="s">
        <v>43</v>
      </c>
      <c r="AB895">
        <v>1.1499999999999999</v>
      </c>
      <c r="AD895" t="s">
        <v>4067</v>
      </c>
      <c r="AE895" t="s">
        <v>4068</v>
      </c>
    </row>
    <row r="896" spans="1:31" x14ac:dyDescent="0.25">
      <c r="A896" t="s">
        <v>31</v>
      </c>
      <c r="C896" t="s">
        <v>10208</v>
      </c>
      <c r="D896" t="s">
        <v>10246</v>
      </c>
      <c r="E896" t="s">
        <v>34</v>
      </c>
      <c r="F896" t="s">
        <v>35</v>
      </c>
      <c r="G896">
        <v>1990</v>
      </c>
      <c r="H896" t="s">
        <v>36</v>
      </c>
      <c r="I896" t="s">
        <v>10247</v>
      </c>
      <c r="J896" t="s">
        <v>31</v>
      </c>
      <c r="K896" t="s">
        <v>38</v>
      </c>
      <c r="L896" t="s">
        <v>828</v>
      </c>
      <c r="M896" t="s">
        <v>829</v>
      </c>
      <c r="N896" t="s">
        <v>2769</v>
      </c>
      <c r="O896" t="s">
        <v>2770</v>
      </c>
      <c r="P896" t="s">
        <v>10248</v>
      </c>
      <c r="T896">
        <v>44.971556192000001</v>
      </c>
      <c r="U896">
        <v>-93.27031538</v>
      </c>
      <c r="V896">
        <f>SUM(W896:X896)+(Y896*0.8)+(Z896*0.4)</f>
        <v>11.100000000000001</v>
      </c>
      <c r="W896">
        <v>5.9</v>
      </c>
      <c r="X896">
        <v>0</v>
      </c>
      <c r="Y896">
        <v>6.5</v>
      </c>
      <c r="Z896">
        <v>0</v>
      </c>
      <c r="AA896" t="s">
        <v>43</v>
      </c>
      <c r="AB896">
        <v>2</v>
      </c>
      <c r="AD896" t="s">
        <v>10249</v>
      </c>
      <c r="AE896" t="s">
        <v>10250</v>
      </c>
    </row>
    <row r="897" spans="1:31" x14ac:dyDescent="0.25">
      <c r="A897" t="s">
        <v>31</v>
      </c>
      <c r="C897" t="s">
        <v>10977</v>
      </c>
      <c r="D897" t="s">
        <v>11074</v>
      </c>
      <c r="E897" t="s">
        <v>362</v>
      </c>
      <c r="F897" t="s">
        <v>1611</v>
      </c>
      <c r="G897">
        <v>2022</v>
      </c>
      <c r="H897" t="s">
        <v>36</v>
      </c>
      <c r="I897" t="s">
        <v>11075</v>
      </c>
      <c r="J897" t="s">
        <v>31</v>
      </c>
      <c r="K897" t="s">
        <v>38</v>
      </c>
      <c r="L897" t="s">
        <v>172</v>
      </c>
      <c r="M897" t="s">
        <v>173</v>
      </c>
      <c r="N897" t="s">
        <v>493</v>
      </c>
      <c r="O897" t="s">
        <v>494</v>
      </c>
      <c r="P897" t="s">
        <v>3107</v>
      </c>
      <c r="S897" t="s">
        <v>138</v>
      </c>
      <c r="T897">
        <v>34.046007203999999</v>
      </c>
      <c r="U897">
        <v>-118.258923485</v>
      </c>
      <c r="V897">
        <f>SUM(W897:X897)+(Y897*0.8)+(Z897*0.4)</f>
        <v>11</v>
      </c>
      <c r="W897">
        <v>11</v>
      </c>
      <c r="X897">
        <v>0</v>
      </c>
      <c r="Y897">
        <v>0</v>
      </c>
      <c r="Z897">
        <v>0</v>
      </c>
      <c r="AA897" t="s">
        <v>43</v>
      </c>
      <c r="AB897">
        <v>11</v>
      </c>
      <c r="AD897" t="s">
        <v>11076</v>
      </c>
      <c r="AE897" t="s">
        <v>11077</v>
      </c>
    </row>
    <row r="898" spans="1:31" x14ac:dyDescent="0.25">
      <c r="A898" t="s">
        <v>31</v>
      </c>
      <c r="C898" t="s">
        <v>5181</v>
      </c>
      <c r="D898" t="s">
        <v>5282</v>
      </c>
      <c r="E898" t="s">
        <v>34</v>
      </c>
      <c r="F898" t="s">
        <v>35</v>
      </c>
      <c r="G898">
        <v>2020</v>
      </c>
      <c r="H898" t="s">
        <v>36</v>
      </c>
      <c r="I898" t="s">
        <v>5283</v>
      </c>
      <c r="J898" t="s">
        <v>31</v>
      </c>
      <c r="K898" t="s">
        <v>38</v>
      </c>
      <c r="L898" t="s">
        <v>242</v>
      </c>
      <c r="M898" t="s">
        <v>243</v>
      </c>
      <c r="N898" t="s">
        <v>405</v>
      </c>
      <c r="O898" t="s">
        <v>516</v>
      </c>
      <c r="P898" t="s">
        <v>801</v>
      </c>
      <c r="T898">
        <v>39.022398052</v>
      </c>
      <c r="U898">
        <v>-77.450542767000002</v>
      </c>
      <c r="V898">
        <f>SUM(W898:X898)+(Y898*0.8)+(Z898*0.4)</f>
        <v>11</v>
      </c>
      <c r="W898">
        <v>11</v>
      </c>
      <c r="X898">
        <v>0</v>
      </c>
      <c r="Y898">
        <v>0</v>
      </c>
      <c r="Z898">
        <v>0</v>
      </c>
      <c r="AA898" t="s">
        <v>43</v>
      </c>
      <c r="AB898">
        <v>10.8</v>
      </c>
      <c r="AD898" t="s">
        <v>5284</v>
      </c>
      <c r="AE898" t="s">
        <v>5285</v>
      </c>
    </row>
    <row r="899" spans="1:31" x14ac:dyDescent="0.25">
      <c r="A899" t="s">
        <v>31</v>
      </c>
      <c r="C899" t="s">
        <v>8410</v>
      </c>
      <c r="D899" t="s">
        <v>8411</v>
      </c>
      <c r="E899" t="s">
        <v>34</v>
      </c>
      <c r="F899" t="s">
        <v>35</v>
      </c>
      <c r="G899">
        <v>2017</v>
      </c>
      <c r="H899" t="s">
        <v>36</v>
      </c>
      <c r="I899" t="s">
        <v>8412</v>
      </c>
      <c r="J899" t="s">
        <v>31</v>
      </c>
      <c r="K899" t="s">
        <v>38</v>
      </c>
      <c r="L899" t="s">
        <v>39</v>
      </c>
      <c r="M899" t="s">
        <v>40</v>
      </c>
      <c r="N899" t="s">
        <v>8413</v>
      </c>
      <c r="O899" t="s">
        <v>8414</v>
      </c>
      <c r="P899" t="s">
        <v>8415</v>
      </c>
      <c r="T899">
        <v>40.161593899000003</v>
      </c>
      <c r="U899">
        <v>-74.053112006000006</v>
      </c>
      <c r="V899">
        <f>SUM(W899:X899)+(Y899*0.8)+(Z899*0.4)</f>
        <v>10.8</v>
      </c>
      <c r="W899">
        <v>3.6</v>
      </c>
      <c r="X899">
        <v>0</v>
      </c>
      <c r="Y899">
        <v>9</v>
      </c>
      <c r="Z899">
        <v>0</v>
      </c>
      <c r="AA899" t="s">
        <v>43</v>
      </c>
      <c r="AB899">
        <v>3.2</v>
      </c>
      <c r="AC899">
        <v>1.35</v>
      </c>
      <c r="AD899" t="s">
        <v>8416</v>
      </c>
      <c r="AE899" t="s">
        <v>8417</v>
      </c>
    </row>
    <row r="900" spans="1:31" x14ac:dyDescent="0.25">
      <c r="A900" t="s">
        <v>31</v>
      </c>
      <c r="C900" t="s">
        <v>64</v>
      </c>
      <c r="D900" t="s">
        <v>110</v>
      </c>
      <c r="E900" t="s">
        <v>34</v>
      </c>
      <c r="F900" t="s">
        <v>35</v>
      </c>
      <c r="G900">
        <v>1990</v>
      </c>
      <c r="H900" t="s">
        <v>36</v>
      </c>
      <c r="I900" t="s">
        <v>111</v>
      </c>
      <c r="J900" t="s">
        <v>31</v>
      </c>
      <c r="K900" t="s">
        <v>38</v>
      </c>
      <c r="L900" t="s">
        <v>112</v>
      </c>
      <c r="M900" t="s">
        <v>113</v>
      </c>
      <c r="N900" t="s">
        <v>114</v>
      </c>
      <c r="O900" t="s">
        <v>115</v>
      </c>
      <c r="P900" t="s">
        <v>116</v>
      </c>
      <c r="Q900" t="s">
        <v>117</v>
      </c>
      <c r="S900" t="s">
        <v>118</v>
      </c>
      <c r="T900">
        <v>43.039149061000003</v>
      </c>
      <c r="U900">
        <v>-87.906789130999996</v>
      </c>
      <c r="V900">
        <f>SUM(W900:X900)+(Y900*0.8)+(Z900*0.4)</f>
        <v>10.600000000000001</v>
      </c>
      <c r="W900">
        <v>5</v>
      </c>
      <c r="X900">
        <v>0</v>
      </c>
      <c r="Y900">
        <v>7</v>
      </c>
      <c r="Z900">
        <v>0</v>
      </c>
      <c r="AA900" t="s">
        <v>43</v>
      </c>
      <c r="AB900">
        <v>2.5</v>
      </c>
      <c r="AD900" t="s">
        <v>119</v>
      </c>
      <c r="AE900" t="s">
        <v>120</v>
      </c>
    </row>
    <row r="901" spans="1:31" x14ac:dyDescent="0.25">
      <c r="A901" t="s">
        <v>31</v>
      </c>
      <c r="C901" t="s">
        <v>9655</v>
      </c>
      <c r="D901" t="s">
        <v>9673</v>
      </c>
      <c r="E901" t="s">
        <v>34</v>
      </c>
      <c r="F901" t="s">
        <v>35</v>
      </c>
      <c r="G901">
        <v>2000</v>
      </c>
      <c r="H901" t="s">
        <v>36</v>
      </c>
      <c r="I901" t="s">
        <v>9674</v>
      </c>
      <c r="J901" t="s">
        <v>31</v>
      </c>
      <c r="K901" t="s">
        <v>38</v>
      </c>
      <c r="L901" t="s">
        <v>383</v>
      </c>
      <c r="M901" t="s">
        <v>384</v>
      </c>
      <c r="N901" t="s">
        <v>1372</v>
      </c>
      <c r="O901" t="s">
        <v>1373</v>
      </c>
      <c r="P901" t="s">
        <v>2390</v>
      </c>
      <c r="S901" t="s">
        <v>9675</v>
      </c>
      <c r="T901">
        <v>35.725351600000003</v>
      </c>
      <c r="U901">
        <v>-78.662606225999994</v>
      </c>
      <c r="V901">
        <f>SUM(W901:X901)+(Y901*0.8)+(Z901*0.4)</f>
        <v>10.6</v>
      </c>
      <c r="W901">
        <v>3</v>
      </c>
      <c r="X901">
        <v>0</v>
      </c>
      <c r="Y901">
        <v>2</v>
      </c>
      <c r="Z901">
        <v>15</v>
      </c>
      <c r="AA901" t="s">
        <v>43</v>
      </c>
      <c r="AB901">
        <v>2.4</v>
      </c>
      <c r="AD901" t="s">
        <v>9676</v>
      </c>
      <c r="AE901" t="s">
        <v>9677</v>
      </c>
    </row>
    <row r="902" spans="1:31" x14ac:dyDescent="0.25">
      <c r="A902" t="s">
        <v>31</v>
      </c>
      <c r="C902" t="s">
        <v>5181</v>
      </c>
      <c r="D902" t="s">
        <v>5300</v>
      </c>
      <c r="E902" t="s">
        <v>34</v>
      </c>
      <c r="F902" t="s">
        <v>35</v>
      </c>
      <c r="G902">
        <v>2020</v>
      </c>
      <c r="H902" t="s">
        <v>36</v>
      </c>
      <c r="I902" t="s">
        <v>5301</v>
      </c>
      <c r="J902" t="s">
        <v>31</v>
      </c>
      <c r="K902" t="s">
        <v>38</v>
      </c>
      <c r="L902" t="s">
        <v>242</v>
      </c>
      <c r="M902" t="s">
        <v>243</v>
      </c>
      <c r="N902" t="s">
        <v>405</v>
      </c>
      <c r="O902" t="s">
        <v>516</v>
      </c>
      <c r="P902" t="s">
        <v>517</v>
      </c>
      <c r="T902">
        <v>39.011786819999998</v>
      </c>
      <c r="U902">
        <v>-77.454508867000001</v>
      </c>
      <c r="V902">
        <f>SUM(W902:X902)+(Y902*0.8)+(Z902*0.4)</f>
        <v>10.5</v>
      </c>
      <c r="W902">
        <v>10.5</v>
      </c>
      <c r="X902">
        <v>0</v>
      </c>
      <c r="Y902">
        <v>0</v>
      </c>
      <c r="Z902">
        <v>0</v>
      </c>
      <c r="AA902" t="s">
        <v>43</v>
      </c>
      <c r="AB902">
        <v>10</v>
      </c>
      <c r="AD902" t="s">
        <v>5302</v>
      </c>
      <c r="AE902" t="s">
        <v>5303</v>
      </c>
    </row>
    <row r="903" spans="1:31" x14ac:dyDescent="0.25">
      <c r="A903" t="s">
        <v>31</v>
      </c>
      <c r="B903" t="s">
        <v>11350</v>
      </c>
      <c r="C903" t="s">
        <v>647</v>
      </c>
      <c r="D903" t="s">
        <v>1069</v>
      </c>
      <c r="E903" t="s">
        <v>362</v>
      </c>
      <c r="F903" t="s">
        <v>649</v>
      </c>
      <c r="G903">
        <v>2015</v>
      </c>
      <c r="H903" t="s">
        <v>36</v>
      </c>
      <c r="I903" t="s">
        <v>1070</v>
      </c>
      <c r="J903" t="s">
        <v>31</v>
      </c>
      <c r="K903" t="s">
        <v>38</v>
      </c>
      <c r="L903" t="s">
        <v>242</v>
      </c>
      <c r="M903" t="s">
        <v>243</v>
      </c>
      <c r="N903" t="s">
        <v>509</v>
      </c>
      <c r="O903" t="s">
        <v>758</v>
      </c>
      <c r="P903" t="s">
        <v>759</v>
      </c>
      <c r="T903">
        <v>38.815596212000003</v>
      </c>
      <c r="U903">
        <v>-77.648411472999996</v>
      </c>
      <c r="V903">
        <f>SUM(W903:X903)+(Y903*0.8)+(Z903*0.4)</f>
        <v>10.5</v>
      </c>
      <c r="W903">
        <v>10.5</v>
      </c>
      <c r="X903">
        <v>0</v>
      </c>
      <c r="Y903">
        <v>0</v>
      </c>
      <c r="Z903">
        <v>0</v>
      </c>
      <c r="AA903" t="s">
        <v>43</v>
      </c>
      <c r="AB903">
        <v>10.5</v>
      </c>
      <c r="AD903" t="s">
        <v>1071</v>
      </c>
      <c r="AE903" t="s">
        <v>1072</v>
      </c>
    </row>
    <row r="904" spans="1:31" x14ac:dyDescent="0.25">
      <c r="A904" t="s">
        <v>31</v>
      </c>
      <c r="B904" t="s">
        <v>11350</v>
      </c>
      <c r="C904" t="s">
        <v>647</v>
      </c>
      <c r="D904" t="s">
        <v>1077</v>
      </c>
      <c r="E904" t="s">
        <v>362</v>
      </c>
      <c r="F904" t="s">
        <v>649</v>
      </c>
      <c r="G904">
        <v>2015</v>
      </c>
      <c r="H904" t="s">
        <v>36</v>
      </c>
      <c r="I904" t="s">
        <v>1078</v>
      </c>
      <c r="J904" t="s">
        <v>31</v>
      </c>
      <c r="K904" t="s">
        <v>38</v>
      </c>
      <c r="L904" t="s">
        <v>242</v>
      </c>
      <c r="M904" t="s">
        <v>243</v>
      </c>
      <c r="N904" t="s">
        <v>405</v>
      </c>
      <c r="P904" t="s">
        <v>527</v>
      </c>
      <c r="T904">
        <v>38.987199615999998</v>
      </c>
      <c r="U904">
        <v>-77.442677302000007</v>
      </c>
      <c r="V904">
        <f>SUM(W904:X904)+(Y904*0.8)+(Z904*0.4)</f>
        <v>10.5</v>
      </c>
      <c r="W904">
        <v>10.5</v>
      </c>
      <c r="X904">
        <v>0</v>
      </c>
      <c r="Y904">
        <v>0</v>
      </c>
      <c r="Z904">
        <v>0</v>
      </c>
      <c r="AA904" t="s">
        <v>43</v>
      </c>
      <c r="AB904">
        <v>10.5</v>
      </c>
      <c r="AD904" t="s">
        <v>1079</v>
      </c>
      <c r="AE904" t="s">
        <v>1080</v>
      </c>
    </row>
    <row r="905" spans="1:31" x14ac:dyDescent="0.25">
      <c r="A905" t="s">
        <v>31</v>
      </c>
      <c r="C905" t="s">
        <v>169</v>
      </c>
      <c r="D905" t="s">
        <v>276</v>
      </c>
      <c r="E905" t="s">
        <v>34</v>
      </c>
      <c r="F905" t="s">
        <v>35</v>
      </c>
      <c r="G905">
        <v>2009</v>
      </c>
      <c r="H905" t="s">
        <v>36</v>
      </c>
      <c r="I905" t="s">
        <v>277</v>
      </c>
      <c r="J905" t="s">
        <v>31</v>
      </c>
      <c r="K905" t="s">
        <v>38</v>
      </c>
      <c r="L905" t="s">
        <v>77</v>
      </c>
      <c r="M905" t="s">
        <v>78</v>
      </c>
      <c r="N905" t="s">
        <v>278</v>
      </c>
      <c r="O905" t="s">
        <v>279</v>
      </c>
      <c r="P905" t="s">
        <v>280</v>
      </c>
      <c r="S905" t="s">
        <v>281</v>
      </c>
      <c r="T905">
        <v>39.962434045000002</v>
      </c>
      <c r="U905">
        <v>-75.163899912999995</v>
      </c>
      <c r="V905">
        <f>SUM(W905:X905)+(Y905*0.8)+(Z905*0.4)</f>
        <v>10.5</v>
      </c>
      <c r="W905">
        <v>10.5</v>
      </c>
      <c r="X905">
        <v>0</v>
      </c>
      <c r="Y905">
        <v>0</v>
      </c>
      <c r="Z905">
        <v>0</v>
      </c>
      <c r="AA905" t="s">
        <v>43</v>
      </c>
      <c r="AB905">
        <v>10.1</v>
      </c>
      <c r="AD905" t="s">
        <v>282</v>
      </c>
      <c r="AE905" t="s">
        <v>283</v>
      </c>
    </row>
    <row r="906" spans="1:31" x14ac:dyDescent="0.25">
      <c r="A906" t="s">
        <v>31</v>
      </c>
      <c r="C906" t="s">
        <v>3052</v>
      </c>
      <c r="D906" t="s">
        <v>3057</v>
      </c>
      <c r="E906" t="s">
        <v>34</v>
      </c>
      <c r="F906" t="s">
        <v>35</v>
      </c>
      <c r="G906">
        <v>2007</v>
      </c>
      <c r="H906" t="s">
        <v>36</v>
      </c>
      <c r="I906" t="s">
        <v>3058</v>
      </c>
      <c r="J906" t="s">
        <v>31</v>
      </c>
      <c r="K906" t="s">
        <v>38</v>
      </c>
      <c r="L906" t="s">
        <v>251</v>
      </c>
      <c r="M906" t="s">
        <v>252</v>
      </c>
      <c r="N906" t="s">
        <v>253</v>
      </c>
      <c r="O906" t="s">
        <v>2016</v>
      </c>
      <c r="P906" t="s">
        <v>3059</v>
      </c>
      <c r="Q906" t="s">
        <v>3060</v>
      </c>
      <c r="T906">
        <v>42.376641999999997</v>
      </c>
      <c r="U906">
        <v>-71.080025000000006</v>
      </c>
      <c r="V906">
        <f>SUM(W906:X906)+(Y906*0.8)+(Z906*0.4)</f>
        <v>10.5</v>
      </c>
      <c r="W906">
        <v>10.5</v>
      </c>
      <c r="X906">
        <v>0</v>
      </c>
      <c r="Y906">
        <v>0</v>
      </c>
      <c r="Z906">
        <v>0</v>
      </c>
      <c r="AA906" t="s">
        <v>43</v>
      </c>
      <c r="AB906">
        <v>8.9</v>
      </c>
      <c r="AD906" t="s">
        <v>3061</v>
      </c>
      <c r="AE906" t="s">
        <v>3062</v>
      </c>
    </row>
    <row r="907" spans="1:31" x14ac:dyDescent="0.25">
      <c r="A907" t="s">
        <v>31</v>
      </c>
      <c r="C907" t="s">
        <v>3849</v>
      </c>
      <c r="D907" t="s">
        <v>4384</v>
      </c>
      <c r="E907" t="s">
        <v>34</v>
      </c>
      <c r="F907" t="s">
        <v>66</v>
      </c>
      <c r="G907">
        <v>2005</v>
      </c>
      <c r="H907" t="s">
        <v>36</v>
      </c>
      <c r="I907" t="s">
        <v>4385</v>
      </c>
      <c r="J907" t="s">
        <v>31</v>
      </c>
      <c r="K907" t="s">
        <v>38</v>
      </c>
      <c r="L907" t="s">
        <v>242</v>
      </c>
      <c r="M907" t="s">
        <v>243</v>
      </c>
      <c r="N907" t="s">
        <v>405</v>
      </c>
      <c r="O907" t="s">
        <v>516</v>
      </c>
      <c r="P907" t="s">
        <v>517</v>
      </c>
      <c r="T907">
        <v>39.021759418999999</v>
      </c>
      <c r="U907">
        <v>-77.459461476000001</v>
      </c>
      <c r="V907">
        <f>SUM(W907:X907)+(Y907*0.8)+(Z907*0.4)</f>
        <v>10.4</v>
      </c>
      <c r="W907">
        <v>10.4</v>
      </c>
      <c r="X907">
        <v>0</v>
      </c>
      <c r="Y907">
        <v>0</v>
      </c>
      <c r="Z907">
        <v>0</v>
      </c>
      <c r="AA907" t="s">
        <v>43</v>
      </c>
      <c r="AB907">
        <v>10.4</v>
      </c>
      <c r="AD907" t="s">
        <v>4386</v>
      </c>
      <c r="AE907" t="s">
        <v>4387</v>
      </c>
    </row>
    <row r="908" spans="1:31" x14ac:dyDescent="0.25">
      <c r="A908" t="s">
        <v>31</v>
      </c>
      <c r="C908" t="s">
        <v>5181</v>
      </c>
      <c r="D908" t="s">
        <v>5476</v>
      </c>
      <c r="E908" t="s">
        <v>34</v>
      </c>
      <c r="F908" t="s">
        <v>66</v>
      </c>
      <c r="G908">
        <v>2011</v>
      </c>
      <c r="H908" t="s">
        <v>36</v>
      </c>
      <c r="I908" t="s">
        <v>5477</v>
      </c>
      <c r="J908" t="s">
        <v>31</v>
      </c>
      <c r="K908" t="s">
        <v>38</v>
      </c>
      <c r="L908" t="s">
        <v>172</v>
      </c>
      <c r="M908" t="s">
        <v>173</v>
      </c>
      <c r="N908" t="s">
        <v>780</v>
      </c>
      <c r="O908" t="s">
        <v>2067</v>
      </c>
      <c r="P908" t="s">
        <v>5425</v>
      </c>
      <c r="T908">
        <v>37.241937999999998</v>
      </c>
      <c r="U908">
        <v>-121.781622</v>
      </c>
      <c r="V908">
        <f>SUM(W908:X908)+(Y908*0.8)+(Z908*0.4)</f>
        <v>10.199999999999999</v>
      </c>
      <c r="W908">
        <v>10.199999999999999</v>
      </c>
      <c r="X908">
        <v>0</v>
      </c>
      <c r="Y908">
        <v>0</v>
      </c>
      <c r="Z908">
        <v>0</v>
      </c>
      <c r="AA908" t="s">
        <v>43</v>
      </c>
      <c r="AB908">
        <v>10.199999999999999</v>
      </c>
      <c r="AD908" t="s">
        <v>5478</v>
      </c>
      <c r="AE908" t="s">
        <v>5479</v>
      </c>
    </row>
    <row r="909" spans="1:31" x14ac:dyDescent="0.25">
      <c r="A909" t="s">
        <v>31</v>
      </c>
      <c r="C909" t="s">
        <v>3710</v>
      </c>
      <c r="D909" t="s">
        <v>3947</v>
      </c>
      <c r="E909" t="s">
        <v>34</v>
      </c>
      <c r="F909" t="s">
        <v>35</v>
      </c>
      <c r="G909">
        <v>2002</v>
      </c>
      <c r="H909" t="s">
        <v>36</v>
      </c>
      <c r="I909" t="s">
        <v>3948</v>
      </c>
      <c r="J909" t="s">
        <v>31</v>
      </c>
      <c r="K909" t="s">
        <v>38</v>
      </c>
      <c r="L909" t="s">
        <v>172</v>
      </c>
      <c r="M909" t="s">
        <v>173</v>
      </c>
      <c r="N909" t="s">
        <v>2023</v>
      </c>
      <c r="O909" t="s">
        <v>2021</v>
      </c>
      <c r="P909" t="s">
        <v>3949</v>
      </c>
      <c r="Q909" t="s">
        <v>3950</v>
      </c>
      <c r="T909">
        <v>32.988191655000001</v>
      </c>
      <c r="U909">
        <v>-117.073335718</v>
      </c>
      <c r="V909">
        <f>SUM(W909:X909)+(Y909*0.8)+(Z909*0.4)</f>
        <v>10.199999999999999</v>
      </c>
      <c r="W909">
        <v>10.199999999999999</v>
      </c>
      <c r="X909">
        <v>0</v>
      </c>
      <c r="Y909">
        <v>0</v>
      </c>
      <c r="Z909">
        <v>0</v>
      </c>
      <c r="AA909" t="s">
        <v>43</v>
      </c>
      <c r="AB909">
        <v>6.7</v>
      </c>
      <c r="AD909" t="s">
        <v>3951</v>
      </c>
      <c r="AE909" t="s">
        <v>3952</v>
      </c>
    </row>
    <row r="910" spans="1:31" x14ac:dyDescent="0.25">
      <c r="A910" t="s">
        <v>31</v>
      </c>
      <c r="C910" t="s">
        <v>2260</v>
      </c>
      <c r="D910" t="s">
        <v>2207</v>
      </c>
      <c r="E910" t="s">
        <v>34</v>
      </c>
      <c r="F910" t="s">
        <v>35</v>
      </c>
      <c r="H910" t="s">
        <v>36</v>
      </c>
      <c r="I910" t="s">
        <v>2276</v>
      </c>
      <c r="J910" t="s">
        <v>31</v>
      </c>
      <c r="K910" t="s">
        <v>38</v>
      </c>
      <c r="L910" t="s">
        <v>828</v>
      </c>
      <c r="M910" t="s">
        <v>829</v>
      </c>
      <c r="N910" t="s">
        <v>2277</v>
      </c>
      <c r="O910" t="s">
        <v>2278</v>
      </c>
      <c r="P910" t="s">
        <v>2279</v>
      </c>
      <c r="T910">
        <v>44.820978224000001</v>
      </c>
      <c r="U910">
        <v>-93.113480361000001</v>
      </c>
      <c r="V910">
        <f>SUM(W910:X910)+(Y910*0.8)+(Z910*0.4)</f>
        <v>10.199999999999999</v>
      </c>
      <c r="W910">
        <v>0</v>
      </c>
      <c r="X910">
        <v>3</v>
      </c>
      <c r="Y910">
        <v>9</v>
      </c>
      <c r="Z910">
        <v>0</v>
      </c>
      <c r="AA910" t="s">
        <v>43</v>
      </c>
      <c r="AB910">
        <v>0</v>
      </c>
      <c r="AD910" t="s">
        <v>2280</v>
      </c>
      <c r="AE910" t="s">
        <v>2281</v>
      </c>
    </row>
    <row r="911" spans="1:31" x14ac:dyDescent="0.25">
      <c r="A911" t="s">
        <v>31</v>
      </c>
      <c r="C911" t="s">
        <v>1515</v>
      </c>
      <c r="D911" t="s">
        <v>1516</v>
      </c>
      <c r="E911" t="s">
        <v>34</v>
      </c>
      <c r="F911" t="s">
        <v>76</v>
      </c>
      <c r="G911">
        <v>2011</v>
      </c>
      <c r="H911" t="s">
        <v>36</v>
      </c>
      <c r="I911" t="s">
        <v>1517</v>
      </c>
      <c r="J911" t="s">
        <v>31</v>
      </c>
      <c r="K911" t="s">
        <v>38</v>
      </c>
      <c r="L911" t="s">
        <v>77</v>
      </c>
      <c r="M911" t="s">
        <v>78</v>
      </c>
      <c r="N911" t="s">
        <v>1358</v>
      </c>
      <c r="O911" t="s">
        <v>1518</v>
      </c>
      <c r="P911" t="s">
        <v>1519</v>
      </c>
      <c r="Q911" t="s">
        <v>1520</v>
      </c>
      <c r="T911">
        <v>40.439627862000002</v>
      </c>
      <c r="U911">
        <v>-80.142024945000003</v>
      </c>
      <c r="V911">
        <f>SUM(W911:X911)+(Y911*0.8)+(Z911*0.4)</f>
        <v>10.08</v>
      </c>
      <c r="W911">
        <v>2.4</v>
      </c>
      <c r="X911">
        <v>0</v>
      </c>
      <c r="Y911">
        <v>9.6</v>
      </c>
      <c r="Z911">
        <v>0</v>
      </c>
      <c r="AA911" t="s">
        <v>43</v>
      </c>
      <c r="AB911">
        <v>1.9</v>
      </c>
      <c r="AD911" t="s">
        <v>1521</v>
      </c>
      <c r="AE911" t="s">
        <v>1522</v>
      </c>
    </row>
    <row r="912" spans="1:31" x14ac:dyDescent="0.25">
      <c r="A912" t="s">
        <v>31</v>
      </c>
      <c r="C912" t="s">
        <v>8711</v>
      </c>
      <c r="D912" t="s">
        <v>2076</v>
      </c>
      <c r="E912" t="s">
        <v>34</v>
      </c>
      <c r="F912" t="s">
        <v>66</v>
      </c>
      <c r="G912">
        <v>2025</v>
      </c>
      <c r="H912" t="s">
        <v>36</v>
      </c>
      <c r="I912" t="s">
        <v>325</v>
      </c>
      <c r="J912" t="s">
        <v>31</v>
      </c>
      <c r="K912" t="s">
        <v>38</v>
      </c>
      <c r="L912" t="s">
        <v>1959</v>
      </c>
      <c r="M912" t="s">
        <v>1960</v>
      </c>
      <c r="N912" t="s">
        <v>2075</v>
      </c>
      <c r="O912" t="s">
        <v>2076</v>
      </c>
      <c r="P912" t="s">
        <v>8712</v>
      </c>
      <c r="T912">
        <v>35.087128112999999</v>
      </c>
      <c r="U912">
        <v>-106.74170768800001</v>
      </c>
      <c r="V912">
        <f>SUM(W912:X912)+(Y912*0.8)+(Z912*0.4)</f>
        <v>10</v>
      </c>
      <c r="W912">
        <v>0</v>
      </c>
      <c r="X912">
        <v>10</v>
      </c>
      <c r="Y912">
        <v>0</v>
      </c>
      <c r="Z912">
        <v>0</v>
      </c>
      <c r="AA912" t="s">
        <v>43</v>
      </c>
      <c r="AB912">
        <v>0</v>
      </c>
      <c r="AD912" t="s">
        <v>8713</v>
      </c>
      <c r="AE912" t="s">
        <v>8714</v>
      </c>
    </row>
    <row r="913" spans="1:31" x14ac:dyDescent="0.25">
      <c r="A913" t="s">
        <v>31</v>
      </c>
      <c r="C913" t="s">
        <v>64</v>
      </c>
      <c r="D913" t="s">
        <v>84</v>
      </c>
      <c r="E913" t="s">
        <v>34</v>
      </c>
      <c r="F913" t="s">
        <v>35</v>
      </c>
      <c r="G913">
        <v>2025</v>
      </c>
      <c r="H913" t="s">
        <v>36</v>
      </c>
      <c r="I913" t="s">
        <v>85</v>
      </c>
      <c r="J913" t="s">
        <v>31</v>
      </c>
      <c r="K913" t="s">
        <v>38</v>
      </c>
      <c r="L913" t="s">
        <v>86</v>
      </c>
      <c r="M913" t="s">
        <v>87</v>
      </c>
      <c r="N913" t="s">
        <v>88</v>
      </c>
      <c r="O913" t="s">
        <v>89</v>
      </c>
      <c r="P913" t="s">
        <v>90</v>
      </c>
      <c r="Q913" t="s">
        <v>89</v>
      </c>
      <c r="S913" t="s">
        <v>91</v>
      </c>
      <c r="T913">
        <v>41.795048958000002</v>
      </c>
      <c r="U913">
        <v>-87.622265955000003</v>
      </c>
      <c r="V913">
        <f>SUM(W913:X913)+(Y913*0.8)+(Z913*0.4)</f>
        <v>10</v>
      </c>
      <c r="W913">
        <v>0</v>
      </c>
      <c r="X913">
        <v>0</v>
      </c>
      <c r="Y913">
        <v>0</v>
      </c>
      <c r="Z913">
        <v>25</v>
      </c>
      <c r="AA913" t="s">
        <v>43</v>
      </c>
      <c r="AB913">
        <v>0</v>
      </c>
      <c r="AD913" t="s">
        <v>92</v>
      </c>
      <c r="AE913" t="s">
        <v>93</v>
      </c>
    </row>
    <row r="914" spans="1:31" x14ac:dyDescent="0.25">
      <c r="A914" t="s">
        <v>31</v>
      </c>
      <c r="C914" t="s">
        <v>9500</v>
      </c>
      <c r="D914" t="s">
        <v>9501</v>
      </c>
      <c r="E914" t="s">
        <v>362</v>
      </c>
      <c r="F914" t="s">
        <v>381</v>
      </c>
      <c r="G914">
        <v>2022</v>
      </c>
      <c r="H914" t="s">
        <v>36</v>
      </c>
      <c r="I914" t="s">
        <v>9502</v>
      </c>
      <c r="J914" t="s">
        <v>31</v>
      </c>
      <c r="K914" t="s">
        <v>38</v>
      </c>
      <c r="L914" t="s">
        <v>172</v>
      </c>
      <c r="M914" t="s">
        <v>173</v>
      </c>
      <c r="N914" t="s">
        <v>780</v>
      </c>
      <c r="O914" t="s">
        <v>2067</v>
      </c>
      <c r="P914" t="s">
        <v>5425</v>
      </c>
      <c r="T914">
        <v>37.235479382000001</v>
      </c>
      <c r="U914">
        <v>-121.782252427</v>
      </c>
      <c r="V914">
        <f>SUM(W914:X914)+(Y914*0.8)+(Z914*0.4)</f>
        <v>10</v>
      </c>
      <c r="W914">
        <v>10</v>
      </c>
      <c r="X914">
        <v>0</v>
      </c>
      <c r="Y914">
        <v>0</v>
      </c>
      <c r="Z914">
        <v>0</v>
      </c>
      <c r="AA914" t="s">
        <v>43</v>
      </c>
      <c r="AB914">
        <v>10</v>
      </c>
      <c r="AD914" t="s">
        <v>9503</v>
      </c>
      <c r="AE914" t="s">
        <v>9504</v>
      </c>
    </row>
    <row r="915" spans="1:31" x14ac:dyDescent="0.25">
      <c r="A915" t="s">
        <v>31</v>
      </c>
      <c r="C915" t="s">
        <v>8214</v>
      </c>
      <c r="D915" t="s">
        <v>8215</v>
      </c>
      <c r="E915" t="s">
        <v>34</v>
      </c>
      <c r="F915" t="s">
        <v>35</v>
      </c>
      <c r="G915">
        <v>2022</v>
      </c>
      <c r="H915" t="s">
        <v>36</v>
      </c>
      <c r="I915" t="s">
        <v>8216</v>
      </c>
      <c r="J915" t="s">
        <v>31</v>
      </c>
      <c r="K915" t="s">
        <v>38</v>
      </c>
      <c r="L915" t="s">
        <v>242</v>
      </c>
      <c r="M915" t="s">
        <v>243</v>
      </c>
      <c r="N915" t="s">
        <v>564</v>
      </c>
      <c r="O915" t="s">
        <v>8217</v>
      </c>
      <c r="P915" t="s">
        <v>8218</v>
      </c>
      <c r="T915">
        <v>39.017686892</v>
      </c>
      <c r="U915">
        <v>-78.291192045000003</v>
      </c>
      <c r="V915">
        <f>SUM(W915:X915)+(Y915*0.8)+(Z915*0.4)</f>
        <v>10</v>
      </c>
      <c r="W915">
        <v>10</v>
      </c>
      <c r="X915">
        <v>0</v>
      </c>
      <c r="Y915">
        <v>0</v>
      </c>
      <c r="Z915">
        <v>0</v>
      </c>
      <c r="AA915" t="s">
        <v>43</v>
      </c>
      <c r="AB915">
        <v>9.7029999999999994</v>
      </c>
      <c r="AD915" t="s">
        <v>8219</v>
      </c>
      <c r="AE915" t="s">
        <v>8220</v>
      </c>
    </row>
    <row r="916" spans="1:31" x14ac:dyDescent="0.25">
      <c r="A916" t="s">
        <v>31</v>
      </c>
      <c r="C916" t="s">
        <v>3007</v>
      </c>
      <c r="D916" t="s">
        <v>3034</v>
      </c>
      <c r="E916" t="s">
        <v>362</v>
      </c>
      <c r="F916" t="s">
        <v>372</v>
      </c>
      <c r="G916">
        <v>2021</v>
      </c>
      <c r="H916" t="s">
        <v>36</v>
      </c>
      <c r="I916" t="s">
        <v>3035</v>
      </c>
      <c r="J916" t="s">
        <v>31</v>
      </c>
      <c r="K916" t="s">
        <v>38</v>
      </c>
      <c r="L916" t="s">
        <v>353</v>
      </c>
      <c r="M916" t="s">
        <v>354</v>
      </c>
      <c r="N916" t="s">
        <v>3036</v>
      </c>
      <c r="O916" t="s">
        <v>3037</v>
      </c>
      <c r="P916" t="s">
        <v>3038</v>
      </c>
      <c r="Q916" t="s">
        <v>3037</v>
      </c>
      <c r="T916">
        <v>47.910730141000002</v>
      </c>
      <c r="U916">
        <v>-97.112219041000003</v>
      </c>
      <c r="V916">
        <f>SUM(W916:X916)+(Y916*0.8)+(Z916*0.4)</f>
        <v>10</v>
      </c>
      <c r="W916">
        <v>10</v>
      </c>
      <c r="X916">
        <v>0</v>
      </c>
      <c r="Y916">
        <v>0</v>
      </c>
      <c r="Z916">
        <v>0</v>
      </c>
      <c r="AA916" t="s">
        <v>43</v>
      </c>
      <c r="AB916">
        <v>10</v>
      </c>
      <c r="AD916" t="s">
        <v>3039</v>
      </c>
      <c r="AE916" t="s">
        <v>3040</v>
      </c>
    </row>
    <row r="917" spans="1:31" x14ac:dyDescent="0.25">
      <c r="A917" t="s">
        <v>31</v>
      </c>
      <c r="C917" t="s">
        <v>2064</v>
      </c>
      <c r="D917" t="s">
        <v>2114</v>
      </c>
      <c r="E917" t="s">
        <v>34</v>
      </c>
      <c r="F917" t="s">
        <v>35</v>
      </c>
      <c r="G917">
        <v>2021</v>
      </c>
      <c r="H917" t="s">
        <v>36</v>
      </c>
      <c r="I917" t="s">
        <v>2115</v>
      </c>
      <c r="J917" t="s">
        <v>31</v>
      </c>
      <c r="K917" t="s">
        <v>38</v>
      </c>
      <c r="L917" t="s">
        <v>68</v>
      </c>
      <c r="M917" t="s">
        <v>69</v>
      </c>
      <c r="N917" t="s">
        <v>297</v>
      </c>
      <c r="O917" t="s">
        <v>2116</v>
      </c>
      <c r="P917" t="s">
        <v>2117</v>
      </c>
      <c r="T917">
        <v>32.912076806000002</v>
      </c>
      <c r="U917">
        <v>-96.870685717000001</v>
      </c>
      <c r="V917">
        <f>SUM(W917:X917)+(Y917*0.8)+(Z917*0.4)</f>
        <v>10</v>
      </c>
      <c r="W917">
        <v>10</v>
      </c>
      <c r="X917">
        <v>0</v>
      </c>
      <c r="Y917">
        <v>0</v>
      </c>
      <c r="Z917">
        <v>0</v>
      </c>
      <c r="AA917" t="s">
        <v>43</v>
      </c>
      <c r="AB917">
        <v>9</v>
      </c>
      <c r="AD917" t="s">
        <v>2118</v>
      </c>
      <c r="AE917" t="s">
        <v>2119</v>
      </c>
    </row>
    <row r="918" spans="1:31" x14ac:dyDescent="0.25">
      <c r="A918" t="s">
        <v>31</v>
      </c>
      <c r="C918" t="s">
        <v>7019</v>
      </c>
      <c r="D918" t="s">
        <v>126</v>
      </c>
      <c r="E918" t="s">
        <v>362</v>
      </c>
      <c r="F918" t="s">
        <v>630</v>
      </c>
      <c r="G918">
        <v>2020</v>
      </c>
      <c r="H918" t="s">
        <v>36</v>
      </c>
      <c r="I918" t="s">
        <v>7025</v>
      </c>
      <c r="J918" t="s">
        <v>31</v>
      </c>
      <c r="K918" t="s">
        <v>38</v>
      </c>
      <c r="L918" t="s">
        <v>123</v>
      </c>
      <c r="M918" t="s">
        <v>124</v>
      </c>
      <c r="N918" t="s">
        <v>125</v>
      </c>
      <c r="O918" t="s">
        <v>126</v>
      </c>
      <c r="P918" t="s">
        <v>127</v>
      </c>
      <c r="Q918" t="s">
        <v>128</v>
      </c>
      <c r="T918">
        <v>41.051643587000001</v>
      </c>
      <c r="U918">
        <v>-73.972000023999996</v>
      </c>
      <c r="V918">
        <f>SUM(W918:X918)+(Y918*0.8)+(Z918*0.4)</f>
        <v>10</v>
      </c>
      <c r="W918">
        <v>10</v>
      </c>
      <c r="X918">
        <v>0</v>
      </c>
      <c r="Y918">
        <v>0</v>
      </c>
      <c r="Z918">
        <v>0</v>
      </c>
      <c r="AA918" t="s">
        <v>43</v>
      </c>
      <c r="AB918">
        <v>10</v>
      </c>
      <c r="AD918" t="s">
        <v>7026</v>
      </c>
      <c r="AE918" t="s">
        <v>7027</v>
      </c>
    </row>
    <row r="919" spans="1:31" x14ac:dyDescent="0.25">
      <c r="A919" t="s">
        <v>31</v>
      </c>
      <c r="C919" t="s">
        <v>9691</v>
      </c>
      <c r="D919" t="s">
        <v>9692</v>
      </c>
      <c r="E919" t="s">
        <v>34</v>
      </c>
      <c r="F919" t="s">
        <v>76</v>
      </c>
      <c r="G919">
        <v>2014</v>
      </c>
      <c r="H919" t="s">
        <v>36</v>
      </c>
      <c r="I919" t="s">
        <v>9693</v>
      </c>
      <c r="J919" t="s">
        <v>31</v>
      </c>
      <c r="K919" t="s">
        <v>38</v>
      </c>
      <c r="L919" t="s">
        <v>123</v>
      </c>
      <c r="M919" t="s">
        <v>124</v>
      </c>
      <c r="N919" t="s">
        <v>125</v>
      </c>
      <c r="O919" t="s">
        <v>126</v>
      </c>
      <c r="P919" t="s">
        <v>127</v>
      </c>
      <c r="Q919" t="s">
        <v>128</v>
      </c>
      <c r="T919">
        <v>41.036316290000002</v>
      </c>
      <c r="U919">
        <v>-73.987284180000003</v>
      </c>
      <c r="V919">
        <f>SUM(W919:X919)+(Y919*0.8)+(Z919*0.4)</f>
        <v>10</v>
      </c>
      <c r="W919">
        <v>10</v>
      </c>
      <c r="X919">
        <v>0</v>
      </c>
      <c r="Y919">
        <v>0</v>
      </c>
      <c r="Z919">
        <v>0</v>
      </c>
      <c r="AA919" t="s">
        <v>43</v>
      </c>
      <c r="AB919">
        <v>10</v>
      </c>
      <c r="AD919" t="s">
        <v>9694</v>
      </c>
      <c r="AE919" t="s">
        <v>9695</v>
      </c>
    </row>
    <row r="920" spans="1:31" x14ac:dyDescent="0.25">
      <c r="A920" t="s">
        <v>31</v>
      </c>
      <c r="C920" t="s">
        <v>5181</v>
      </c>
      <c r="D920" t="s">
        <v>5249</v>
      </c>
      <c r="E920" t="s">
        <v>34</v>
      </c>
      <c r="F920" t="s">
        <v>35</v>
      </c>
      <c r="G920">
        <v>2014</v>
      </c>
      <c r="H920" t="s">
        <v>36</v>
      </c>
      <c r="I920" t="s">
        <v>5250</v>
      </c>
      <c r="J920" t="s">
        <v>31</v>
      </c>
      <c r="K920" t="s">
        <v>38</v>
      </c>
      <c r="L920" t="s">
        <v>68</v>
      </c>
      <c r="M920" t="s">
        <v>69</v>
      </c>
      <c r="N920" t="s">
        <v>297</v>
      </c>
      <c r="O920" t="s">
        <v>2116</v>
      </c>
      <c r="P920" t="s">
        <v>2738</v>
      </c>
      <c r="T920">
        <v>32.800860999999998</v>
      </c>
      <c r="U920">
        <v>-96.819354000000004</v>
      </c>
      <c r="V920">
        <f>SUM(W920:X920)+(Y920*0.8)+(Z920*0.4)</f>
        <v>10</v>
      </c>
      <c r="W920">
        <v>10</v>
      </c>
      <c r="X920">
        <v>0</v>
      </c>
      <c r="Y920">
        <v>0</v>
      </c>
      <c r="Z920">
        <v>0</v>
      </c>
      <c r="AA920" t="s">
        <v>43</v>
      </c>
      <c r="AB920">
        <v>9.6</v>
      </c>
      <c r="AD920" t="s">
        <v>5251</v>
      </c>
      <c r="AE920" t="s">
        <v>5252</v>
      </c>
    </row>
    <row r="921" spans="1:31" x14ac:dyDescent="0.25">
      <c r="A921" t="s">
        <v>31</v>
      </c>
      <c r="C921" t="s">
        <v>6832</v>
      </c>
      <c r="D921" t="s">
        <v>6939</v>
      </c>
      <c r="E921" t="s">
        <v>34</v>
      </c>
      <c r="F921" t="s">
        <v>66</v>
      </c>
      <c r="G921">
        <v>2013</v>
      </c>
      <c r="H921" t="s">
        <v>36</v>
      </c>
      <c r="I921" t="s">
        <v>6940</v>
      </c>
      <c r="J921" t="s">
        <v>31</v>
      </c>
      <c r="K921" t="s">
        <v>38</v>
      </c>
      <c r="L921" t="s">
        <v>77</v>
      </c>
      <c r="M921" t="s">
        <v>78</v>
      </c>
      <c r="N921" t="s">
        <v>3361</v>
      </c>
      <c r="O921" t="s">
        <v>6941</v>
      </c>
      <c r="P921" t="s">
        <v>6942</v>
      </c>
      <c r="Q921" t="s">
        <v>6941</v>
      </c>
      <c r="T921">
        <v>41.092326</v>
      </c>
      <c r="U921">
        <v>-79.911677999999995</v>
      </c>
      <c r="V921">
        <f>SUM(W921:X921)+(Y921*0.8)+(Z921*0.4)</f>
        <v>10</v>
      </c>
      <c r="W921">
        <v>10</v>
      </c>
      <c r="X921">
        <v>0</v>
      </c>
      <c r="Y921">
        <v>0</v>
      </c>
      <c r="Z921">
        <v>0</v>
      </c>
      <c r="AA921" t="s">
        <v>43</v>
      </c>
      <c r="AB921">
        <v>7.93</v>
      </c>
      <c r="AC921">
        <v>1.3</v>
      </c>
      <c r="AD921" t="s">
        <v>6943</v>
      </c>
      <c r="AE921" t="s">
        <v>6944</v>
      </c>
    </row>
    <row r="922" spans="1:31" x14ac:dyDescent="0.25">
      <c r="A922" t="s">
        <v>31</v>
      </c>
      <c r="C922" t="s">
        <v>6381</v>
      </c>
      <c r="D922" t="s">
        <v>6418</v>
      </c>
      <c r="E922" t="s">
        <v>34</v>
      </c>
      <c r="F922" t="s">
        <v>66</v>
      </c>
      <c r="G922">
        <v>2013</v>
      </c>
      <c r="H922" t="s">
        <v>36</v>
      </c>
      <c r="I922" t="s">
        <v>6419</v>
      </c>
      <c r="J922" t="s">
        <v>31</v>
      </c>
      <c r="K922" t="s">
        <v>38</v>
      </c>
      <c r="L922" t="s">
        <v>317</v>
      </c>
      <c r="M922" t="s">
        <v>318</v>
      </c>
      <c r="N922" t="s">
        <v>1576</v>
      </c>
      <c r="O922" t="s">
        <v>1910</v>
      </c>
      <c r="P922" t="s">
        <v>6420</v>
      </c>
      <c r="Q922" t="s">
        <v>1912</v>
      </c>
      <c r="T922">
        <v>41.506591999999998</v>
      </c>
      <c r="U922">
        <v>-81.683042</v>
      </c>
      <c r="V922">
        <f>SUM(W922:X922)+(Y922*0.8)+(Z922*0.4)</f>
        <v>10</v>
      </c>
      <c r="W922">
        <v>10</v>
      </c>
      <c r="X922">
        <v>0</v>
      </c>
      <c r="Y922">
        <v>0</v>
      </c>
      <c r="Z922">
        <v>0</v>
      </c>
      <c r="AA922" t="s">
        <v>43</v>
      </c>
      <c r="AB922">
        <v>9.6999999999999993</v>
      </c>
      <c r="AD922" t="s">
        <v>6421</v>
      </c>
      <c r="AE922" t="s">
        <v>6422</v>
      </c>
    </row>
    <row r="923" spans="1:31" x14ac:dyDescent="0.25">
      <c r="A923" t="s">
        <v>31</v>
      </c>
      <c r="C923" t="s">
        <v>6062</v>
      </c>
      <c r="D923" t="s">
        <v>3509</v>
      </c>
      <c r="E923" t="s">
        <v>34</v>
      </c>
      <c r="F923" t="s">
        <v>66</v>
      </c>
      <c r="G923">
        <v>2012</v>
      </c>
      <c r="H923" t="s">
        <v>36</v>
      </c>
      <c r="I923" t="s">
        <v>6079</v>
      </c>
      <c r="J923" t="s">
        <v>31</v>
      </c>
      <c r="K923" t="s">
        <v>38</v>
      </c>
      <c r="L923" t="s">
        <v>843</v>
      </c>
      <c r="M923" t="s">
        <v>1644</v>
      </c>
      <c r="N923" t="s">
        <v>3511</v>
      </c>
      <c r="O923" t="s">
        <v>3509</v>
      </c>
      <c r="P923" t="s">
        <v>3512</v>
      </c>
      <c r="T923">
        <v>47.243576748000002</v>
      </c>
      <c r="U923">
        <v>-119.864847164</v>
      </c>
      <c r="V923">
        <f>SUM(W923:X923)+(Y923*0.8)+(Z923*0.4)</f>
        <v>10</v>
      </c>
      <c r="W923">
        <v>10</v>
      </c>
      <c r="X923">
        <v>0</v>
      </c>
      <c r="Y923">
        <v>0</v>
      </c>
      <c r="Z923">
        <v>0</v>
      </c>
      <c r="AA923" t="s">
        <v>43</v>
      </c>
      <c r="AB923">
        <v>10</v>
      </c>
      <c r="AD923" t="s">
        <v>6080</v>
      </c>
      <c r="AE923" t="s">
        <v>6081</v>
      </c>
    </row>
    <row r="924" spans="1:31" x14ac:dyDescent="0.25">
      <c r="A924" t="s">
        <v>31</v>
      </c>
      <c r="C924" t="s">
        <v>5181</v>
      </c>
      <c r="D924" t="s">
        <v>5400</v>
      </c>
      <c r="E924" t="s">
        <v>34</v>
      </c>
      <c r="F924" t="s">
        <v>35</v>
      </c>
      <c r="G924">
        <v>2012</v>
      </c>
      <c r="H924" t="s">
        <v>36</v>
      </c>
      <c r="I924" t="s">
        <v>5401</v>
      </c>
      <c r="J924" t="s">
        <v>31</v>
      </c>
      <c r="K924" t="s">
        <v>38</v>
      </c>
      <c r="L924" t="s">
        <v>39</v>
      </c>
      <c r="M924" t="s">
        <v>40</v>
      </c>
      <c r="N924" t="s">
        <v>2140</v>
      </c>
      <c r="O924" t="s">
        <v>2161</v>
      </c>
      <c r="P924" t="s">
        <v>2162</v>
      </c>
      <c r="T924">
        <v>40.778599</v>
      </c>
      <c r="U924">
        <v>-74.072477000000006</v>
      </c>
      <c r="V924">
        <f>SUM(W924:X924)+(Y924*0.8)+(Z924*0.4)</f>
        <v>10</v>
      </c>
      <c r="W924">
        <v>10</v>
      </c>
      <c r="X924">
        <v>0</v>
      </c>
      <c r="Y924">
        <v>0</v>
      </c>
      <c r="Z924">
        <v>0</v>
      </c>
      <c r="AA924" t="s">
        <v>43</v>
      </c>
      <c r="AB924">
        <v>9.8000000000000007</v>
      </c>
      <c r="AD924" t="s">
        <v>5402</v>
      </c>
      <c r="AE924" t="s">
        <v>5403</v>
      </c>
    </row>
    <row r="925" spans="1:31" x14ac:dyDescent="0.25">
      <c r="A925" t="s">
        <v>31</v>
      </c>
      <c r="C925" t="s">
        <v>2460</v>
      </c>
      <c r="D925" t="s">
        <v>2081</v>
      </c>
      <c r="E925" t="s">
        <v>362</v>
      </c>
      <c r="F925" t="s">
        <v>1611</v>
      </c>
      <c r="G925">
        <v>2011</v>
      </c>
      <c r="H925" t="s">
        <v>36</v>
      </c>
      <c r="I925" t="s">
        <v>2461</v>
      </c>
      <c r="J925" t="s">
        <v>31</v>
      </c>
      <c r="K925" t="s">
        <v>38</v>
      </c>
      <c r="L925" t="s">
        <v>68</v>
      </c>
      <c r="M925" t="s">
        <v>69</v>
      </c>
      <c r="N925" t="s">
        <v>547</v>
      </c>
      <c r="O925" t="s">
        <v>2081</v>
      </c>
      <c r="P925" t="s">
        <v>2462</v>
      </c>
      <c r="T925">
        <v>33.135963168000004</v>
      </c>
      <c r="U925">
        <v>-96.661581591000001</v>
      </c>
      <c r="V925">
        <f>SUM(W925:X925)+(Y925*0.8)+(Z925*0.4)</f>
        <v>10</v>
      </c>
      <c r="W925">
        <v>10</v>
      </c>
      <c r="X925">
        <v>0</v>
      </c>
      <c r="Y925">
        <v>0</v>
      </c>
      <c r="Z925">
        <v>0</v>
      </c>
      <c r="AA925" t="s">
        <v>43</v>
      </c>
      <c r="AB925">
        <v>10</v>
      </c>
      <c r="AD925" t="s">
        <v>2463</v>
      </c>
      <c r="AE925" t="s">
        <v>2464</v>
      </c>
    </row>
    <row r="926" spans="1:31" x14ac:dyDescent="0.25">
      <c r="A926" t="s">
        <v>31</v>
      </c>
      <c r="C926" t="s">
        <v>8423</v>
      </c>
      <c r="D926" t="s">
        <v>8424</v>
      </c>
      <c r="E926" t="s">
        <v>362</v>
      </c>
      <c r="F926" t="s">
        <v>630</v>
      </c>
      <c r="G926">
        <v>2010</v>
      </c>
      <c r="H926" t="s">
        <v>36</v>
      </c>
      <c r="I926" t="s">
        <v>8425</v>
      </c>
      <c r="J926" t="s">
        <v>31</v>
      </c>
      <c r="K926" t="s">
        <v>38</v>
      </c>
      <c r="L926" t="s">
        <v>39</v>
      </c>
      <c r="M926" t="s">
        <v>40</v>
      </c>
      <c r="N926" t="s">
        <v>41</v>
      </c>
      <c r="O926" t="s">
        <v>8426</v>
      </c>
      <c r="P926" t="s">
        <v>8427</v>
      </c>
      <c r="Q926" t="s">
        <v>8428</v>
      </c>
      <c r="T926">
        <v>41.078508773000003</v>
      </c>
      <c r="U926">
        <v>-74.152963733999997</v>
      </c>
      <c r="V926">
        <f>SUM(W926:X926)+(Y926*0.8)+(Z926*0.4)</f>
        <v>10</v>
      </c>
      <c r="W926">
        <v>10</v>
      </c>
      <c r="X926">
        <v>0</v>
      </c>
      <c r="Y926">
        <v>0</v>
      </c>
      <c r="Z926">
        <v>0</v>
      </c>
      <c r="AA926" t="s">
        <v>43</v>
      </c>
      <c r="AB926">
        <v>10</v>
      </c>
      <c r="AD926" t="s">
        <v>8429</v>
      </c>
      <c r="AE926" t="s">
        <v>8430</v>
      </c>
    </row>
    <row r="927" spans="1:31" x14ac:dyDescent="0.25">
      <c r="A927" t="s">
        <v>31</v>
      </c>
      <c r="C927" t="s">
        <v>2488</v>
      </c>
      <c r="D927" t="s">
        <v>2489</v>
      </c>
      <c r="E927" t="s">
        <v>362</v>
      </c>
      <c r="F927" t="s">
        <v>630</v>
      </c>
      <c r="G927">
        <v>2008</v>
      </c>
      <c r="H927" t="s">
        <v>36</v>
      </c>
      <c r="I927" t="s">
        <v>2490</v>
      </c>
      <c r="J927" t="s">
        <v>31</v>
      </c>
      <c r="K927" t="s">
        <v>38</v>
      </c>
      <c r="L927" t="s">
        <v>68</v>
      </c>
      <c r="M927" t="s">
        <v>69</v>
      </c>
      <c r="N927" t="s">
        <v>956</v>
      </c>
      <c r="O927" t="s">
        <v>1926</v>
      </c>
      <c r="P927" t="s">
        <v>1928</v>
      </c>
      <c r="T927">
        <v>30.602983554000001</v>
      </c>
      <c r="U927">
        <v>-97.675594712000006</v>
      </c>
      <c r="V927">
        <f>SUM(W927:X927)+(Y927*0.8)+(Z927*0.4)</f>
        <v>10</v>
      </c>
      <c r="W927">
        <v>10</v>
      </c>
      <c r="X927">
        <v>0</v>
      </c>
      <c r="Y927">
        <v>0</v>
      </c>
      <c r="Z927">
        <v>0</v>
      </c>
      <c r="AA927" t="s">
        <v>43</v>
      </c>
      <c r="AB927">
        <v>10</v>
      </c>
      <c r="AD927" t="s">
        <v>2491</v>
      </c>
      <c r="AE927" t="s">
        <v>2492</v>
      </c>
    </row>
    <row r="928" spans="1:31" x14ac:dyDescent="0.25">
      <c r="A928" t="s">
        <v>31</v>
      </c>
      <c r="C928" t="s">
        <v>2460</v>
      </c>
      <c r="D928" t="s">
        <v>2472</v>
      </c>
      <c r="E928" t="s">
        <v>362</v>
      </c>
      <c r="F928" t="s">
        <v>1611</v>
      </c>
      <c r="G928">
        <v>2008</v>
      </c>
      <c r="H928" t="s">
        <v>36</v>
      </c>
      <c r="I928" t="s">
        <v>2473</v>
      </c>
      <c r="J928" t="s">
        <v>31</v>
      </c>
      <c r="K928" t="s">
        <v>38</v>
      </c>
      <c r="L928" t="s">
        <v>68</v>
      </c>
      <c r="M928" t="s">
        <v>69</v>
      </c>
      <c r="N928" t="s">
        <v>297</v>
      </c>
      <c r="O928" t="s">
        <v>295</v>
      </c>
      <c r="P928" t="s">
        <v>2474</v>
      </c>
      <c r="T928">
        <v>32.998184193</v>
      </c>
      <c r="U928">
        <v>-96.677526990999993</v>
      </c>
      <c r="V928">
        <f>SUM(W928:X928)+(Y928*0.8)+(Z928*0.4)</f>
        <v>10</v>
      </c>
      <c r="W928">
        <v>10</v>
      </c>
      <c r="X928">
        <v>0</v>
      </c>
      <c r="Y928">
        <v>0</v>
      </c>
      <c r="Z928">
        <v>0</v>
      </c>
      <c r="AA928" t="s">
        <v>43</v>
      </c>
      <c r="AB928">
        <v>10</v>
      </c>
      <c r="AD928" t="s">
        <v>2475</v>
      </c>
      <c r="AE928" t="s">
        <v>2476</v>
      </c>
    </row>
    <row r="929" spans="1:31" x14ac:dyDescent="0.25">
      <c r="A929" t="s">
        <v>31</v>
      </c>
      <c r="C929" t="s">
        <v>3849</v>
      </c>
      <c r="D929" t="s">
        <v>4620</v>
      </c>
      <c r="E929" t="s">
        <v>34</v>
      </c>
      <c r="F929" t="s">
        <v>66</v>
      </c>
      <c r="G929">
        <v>2006</v>
      </c>
      <c r="H929" t="s">
        <v>36</v>
      </c>
      <c r="I929" t="s">
        <v>4621</v>
      </c>
      <c r="J929" t="s">
        <v>31</v>
      </c>
      <c r="K929" t="s">
        <v>38</v>
      </c>
      <c r="L929" t="s">
        <v>326</v>
      </c>
      <c r="M929" t="s">
        <v>327</v>
      </c>
      <c r="N929" t="s">
        <v>328</v>
      </c>
      <c r="O929" t="s">
        <v>590</v>
      </c>
      <c r="P929" t="s">
        <v>4622</v>
      </c>
      <c r="T929">
        <v>33.452109999999998</v>
      </c>
      <c r="U929">
        <v>-112.071940478</v>
      </c>
      <c r="V929">
        <f>SUM(W929:X929)+(Y929*0.8)+(Z929*0.4)</f>
        <v>10</v>
      </c>
      <c r="W929">
        <v>10</v>
      </c>
      <c r="X929">
        <v>0</v>
      </c>
      <c r="Y929">
        <v>0</v>
      </c>
      <c r="Z929">
        <v>0</v>
      </c>
      <c r="AA929" t="s">
        <v>43</v>
      </c>
      <c r="AB929">
        <v>9</v>
      </c>
      <c r="AD929" t="s">
        <v>4623</v>
      </c>
      <c r="AE929" t="s">
        <v>4624</v>
      </c>
    </row>
    <row r="930" spans="1:31" x14ac:dyDescent="0.25">
      <c r="A930" t="s">
        <v>31</v>
      </c>
      <c r="C930" t="s">
        <v>2488</v>
      </c>
      <c r="D930" t="s">
        <v>2493</v>
      </c>
      <c r="E930" t="s">
        <v>362</v>
      </c>
      <c r="F930" t="s">
        <v>630</v>
      </c>
      <c r="G930">
        <v>2006</v>
      </c>
      <c r="H930" t="s">
        <v>36</v>
      </c>
      <c r="I930" t="s">
        <v>2494</v>
      </c>
      <c r="J930" t="s">
        <v>31</v>
      </c>
      <c r="K930" t="s">
        <v>38</v>
      </c>
      <c r="L930" t="s">
        <v>68</v>
      </c>
      <c r="M930" t="s">
        <v>69</v>
      </c>
      <c r="N930" t="s">
        <v>2377</v>
      </c>
      <c r="O930" t="s">
        <v>2495</v>
      </c>
      <c r="P930" t="s">
        <v>2378</v>
      </c>
      <c r="T930">
        <v>33.005922720999997</v>
      </c>
      <c r="U930">
        <v>-97.245351088000007</v>
      </c>
      <c r="V930">
        <f>SUM(W930:X930)+(Y930*0.8)+(Z930*0.4)</f>
        <v>10</v>
      </c>
      <c r="W930">
        <v>10</v>
      </c>
      <c r="X930">
        <v>0</v>
      </c>
      <c r="Y930">
        <v>0</v>
      </c>
      <c r="Z930">
        <v>0</v>
      </c>
      <c r="AA930" t="s">
        <v>43</v>
      </c>
      <c r="AB930">
        <v>10</v>
      </c>
      <c r="AD930" t="s">
        <v>2496</v>
      </c>
      <c r="AE930" t="s">
        <v>2497</v>
      </c>
    </row>
    <row r="931" spans="1:31" x14ac:dyDescent="0.25">
      <c r="A931" t="s">
        <v>31</v>
      </c>
      <c r="C931" t="s">
        <v>6381</v>
      </c>
      <c r="D931" t="s">
        <v>6493</v>
      </c>
      <c r="E931" t="s">
        <v>34</v>
      </c>
      <c r="F931" t="s">
        <v>66</v>
      </c>
      <c r="G931">
        <v>2002</v>
      </c>
      <c r="H931" t="s">
        <v>36</v>
      </c>
      <c r="I931" t="s">
        <v>6494</v>
      </c>
      <c r="J931" t="s">
        <v>31</v>
      </c>
      <c r="K931" t="s">
        <v>38</v>
      </c>
      <c r="L931" t="s">
        <v>172</v>
      </c>
      <c r="M931" t="s">
        <v>173</v>
      </c>
      <c r="N931" t="s">
        <v>780</v>
      </c>
      <c r="O931" t="s">
        <v>2251</v>
      </c>
      <c r="P931" t="s">
        <v>6495</v>
      </c>
      <c r="T931">
        <v>37.372177354000002</v>
      </c>
      <c r="U931">
        <v>-121.98756600199999</v>
      </c>
      <c r="V931">
        <f>SUM(W931:X931)+(Y931*0.8)+(Z931*0.4)</f>
        <v>10</v>
      </c>
      <c r="W931">
        <v>10</v>
      </c>
      <c r="X931">
        <v>0</v>
      </c>
      <c r="Y931">
        <v>0</v>
      </c>
      <c r="Z931">
        <v>0</v>
      </c>
      <c r="AA931" t="s">
        <v>43</v>
      </c>
      <c r="AB931">
        <v>9.33</v>
      </c>
      <c r="AD931" t="s">
        <v>6496</v>
      </c>
      <c r="AE931" t="s">
        <v>6497</v>
      </c>
    </row>
    <row r="932" spans="1:31" x14ac:dyDescent="0.25">
      <c r="A932" t="s">
        <v>31</v>
      </c>
      <c r="C932" t="s">
        <v>5181</v>
      </c>
      <c r="D932" t="s">
        <v>5334</v>
      </c>
      <c r="E932" t="s">
        <v>34</v>
      </c>
      <c r="F932" t="s">
        <v>43</v>
      </c>
      <c r="G932">
        <v>2000</v>
      </c>
      <c r="H932" t="s">
        <v>36</v>
      </c>
      <c r="I932" t="s">
        <v>5335</v>
      </c>
      <c r="J932" t="s">
        <v>31</v>
      </c>
      <c r="K932" t="s">
        <v>38</v>
      </c>
      <c r="L932" t="s">
        <v>68</v>
      </c>
      <c r="M932" t="s">
        <v>69</v>
      </c>
      <c r="N932" t="s">
        <v>1951</v>
      </c>
      <c r="O932" t="s">
        <v>1952</v>
      </c>
      <c r="P932" t="s">
        <v>5336</v>
      </c>
      <c r="T932">
        <v>29.935801000000001</v>
      </c>
      <c r="U932">
        <v>-95.364317999999997</v>
      </c>
      <c r="V932">
        <f>SUM(W932:X932)+(Y932*0.8)+(Z932*0.4)</f>
        <v>10</v>
      </c>
      <c r="W932">
        <v>10</v>
      </c>
      <c r="X932">
        <v>0</v>
      </c>
      <c r="Y932">
        <v>0</v>
      </c>
      <c r="Z932">
        <v>0</v>
      </c>
      <c r="AA932" t="s">
        <v>43</v>
      </c>
      <c r="AB932">
        <v>7</v>
      </c>
      <c r="AC932">
        <v>1.5</v>
      </c>
      <c r="AD932" t="s">
        <v>5337</v>
      </c>
      <c r="AE932" t="s">
        <v>5338</v>
      </c>
    </row>
    <row r="933" spans="1:31" x14ac:dyDescent="0.25">
      <c r="A933" t="s">
        <v>31</v>
      </c>
      <c r="C933" t="s">
        <v>2064</v>
      </c>
      <c r="D933" t="s">
        <v>2189</v>
      </c>
      <c r="E933" t="s">
        <v>34</v>
      </c>
      <c r="F933" t="s">
        <v>35</v>
      </c>
      <c r="G933">
        <v>2000</v>
      </c>
      <c r="H933" t="s">
        <v>36</v>
      </c>
      <c r="I933" t="s">
        <v>2190</v>
      </c>
      <c r="J933" t="s">
        <v>31</v>
      </c>
      <c r="K933" t="s">
        <v>38</v>
      </c>
      <c r="L933" t="s">
        <v>242</v>
      </c>
      <c r="M933" t="s">
        <v>243</v>
      </c>
      <c r="N933" t="s">
        <v>405</v>
      </c>
      <c r="O933" t="s">
        <v>516</v>
      </c>
      <c r="P933" t="s">
        <v>517</v>
      </c>
      <c r="T933">
        <v>39.021860277999998</v>
      </c>
      <c r="U933">
        <v>-77.453250742999998</v>
      </c>
      <c r="V933">
        <f>SUM(W933:X933)+(Y933*0.8)+(Z933*0.4)</f>
        <v>10</v>
      </c>
      <c r="W933">
        <v>10</v>
      </c>
      <c r="X933">
        <v>0</v>
      </c>
      <c r="Y933">
        <v>0</v>
      </c>
      <c r="Z933">
        <v>0</v>
      </c>
      <c r="AA933" t="s">
        <v>43</v>
      </c>
      <c r="AB933">
        <v>10</v>
      </c>
      <c r="AD933" t="s">
        <v>2191</v>
      </c>
      <c r="AE933" t="s">
        <v>2192</v>
      </c>
    </row>
    <row r="934" spans="1:31" x14ac:dyDescent="0.25">
      <c r="A934" t="s">
        <v>31</v>
      </c>
      <c r="C934" t="s">
        <v>3710</v>
      </c>
      <c r="D934" t="s">
        <v>3800</v>
      </c>
      <c r="E934" t="s">
        <v>34</v>
      </c>
      <c r="F934" t="s">
        <v>35</v>
      </c>
      <c r="G934">
        <v>2009</v>
      </c>
      <c r="H934" t="s">
        <v>36</v>
      </c>
      <c r="I934" t="s">
        <v>3801</v>
      </c>
      <c r="J934" t="s">
        <v>31</v>
      </c>
      <c r="K934" t="s">
        <v>38</v>
      </c>
      <c r="L934" t="s">
        <v>242</v>
      </c>
      <c r="M934" t="s">
        <v>243</v>
      </c>
      <c r="N934" t="s">
        <v>405</v>
      </c>
      <c r="O934" t="s">
        <v>516</v>
      </c>
      <c r="P934" t="s">
        <v>517</v>
      </c>
      <c r="T934">
        <v>39.015948999999999</v>
      </c>
      <c r="U934">
        <v>-77.481882999999996</v>
      </c>
      <c r="V934">
        <f>SUM(W934:X934)+(Y934*0.8)+(Z934*0.4)</f>
        <v>9.9</v>
      </c>
      <c r="W934">
        <v>9.9</v>
      </c>
      <c r="X934">
        <v>0</v>
      </c>
      <c r="Y934">
        <v>0</v>
      </c>
      <c r="Z934">
        <v>0</v>
      </c>
      <c r="AA934" t="s">
        <v>43</v>
      </c>
      <c r="AB934">
        <v>9.9</v>
      </c>
      <c r="AD934" t="s">
        <v>3802</v>
      </c>
      <c r="AE934" t="s">
        <v>3803</v>
      </c>
    </row>
    <row r="935" spans="1:31" x14ac:dyDescent="0.25">
      <c r="A935" t="s">
        <v>31</v>
      </c>
      <c r="C935" t="s">
        <v>2706</v>
      </c>
      <c r="D935" t="s">
        <v>2809</v>
      </c>
      <c r="E935" t="s">
        <v>34</v>
      </c>
      <c r="F935" t="s">
        <v>35</v>
      </c>
      <c r="G935">
        <v>2009</v>
      </c>
      <c r="H935" t="s">
        <v>36</v>
      </c>
      <c r="I935" t="s">
        <v>2810</v>
      </c>
      <c r="J935" t="s">
        <v>31</v>
      </c>
      <c r="K935" t="s">
        <v>38</v>
      </c>
      <c r="L935" t="s">
        <v>172</v>
      </c>
      <c r="M935" t="s">
        <v>173</v>
      </c>
      <c r="N935" t="s">
        <v>780</v>
      </c>
      <c r="O935" t="s">
        <v>781</v>
      </c>
      <c r="P935" t="s">
        <v>787</v>
      </c>
      <c r="S935" t="s">
        <v>788</v>
      </c>
      <c r="T935">
        <v>37.365562648999997</v>
      </c>
      <c r="U935">
        <v>-121.96175936</v>
      </c>
      <c r="V935">
        <f>SUM(W935:X935)+(Y935*0.8)+(Z935*0.4)</f>
        <v>9.8000000000000007</v>
      </c>
      <c r="W935">
        <v>3</v>
      </c>
      <c r="X935">
        <v>0</v>
      </c>
      <c r="Y935">
        <v>0</v>
      </c>
      <c r="Z935">
        <v>17</v>
      </c>
      <c r="AA935" t="s">
        <v>43</v>
      </c>
      <c r="AB935">
        <v>2.87</v>
      </c>
      <c r="AC935">
        <v>1.3</v>
      </c>
      <c r="AD935" t="s">
        <v>2811</v>
      </c>
      <c r="AE935" t="s">
        <v>2812</v>
      </c>
    </row>
    <row r="936" spans="1:31" x14ac:dyDescent="0.25">
      <c r="A936" t="s">
        <v>31</v>
      </c>
      <c r="C936" t="s">
        <v>5181</v>
      </c>
      <c r="D936" t="s">
        <v>5375</v>
      </c>
      <c r="E936" t="s">
        <v>34</v>
      </c>
      <c r="F936" t="s">
        <v>66</v>
      </c>
      <c r="G936">
        <v>2002</v>
      </c>
      <c r="H936" t="s">
        <v>36</v>
      </c>
      <c r="I936" t="s">
        <v>5376</v>
      </c>
      <c r="J936" t="s">
        <v>31</v>
      </c>
      <c r="K936" t="s">
        <v>38</v>
      </c>
      <c r="L936" t="s">
        <v>39</v>
      </c>
      <c r="M936" t="s">
        <v>40</v>
      </c>
      <c r="N936" t="s">
        <v>253</v>
      </c>
      <c r="O936" t="s">
        <v>5377</v>
      </c>
      <c r="P936" t="s">
        <v>5378</v>
      </c>
      <c r="T936">
        <v>40.584363000000003</v>
      </c>
      <c r="U936">
        <v>-74.243550999999997</v>
      </c>
      <c r="V936">
        <f>SUM(W936:X936)+(Y936*0.8)+(Z936*0.4)</f>
        <v>9.8000000000000007</v>
      </c>
      <c r="W936">
        <v>9.8000000000000007</v>
      </c>
      <c r="X936">
        <v>0</v>
      </c>
      <c r="Y936">
        <v>0</v>
      </c>
      <c r="Z936">
        <v>0</v>
      </c>
      <c r="AA936" t="s">
        <v>43</v>
      </c>
      <c r="AB936">
        <v>8.3000000000000007</v>
      </c>
      <c r="AD936" t="s">
        <v>5379</v>
      </c>
      <c r="AE936" t="s">
        <v>5380</v>
      </c>
    </row>
    <row r="937" spans="1:31" x14ac:dyDescent="0.25">
      <c r="A937" t="s">
        <v>31</v>
      </c>
      <c r="C937" t="s">
        <v>10102</v>
      </c>
      <c r="D937" t="s">
        <v>10168</v>
      </c>
      <c r="E937" t="s">
        <v>34</v>
      </c>
      <c r="F937" t="s">
        <v>66</v>
      </c>
      <c r="G937">
        <v>2017</v>
      </c>
      <c r="H937" t="s">
        <v>36</v>
      </c>
      <c r="I937" t="s">
        <v>10169</v>
      </c>
      <c r="J937" t="s">
        <v>31</v>
      </c>
      <c r="K937" t="s">
        <v>38</v>
      </c>
      <c r="L937" t="s">
        <v>49</v>
      </c>
      <c r="M937" t="s">
        <v>50</v>
      </c>
      <c r="N937" t="s">
        <v>59</v>
      </c>
      <c r="O937" t="s">
        <v>10170</v>
      </c>
      <c r="P937" t="s">
        <v>10171</v>
      </c>
      <c r="T937">
        <v>42.852057000000002</v>
      </c>
      <c r="U937">
        <v>-85.560091999999997</v>
      </c>
      <c r="V937">
        <f>SUM(W937:X937)+(Y937*0.8)+(Z937*0.4)</f>
        <v>9.7919999999999998</v>
      </c>
      <c r="W937">
        <v>7</v>
      </c>
      <c r="X937">
        <v>0</v>
      </c>
      <c r="Y937">
        <v>3.49</v>
      </c>
      <c r="Z937">
        <v>0</v>
      </c>
      <c r="AA937" t="s">
        <v>43</v>
      </c>
      <c r="AB937">
        <v>6.44</v>
      </c>
      <c r="AD937" t="s">
        <v>10172</v>
      </c>
      <c r="AE937" t="s">
        <v>10173</v>
      </c>
    </row>
    <row r="938" spans="1:31" x14ac:dyDescent="0.25">
      <c r="A938" t="s">
        <v>31</v>
      </c>
      <c r="C938" t="s">
        <v>5181</v>
      </c>
      <c r="D938" t="s">
        <v>5350</v>
      </c>
      <c r="E938" t="s">
        <v>34</v>
      </c>
      <c r="F938" t="s">
        <v>35</v>
      </c>
      <c r="G938">
        <v>2000</v>
      </c>
      <c r="H938" t="s">
        <v>36</v>
      </c>
      <c r="I938" t="s">
        <v>5351</v>
      </c>
      <c r="J938" t="s">
        <v>31</v>
      </c>
      <c r="K938" t="s">
        <v>38</v>
      </c>
      <c r="L938" t="s">
        <v>172</v>
      </c>
      <c r="M938" t="s">
        <v>173</v>
      </c>
      <c r="N938" t="s">
        <v>493</v>
      </c>
      <c r="O938" t="s">
        <v>5352</v>
      </c>
      <c r="P938" t="s">
        <v>5353</v>
      </c>
      <c r="S938" t="s">
        <v>5354</v>
      </c>
      <c r="T938">
        <v>33.850814999999997</v>
      </c>
      <c r="U938">
        <v>-118.304087</v>
      </c>
      <c r="V938">
        <f>SUM(W938:X938)+(Y938*0.8)+(Z938*0.4)</f>
        <v>9.6999999999999993</v>
      </c>
      <c r="W938">
        <v>9.6999999999999993</v>
      </c>
      <c r="X938">
        <v>0</v>
      </c>
      <c r="Y938">
        <v>0</v>
      </c>
      <c r="Z938">
        <v>0</v>
      </c>
      <c r="AA938" t="s">
        <v>43</v>
      </c>
      <c r="AB938">
        <v>9.64</v>
      </c>
      <c r="AD938" t="s">
        <v>5355</v>
      </c>
      <c r="AE938" t="s">
        <v>5356</v>
      </c>
    </row>
    <row r="939" spans="1:31" x14ac:dyDescent="0.25">
      <c r="A939" t="s">
        <v>31</v>
      </c>
      <c r="C939" t="s">
        <v>7564</v>
      </c>
      <c r="D939" t="s">
        <v>7570</v>
      </c>
      <c r="E939" t="s">
        <v>34</v>
      </c>
      <c r="F939" t="s">
        <v>35</v>
      </c>
      <c r="G939">
        <v>1999</v>
      </c>
      <c r="H939" t="s">
        <v>36</v>
      </c>
      <c r="I939" t="s">
        <v>7571</v>
      </c>
      <c r="J939" t="s">
        <v>31</v>
      </c>
      <c r="K939" t="s">
        <v>38</v>
      </c>
      <c r="L939" t="s">
        <v>251</v>
      </c>
      <c r="M939" t="s">
        <v>252</v>
      </c>
      <c r="N939" t="s">
        <v>229</v>
      </c>
      <c r="O939" t="s">
        <v>5549</v>
      </c>
      <c r="P939" t="s">
        <v>7572</v>
      </c>
      <c r="Q939" t="s">
        <v>7573</v>
      </c>
      <c r="S939" t="s">
        <v>7574</v>
      </c>
      <c r="T939">
        <v>42.354503999999999</v>
      </c>
      <c r="U939">
        <v>-71.059691999999998</v>
      </c>
      <c r="V939">
        <f>SUM(W939:X939)+(Y939*0.8)+(Z939*0.4)</f>
        <v>9.6999999999999993</v>
      </c>
      <c r="W939">
        <v>9.6999999999999993</v>
      </c>
      <c r="X939">
        <v>0</v>
      </c>
      <c r="Y939">
        <v>0</v>
      </c>
      <c r="Z939">
        <v>0</v>
      </c>
      <c r="AA939" t="s">
        <v>43</v>
      </c>
      <c r="AB939">
        <v>9.6</v>
      </c>
      <c r="AD939" t="s">
        <v>7575</v>
      </c>
      <c r="AE939" t="s">
        <v>7576</v>
      </c>
    </row>
    <row r="940" spans="1:31" x14ac:dyDescent="0.25">
      <c r="A940" t="s">
        <v>31</v>
      </c>
      <c r="C940" t="s">
        <v>3849</v>
      </c>
      <c r="D940" t="s">
        <v>4650</v>
      </c>
      <c r="E940" t="s">
        <v>34</v>
      </c>
      <c r="F940" t="s">
        <v>66</v>
      </c>
      <c r="G940">
        <v>2001</v>
      </c>
      <c r="H940" t="s">
        <v>36</v>
      </c>
      <c r="I940" t="s">
        <v>4651</v>
      </c>
      <c r="J940" t="s">
        <v>31</v>
      </c>
      <c r="K940" t="s">
        <v>38</v>
      </c>
      <c r="L940" t="s">
        <v>242</v>
      </c>
      <c r="M940" t="s">
        <v>243</v>
      </c>
      <c r="N940" t="s">
        <v>509</v>
      </c>
      <c r="O940" t="s">
        <v>685</v>
      </c>
      <c r="P940" t="s">
        <v>686</v>
      </c>
      <c r="T940">
        <v>38.777573355999998</v>
      </c>
      <c r="U940">
        <v>-77.595758927999995</v>
      </c>
      <c r="V940">
        <f>SUM(W940:X940)+(Y940*0.8)+(Z940*0.4)</f>
        <v>9.6</v>
      </c>
      <c r="W940">
        <v>9.6</v>
      </c>
      <c r="X940">
        <v>0</v>
      </c>
      <c r="Y940">
        <v>0</v>
      </c>
      <c r="Z940">
        <v>0</v>
      </c>
      <c r="AA940" t="s">
        <v>43</v>
      </c>
      <c r="AB940">
        <v>0</v>
      </c>
      <c r="AD940" t="s">
        <v>4652</v>
      </c>
      <c r="AE940" t="s">
        <v>4653</v>
      </c>
    </row>
    <row r="941" spans="1:31" x14ac:dyDescent="0.25">
      <c r="A941" t="s">
        <v>31</v>
      </c>
      <c r="C941" t="s">
        <v>6669</v>
      </c>
      <c r="D941" t="s">
        <v>386</v>
      </c>
      <c r="E941" t="s">
        <v>362</v>
      </c>
      <c r="F941" t="s">
        <v>1302</v>
      </c>
      <c r="G941">
        <v>2000</v>
      </c>
      <c r="H941" t="s">
        <v>36</v>
      </c>
      <c r="I941" t="s">
        <v>6670</v>
      </c>
      <c r="J941" t="s">
        <v>31</v>
      </c>
      <c r="K941" t="s">
        <v>38</v>
      </c>
      <c r="L941" t="s">
        <v>383</v>
      </c>
      <c r="M941" t="s">
        <v>384</v>
      </c>
      <c r="N941" t="s">
        <v>385</v>
      </c>
      <c r="P941" t="s">
        <v>6671</v>
      </c>
      <c r="S941" t="s">
        <v>6669</v>
      </c>
      <c r="T941">
        <v>35.916208300000001</v>
      </c>
      <c r="U941">
        <v>-78.855218414999996</v>
      </c>
      <c r="V941">
        <f>SUM(W941:X941)+(Y941*0.8)+(Z941*0.4)</f>
        <v>9.6</v>
      </c>
      <c r="W941">
        <v>6</v>
      </c>
      <c r="X941">
        <v>0</v>
      </c>
      <c r="Y941">
        <v>0</v>
      </c>
      <c r="Z941">
        <v>9</v>
      </c>
      <c r="AA941" t="s">
        <v>43</v>
      </c>
      <c r="AB941">
        <v>6</v>
      </c>
      <c r="AD941" t="s">
        <v>6672</v>
      </c>
      <c r="AE941" t="s">
        <v>6673</v>
      </c>
    </row>
    <row r="942" spans="1:31" x14ac:dyDescent="0.25">
      <c r="A942" t="s">
        <v>31</v>
      </c>
      <c r="C942" t="s">
        <v>3849</v>
      </c>
      <c r="D942" t="s">
        <v>4277</v>
      </c>
      <c r="E942" t="s">
        <v>34</v>
      </c>
      <c r="F942" t="s">
        <v>66</v>
      </c>
      <c r="G942">
        <v>2000</v>
      </c>
      <c r="H942" t="s">
        <v>36</v>
      </c>
      <c r="I942" t="s">
        <v>4278</v>
      </c>
      <c r="J942" t="s">
        <v>31</v>
      </c>
      <c r="K942" t="s">
        <v>38</v>
      </c>
      <c r="L942" t="s">
        <v>172</v>
      </c>
      <c r="M942" t="s">
        <v>173</v>
      </c>
      <c r="N942" t="s">
        <v>780</v>
      </c>
      <c r="O942" t="s">
        <v>781</v>
      </c>
      <c r="P942" t="s">
        <v>3145</v>
      </c>
      <c r="T942">
        <v>37.371560000000002</v>
      </c>
      <c r="U942">
        <v>-121.96988</v>
      </c>
      <c r="V942">
        <f>SUM(W942:X942)+(Y942*0.8)+(Z942*0.4)</f>
        <v>9.6</v>
      </c>
      <c r="W942">
        <v>9.6</v>
      </c>
      <c r="X942">
        <v>0</v>
      </c>
      <c r="Y942">
        <v>0</v>
      </c>
      <c r="Z942">
        <v>0</v>
      </c>
      <c r="AA942" t="s">
        <v>43</v>
      </c>
      <c r="AB942">
        <v>9.6</v>
      </c>
      <c r="AD942" t="s">
        <v>4279</v>
      </c>
      <c r="AE942" t="s">
        <v>4280</v>
      </c>
    </row>
    <row r="943" spans="1:31" x14ac:dyDescent="0.25">
      <c r="A943" t="s">
        <v>31</v>
      </c>
      <c r="C943" t="s">
        <v>3312</v>
      </c>
      <c r="D943" t="s">
        <v>3359</v>
      </c>
      <c r="E943" t="s">
        <v>34</v>
      </c>
      <c r="F943" t="s">
        <v>35</v>
      </c>
      <c r="G943">
        <v>2009</v>
      </c>
      <c r="H943" t="s">
        <v>36</v>
      </c>
      <c r="I943" t="s">
        <v>3360</v>
      </c>
      <c r="J943" t="s">
        <v>31</v>
      </c>
      <c r="K943" t="s">
        <v>38</v>
      </c>
      <c r="L943" t="s">
        <v>317</v>
      </c>
      <c r="M943" t="s">
        <v>318</v>
      </c>
      <c r="N943" t="s">
        <v>3361</v>
      </c>
      <c r="O943" t="s">
        <v>3362</v>
      </c>
      <c r="P943" t="s">
        <v>3363</v>
      </c>
      <c r="Q943" t="s">
        <v>3362</v>
      </c>
      <c r="T943">
        <v>39.384847927999999</v>
      </c>
      <c r="U943">
        <v>-84.566564224999993</v>
      </c>
      <c r="V943">
        <f>SUM(W943:X943)+(Y943*0.8)+(Z943*0.4)</f>
        <v>9.5</v>
      </c>
      <c r="W943">
        <v>9.5</v>
      </c>
      <c r="X943">
        <v>0</v>
      </c>
      <c r="Y943">
        <v>0</v>
      </c>
      <c r="Z943">
        <v>0</v>
      </c>
      <c r="AA943" t="s">
        <v>43</v>
      </c>
      <c r="AB943">
        <v>8.9990000000000006</v>
      </c>
      <c r="AD943" t="s">
        <v>3364</v>
      </c>
      <c r="AE943" t="s">
        <v>3365</v>
      </c>
    </row>
    <row r="944" spans="1:31" x14ac:dyDescent="0.25">
      <c r="A944" t="s">
        <v>31</v>
      </c>
      <c r="C944" t="s">
        <v>169</v>
      </c>
      <c r="D944" t="s">
        <v>222</v>
      </c>
      <c r="E944" t="s">
        <v>34</v>
      </c>
      <c r="F944" t="s">
        <v>35</v>
      </c>
      <c r="G944">
        <v>2009</v>
      </c>
      <c r="H944" t="s">
        <v>36</v>
      </c>
      <c r="I944" t="s">
        <v>223</v>
      </c>
      <c r="J944" t="s">
        <v>31</v>
      </c>
      <c r="K944" t="s">
        <v>38</v>
      </c>
      <c r="L944" t="s">
        <v>39</v>
      </c>
      <c r="M944" t="s">
        <v>40</v>
      </c>
      <c r="N944" t="s">
        <v>41</v>
      </c>
      <c r="O944" t="s">
        <v>42</v>
      </c>
      <c r="P944" t="s">
        <v>224</v>
      </c>
      <c r="Q944" t="s">
        <v>42</v>
      </c>
      <c r="T944">
        <v>40.829344190999997</v>
      </c>
      <c r="U944">
        <v>-74.049365203999997</v>
      </c>
      <c r="V944">
        <f>SUM(W944:X944)+(Y944*0.8)+(Z944*0.4)</f>
        <v>9.5</v>
      </c>
      <c r="W944">
        <v>9.5</v>
      </c>
      <c r="X944">
        <v>0</v>
      </c>
      <c r="Y944">
        <v>0</v>
      </c>
      <c r="Z944">
        <v>0</v>
      </c>
      <c r="AA944" t="s">
        <v>43</v>
      </c>
      <c r="AB944">
        <v>8.8000000000000007</v>
      </c>
      <c r="AD944" t="s">
        <v>225</v>
      </c>
      <c r="AE944" t="s">
        <v>226</v>
      </c>
    </row>
    <row r="945" spans="1:31" x14ac:dyDescent="0.25">
      <c r="A945" t="s">
        <v>31</v>
      </c>
      <c r="C945" t="s">
        <v>3052</v>
      </c>
      <c r="D945" t="s">
        <v>3159</v>
      </c>
      <c r="E945" t="s">
        <v>34</v>
      </c>
      <c r="F945" t="s">
        <v>35</v>
      </c>
      <c r="G945">
        <v>2000</v>
      </c>
      <c r="H945" t="s">
        <v>36</v>
      </c>
      <c r="I945" t="s">
        <v>3160</v>
      </c>
      <c r="J945" t="s">
        <v>31</v>
      </c>
      <c r="K945" t="s">
        <v>38</v>
      </c>
      <c r="L945" t="s">
        <v>242</v>
      </c>
      <c r="M945" t="s">
        <v>243</v>
      </c>
      <c r="N945" t="s">
        <v>244</v>
      </c>
      <c r="O945" t="s">
        <v>3161</v>
      </c>
      <c r="P945" t="s">
        <v>3162</v>
      </c>
      <c r="T945">
        <v>38.950837771000003</v>
      </c>
      <c r="U945">
        <v>-77.364564001999995</v>
      </c>
      <c r="V945">
        <f>SUM(W945:X945)+(Y945*0.8)+(Z945*0.4)</f>
        <v>9.5</v>
      </c>
      <c r="W945">
        <v>9.5</v>
      </c>
      <c r="X945">
        <v>0</v>
      </c>
      <c r="Y945">
        <v>0</v>
      </c>
      <c r="Z945">
        <v>0</v>
      </c>
      <c r="AA945" t="s">
        <v>43</v>
      </c>
      <c r="AB945">
        <v>9.48</v>
      </c>
      <c r="AD945" t="s">
        <v>3163</v>
      </c>
      <c r="AE945" t="s">
        <v>3164</v>
      </c>
    </row>
    <row r="946" spans="1:31" x14ac:dyDescent="0.25">
      <c r="A946" t="s">
        <v>31</v>
      </c>
      <c r="C946" t="s">
        <v>5086</v>
      </c>
      <c r="D946" t="s">
        <v>5087</v>
      </c>
      <c r="E946" t="s">
        <v>34</v>
      </c>
      <c r="F946" t="s">
        <v>35</v>
      </c>
      <c r="G946">
        <v>2008</v>
      </c>
      <c r="H946" t="s">
        <v>36</v>
      </c>
      <c r="I946" t="s">
        <v>5088</v>
      </c>
      <c r="J946" t="s">
        <v>31</v>
      </c>
      <c r="K946" t="s">
        <v>38</v>
      </c>
      <c r="L946" t="s">
        <v>68</v>
      </c>
      <c r="M946" t="s">
        <v>69</v>
      </c>
      <c r="N946" t="s">
        <v>1350</v>
      </c>
      <c r="O946" t="s">
        <v>1351</v>
      </c>
      <c r="P946" t="s">
        <v>5089</v>
      </c>
      <c r="Q946" t="s">
        <v>5090</v>
      </c>
      <c r="T946">
        <v>30.342828916999999</v>
      </c>
      <c r="U946">
        <v>-97.696375914000001</v>
      </c>
      <c r="V946">
        <f>SUM(W946:X946)+(Y946*0.8)+(Z946*0.4)</f>
        <v>9.4</v>
      </c>
      <c r="W946">
        <v>7</v>
      </c>
      <c r="X946">
        <v>0</v>
      </c>
      <c r="Y946">
        <v>0</v>
      </c>
      <c r="Z946">
        <v>6</v>
      </c>
      <c r="AA946" t="s">
        <v>43</v>
      </c>
      <c r="AB946">
        <v>5.2</v>
      </c>
      <c r="AD946" t="s">
        <v>5091</v>
      </c>
      <c r="AE946" t="s">
        <v>5092</v>
      </c>
    </row>
    <row r="947" spans="1:31" x14ac:dyDescent="0.25">
      <c r="A947" t="s">
        <v>31</v>
      </c>
      <c r="C947" t="s">
        <v>3849</v>
      </c>
      <c r="D947" t="s">
        <v>4293</v>
      </c>
      <c r="E947" t="s">
        <v>34</v>
      </c>
      <c r="F947" t="s">
        <v>66</v>
      </c>
      <c r="G947">
        <v>2013</v>
      </c>
      <c r="H947" t="s">
        <v>36</v>
      </c>
      <c r="I947" t="s">
        <v>4294</v>
      </c>
      <c r="J947" t="s">
        <v>31</v>
      </c>
      <c r="K947" t="s">
        <v>38</v>
      </c>
      <c r="L947" t="s">
        <v>172</v>
      </c>
      <c r="M947" t="s">
        <v>173</v>
      </c>
      <c r="N947" t="s">
        <v>780</v>
      </c>
      <c r="O947" t="s">
        <v>781</v>
      </c>
      <c r="P947" t="s">
        <v>3145</v>
      </c>
      <c r="T947">
        <v>37.372225999999998</v>
      </c>
      <c r="U947">
        <v>-121.94823700000001</v>
      </c>
      <c r="V947">
        <f>SUM(W947:X947)+(Y947*0.8)+(Z947*0.4)</f>
        <v>9.3000000000000007</v>
      </c>
      <c r="W947">
        <v>9.3000000000000007</v>
      </c>
      <c r="X947">
        <v>0</v>
      </c>
      <c r="Y947">
        <v>0</v>
      </c>
      <c r="Z947">
        <v>0</v>
      </c>
      <c r="AA947" t="s">
        <v>43</v>
      </c>
      <c r="AB947">
        <v>9.3000000000000007</v>
      </c>
      <c r="AD947" t="s">
        <v>4295</v>
      </c>
      <c r="AE947" t="s">
        <v>4296</v>
      </c>
    </row>
    <row r="948" spans="1:31" x14ac:dyDescent="0.25">
      <c r="A948" t="s">
        <v>31</v>
      </c>
      <c r="C948" t="s">
        <v>2064</v>
      </c>
      <c r="D948" t="s">
        <v>2087</v>
      </c>
      <c r="E948" t="s">
        <v>34</v>
      </c>
      <c r="F948" t="s">
        <v>66</v>
      </c>
      <c r="G948">
        <v>1999</v>
      </c>
      <c r="H948" t="s">
        <v>36</v>
      </c>
      <c r="I948" t="s">
        <v>2088</v>
      </c>
      <c r="J948" t="s">
        <v>31</v>
      </c>
      <c r="K948" t="s">
        <v>38</v>
      </c>
      <c r="L948" t="s">
        <v>185</v>
      </c>
      <c r="M948" t="s">
        <v>186</v>
      </c>
      <c r="N948" t="s">
        <v>155</v>
      </c>
      <c r="O948" t="s">
        <v>2089</v>
      </c>
      <c r="P948" t="s">
        <v>2090</v>
      </c>
      <c r="T948">
        <v>33.744249150000002</v>
      </c>
      <c r="U948">
        <v>-84.581222628999996</v>
      </c>
      <c r="V948">
        <f>SUM(W948:X948)+(Y948*0.8)+(Z948*0.4)</f>
        <v>9.2800000000000011</v>
      </c>
      <c r="W948">
        <v>6.4</v>
      </c>
      <c r="X948">
        <v>0</v>
      </c>
      <c r="Y948">
        <v>3.6</v>
      </c>
      <c r="Z948">
        <v>0</v>
      </c>
      <c r="AA948" t="s">
        <v>43</v>
      </c>
      <c r="AB948">
        <v>4.7</v>
      </c>
      <c r="AD948" t="s">
        <v>2091</v>
      </c>
      <c r="AE948" t="s">
        <v>2092</v>
      </c>
    </row>
    <row r="949" spans="1:31" x14ac:dyDescent="0.25">
      <c r="A949" t="s">
        <v>31</v>
      </c>
      <c r="C949" t="s">
        <v>5034</v>
      </c>
      <c r="D949" t="s">
        <v>5046</v>
      </c>
      <c r="E949" t="s">
        <v>34</v>
      </c>
      <c r="F949" t="s">
        <v>66</v>
      </c>
      <c r="G949">
        <v>2027</v>
      </c>
      <c r="H949" t="s">
        <v>36</v>
      </c>
      <c r="I949" t="s">
        <v>5047</v>
      </c>
      <c r="J949" t="s">
        <v>31</v>
      </c>
      <c r="K949" t="s">
        <v>38</v>
      </c>
      <c r="L949" t="s">
        <v>1433</v>
      </c>
      <c r="M949" t="s">
        <v>1434</v>
      </c>
      <c r="N949" t="s">
        <v>1711</v>
      </c>
      <c r="O949" t="s">
        <v>5048</v>
      </c>
      <c r="P949" t="s">
        <v>5049</v>
      </c>
      <c r="T949">
        <v>41.65745132</v>
      </c>
      <c r="U949">
        <v>-93.563093817999999</v>
      </c>
      <c r="V949">
        <f>SUM(W949:X949)+(Y949*0.8)+(Z949*0.4)</f>
        <v>9.24</v>
      </c>
      <c r="W949">
        <v>0</v>
      </c>
      <c r="X949">
        <v>6.6</v>
      </c>
      <c r="Y949">
        <v>0</v>
      </c>
      <c r="Z949">
        <v>6.6</v>
      </c>
      <c r="AA949" t="s">
        <v>43</v>
      </c>
      <c r="AB949">
        <v>0</v>
      </c>
      <c r="AD949" t="s">
        <v>5050</v>
      </c>
      <c r="AE949" t="s">
        <v>5051</v>
      </c>
    </row>
    <row r="950" spans="1:31" x14ac:dyDescent="0.25">
      <c r="A950" t="s">
        <v>31</v>
      </c>
      <c r="C950" t="s">
        <v>3312</v>
      </c>
      <c r="D950" t="s">
        <v>3366</v>
      </c>
      <c r="E950" t="s">
        <v>34</v>
      </c>
      <c r="F950" t="s">
        <v>35</v>
      </c>
      <c r="G950">
        <v>1993</v>
      </c>
      <c r="H950" t="s">
        <v>36</v>
      </c>
      <c r="I950" t="s">
        <v>3367</v>
      </c>
      <c r="J950" t="s">
        <v>31</v>
      </c>
      <c r="K950" t="s">
        <v>38</v>
      </c>
      <c r="L950" t="s">
        <v>1918</v>
      </c>
      <c r="M950" t="s">
        <v>1919</v>
      </c>
      <c r="N950" t="s">
        <v>3368</v>
      </c>
      <c r="O950" t="s">
        <v>3369</v>
      </c>
      <c r="P950" t="s">
        <v>3370</v>
      </c>
      <c r="T950">
        <v>38.981304999999999</v>
      </c>
      <c r="U950">
        <v>-84.618868000000006</v>
      </c>
      <c r="V950">
        <f>SUM(W950:X950)+(Y950*0.8)+(Z950*0.4)</f>
        <v>9.1999999999999993</v>
      </c>
      <c r="W950">
        <v>4</v>
      </c>
      <c r="X950">
        <v>0</v>
      </c>
      <c r="Y950">
        <v>6.5</v>
      </c>
      <c r="Z950">
        <v>0</v>
      </c>
      <c r="AA950" t="s">
        <v>43</v>
      </c>
      <c r="AB950">
        <v>8.41</v>
      </c>
      <c r="AD950" t="s">
        <v>3371</v>
      </c>
      <c r="AE950" t="s">
        <v>3372</v>
      </c>
    </row>
    <row r="951" spans="1:31" x14ac:dyDescent="0.25">
      <c r="A951" t="s">
        <v>31</v>
      </c>
      <c r="C951" t="s">
        <v>3849</v>
      </c>
      <c r="D951" t="s">
        <v>4412</v>
      </c>
      <c r="E951" t="s">
        <v>34</v>
      </c>
      <c r="F951" t="s">
        <v>35</v>
      </c>
      <c r="G951">
        <v>2004</v>
      </c>
      <c r="H951" t="s">
        <v>36</v>
      </c>
      <c r="I951" t="s">
        <v>4413</v>
      </c>
      <c r="J951" t="s">
        <v>31</v>
      </c>
      <c r="K951" t="s">
        <v>38</v>
      </c>
      <c r="L951" t="s">
        <v>185</v>
      </c>
      <c r="M951" t="s">
        <v>186</v>
      </c>
      <c r="N951" t="s">
        <v>187</v>
      </c>
      <c r="O951" t="s">
        <v>1606</v>
      </c>
      <c r="P951" t="s">
        <v>4414</v>
      </c>
      <c r="Q951" t="s">
        <v>4415</v>
      </c>
      <c r="T951">
        <v>33.755464967000002</v>
      </c>
      <c r="U951">
        <v>-84.391542831999999</v>
      </c>
      <c r="V951">
        <f>SUM(W951:X951)+(Y951*0.8)+(Z951*0.4)</f>
        <v>9.1</v>
      </c>
      <c r="W951">
        <v>7.5</v>
      </c>
      <c r="X951">
        <v>0</v>
      </c>
      <c r="Y951">
        <v>2</v>
      </c>
      <c r="Z951">
        <v>0</v>
      </c>
      <c r="AA951" t="s">
        <v>43</v>
      </c>
      <c r="AB951">
        <v>9.4</v>
      </c>
      <c r="AD951" t="s">
        <v>4416</v>
      </c>
      <c r="AE951" t="s">
        <v>4417</v>
      </c>
    </row>
    <row r="952" spans="1:31" x14ac:dyDescent="0.25">
      <c r="A952" t="s">
        <v>31</v>
      </c>
      <c r="C952" t="s">
        <v>3849</v>
      </c>
      <c r="D952" t="s">
        <v>4326</v>
      </c>
      <c r="E952" t="s">
        <v>34</v>
      </c>
      <c r="F952" t="s">
        <v>66</v>
      </c>
      <c r="G952">
        <v>2003</v>
      </c>
      <c r="H952" t="s">
        <v>36</v>
      </c>
      <c r="I952" t="s">
        <v>4327</v>
      </c>
      <c r="J952" t="s">
        <v>31</v>
      </c>
      <c r="K952" t="s">
        <v>38</v>
      </c>
      <c r="L952" t="s">
        <v>172</v>
      </c>
      <c r="M952" t="s">
        <v>173</v>
      </c>
      <c r="O952" t="s">
        <v>3662</v>
      </c>
      <c r="P952" t="s">
        <v>4328</v>
      </c>
      <c r="Q952" t="s">
        <v>4329</v>
      </c>
      <c r="T952">
        <v>37.789210492000002</v>
      </c>
      <c r="U952">
        <v>-122.390456364</v>
      </c>
      <c r="V952">
        <f>SUM(W952:X952)+(Y952*0.8)+(Z952*0.4)</f>
        <v>9.1</v>
      </c>
      <c r="W952">
        <v>9.1</v>
      </c>
      <c r="X952">
        <v>0</v>
      </c>
      <c r="Y952">
        <v>0</v>
      </c>
      <c r="Z952">
        <v>0</v>
      </c>
      <c r="AA952" t="s">
        <v>43</v>
      </c>
      <c r="AB952">
        <v>8.27</v>
      </c>
      <c r="AD952" t="s">
        <v>4330</v>
      </c>
      <c r="AE952" t="s">
        <v>4331</v>
      </c>
    </row>
    <row r="953" spans="1:31" x14ac:dyDescent="0.25">
      <c r="A953" t="s">
        <v>31</v>
      </c>
      <c r="C953" t="s">
        <v>9037</v>
      </c>
      <c r="D953" t="s">
        <v>9038</v>
      </c>
      <c r="E953" t="s">
        <v>34</v>
      </c>
      <c r="F953" t="s">
        <v>66</v>
      </c>
      <c r="G953">
        <v>2023</v>
      </c>
      <c r="H953" t="s">
        <v>36</v>
      </c>
      <c r="I953" t="s">
        <v>9039</v>
      </c>
      <c r="J953" t="s">
        <v>31</v>
      </c>
      <c r="K953" t="s">
        <v>38</v>
      </c>
      <c r="L953" t="s">
        <v>172</v>
      </c>
      <c r="M953" t="s">
        <v>173</v>
      </c>
      <c r="N953" t="s">
        <v>780</v>
      </c>
      <c r="O953" t="s">
        <v>781</v>
      </c>
      <c r="P953" t="s">
        <v>3145</v>
      </c>
      <c r="T953">
        <v>37.375254466000001</v>
      </c>
      <c r="U953">
        <v>-121.95307727300001</v>
      </c>
      <c r="V953">
        <f>SUM(W953:X953)+(Y953*0.8)+(Z953*0.4)</f>
        <v>9</v>
      </c>
      <c r="W953">
        <v>9</v>
      </c>
      <c r="X953">
        <v>0</v>
      </c>
      <c r="Y953">
        <v>0</v>
      </c>
      <c r="Z953">
        <v>0</v>
      </c>
      <c r="AA953" t="s">
        <v>43</v>
      </c>
      <c r="AB953">
        <v>9</v>
      </c>
      <c r="AC953">
        <v>1.25</v>
      </c>
      <c r="AD953" t="s">
        <v>9040</v>
      </c>
      <c r="AE953" t="s">
        <v>9041</v>
      </c>
    </row>
    <row r="954" spans="1:31" x14ac:dyDescent="0.25">
      <c r="A954" t="s">
        <v>31</v>
      </c>
      <c r="C954" t="s">
        <v>4035</v>
      </c>
      <c r="D954" t="s">
        <v>4069</v>
      </c>
      <c r="E954" t="s">
        <v>34</v>
      </c>
      <c r="F954" t="s">
        <v>35</v>
      </c>
      <c r="G954">
        <v>2021</v>
      </c>
      <c r="H954" t="s">
        <v>36</v>
      </c>
      <c r="I954" t="s">
        <v>4070</v>
      </c>
      <c r="J954" t="s">
        <v>31</v>
      </c>
      <c r="K954" t="s">
        <v>38</v>
      </c>
      <c r="L954" t="s">
        <v>2437</v>
      </c>
      <c r="M954" t="s">
        <v>2438</v>
      </c>
      <c r="N954" t="s">
        <v>3600</v>
      </c>
      <c r="O954" t="s">
        <v>3598</v>
      </c>
      <c r="P954" t="s">
        <v>3601</v>
      </c>
      <c r="T954">
        <v>34.806892976999997</v>
      </c>
      <c r="U954">
        <v>-82.345998671000004</v>
      </c>
      <c r="V954">
        <f>SUM(W954:X954)+(Y954*0.8)+(Z954*0.4)</f>
        <v>9</v>
      </c>
      <c r="W954">
        <v>3</v>
      </c>
      <c r="X954">
        <v>0</v>
      </c>
      <c r="Y954">
        <v>0</v>
      </c>
      <c r="Z954">
        <v>15</v>
      </c>
      <c r="AA954" t="s">
        <v>43</v>
      </c>
      <c r="AB954">
        <v>0.9</v>
      </c>
      <c r="AD954" t="s">
        <v>4071</v>
      </c>
      <c r="AE954" t="s">
        <v>4072</v>
      </c>
    </row>
    <row r="955" spans="1:31" x14ac:dyDescent="0.25">
      <c r="A955" t="s">
        <v>31</v>
      </c>
      <c r="C955" t="s">
        <v>3710</v>
      </c>
      <c r="D955" t="s">
        <v>3728</v>
      </c>
      <c r="E955" t="s">
        <v>34</v>
      </c>
      <c r="F955" t="s">
        <v>35</v>
      </c>
      <c r="G955">
        <v>2021</v>
      </c>
      <c r="H955" t="s">
        <v>36</v>
      </c>
      <c r="I955" t="s">
        <v>3729</v>
      </c>
      <c r="J955" t="s">
        <v>31</v>
      </c>
      <c r="K955" t="s">
        <v>38</v>
      </c>
      <c r="L955" t="s">
        <v>828</v>
      </c>
      <c r="M955" t="s">
        <v>829</v>
      </c>
      <c r="N955" t="s">
        <v>2769</v>
      </c>
      <c r="O955" t="s">
        <v>3730</v>
      </c>
      <c r="P955" t="s">
        <v>3731</v>
      </c>
      <c r="Q955" t="s">
        <v>3730</v>
      </c>
      <c r="T955">
        <v>45.143845313</v>
      </c>
      <c r="U955">
        <v>-93.386314870999996</v>
      </c>
      <c r="V955">
        <f>SUM(W955:X955)+(Y955*0.8)+(Z955*0.4)</f>
        <v>9</v>
      </c>
      <c r="W955">
        <v>9</v>
      </c>
      <c r="X955">
        <v>0</v>
      </c>
      <c r="Y955">
        <v>0</v>
      </c>
      <c r="Z955">
        <v>0</v>
      </c>
      <c r="AA955" t="s">
        <v>43</v>
      </c>
      <c r="AB955">
        <v>0.75</v>
      </c>
      <c r="AD955" t="s">
        <v>3732</v>
      </c>
      <c r="AE955" t="s">
        <v>3733</v>
      </c>
    </row>
    <row r="956" spans="1:31" x14ac:dyDescent="0.25">
      <c r="A956" t="s">
        <v>31</v>
      </c>
      <c r="C956" t="s">
        <v>5181</v>
      </c>
      <c r="D956" t="s">
        <v>5270</v>
      </c>
      <c r="E956" t="s">
        <v>34</v>
      </c>
      <c r="F956" t="s">
        <v>35</v>
      </c>
      <c r="G956">
        <v>2017</v>
      </c>
      <c r="H956" t="s">
        <v>36</v>
      </c>
      <c r="I956" t="s">
        <v>5271</v>
      </c>
      <c r="J956" t="s">
        <v>31</v>
      </c>
      <c r="K956" t="s">
        <v>38</v>
      </c>
      <c r="L956" t="s">
        <v>242</v>
      </c>
      <c r="M956" t="s">
        <v>243</v>
      </c>
      <c r="N956" t="s">
        <v>405</v>
      </c>
      <c r="O956" t="s">
        <v>516</v>
      </c>
      <c r="P956" t="s">
        <v>801</v>
      </c>
      <c r="T956">
        <v>39.022754999999997</v>
      </c>
      <c r="U956">
        <v>-77.449989000000002</v>
      </c>
      <c r="V956">
        <f>SUM(W956:X956)+(Y956*0.8)+(Z956*0.4)</f>
        <v>9</v>
      </c>
      <c r="W956">
        <v>9</v>
      </c>
      <c r="X956">
        <v>0</v>
      </c>
      <c r="Y956">
        <v>0</v>
      </c>
      <c r="Z956">
        <v>0</v>
      </c>
      <c r="AA956" t="s">
        <v>43</v>
      </c>
      <c r="AB956">
        <v>8.85</v>
      </c>
      <c r="AC956">
        <v>1.3</v>
      </c>
      <c r="AD956" t="s">
        <v>5272</v>
      </c>
      <c r="AE956" t="s">
        <v>5273</v>
      </c>
    </row>
    <row r="957" spans="1:31" x14ac:dyDescent="0.25">
      <c r="A957" t="s">
        <v>31</v>
      </c>
      <c r="C957" t="s">
        <v>5765</v>
      </c>
      <c r="D957" t="s">
        <v>5858</v>
      </c>
      <c r="E957" t="s">
        <v>34</v>
      </c>
      <c r="F957" t="s">
        <v>35</v>
      </c>
      <c r="G957">
        <v>2014</v>
      </c>
      <c r="H957" t="s">
        <v>36</v>
      </c>
      <c r="I957" t="s">
        <v>5859</v>
      </c>
      <c r="J957" t="s">
        <v>31</v>
      </c>
      <c r="K957" t="s">
        <v>38</v>
      </c>
      <c r="L957" t="s">
        <v>828</v>
      </c>
      <c r="M957" t="s">
        <v>829</v>
      </c>
      <c r="N957" t="s">
        <v>2544</v>
      </c>
      <c r="O957" t="s">
        <v>2545</v>
      </c>
      <c r="P957" t="s">
        <v>5860</v>
      </c>
      <c r="T957">
        <v>44.851632954000003</v>
      </c>
      <c r="U957">
        <v>-93.598617211000004</v>
      </c>
      <c r="V957">
        <f>SUM(W957:X957)+(Y957*0.8)+(Z957*0.4)</f>
        <v>9</v>
      </c>
      <c r="W957">
        <v>9</v>
      </c>
      <c r="X957">
        <v>0</v>
      </c>
      <c r="Y957">
        <v>0</v>
      </c>
      <c r="Z957">
        <v>0</v>
      </c>
      <c r="AA957" t="s">
        <v>43</v>
      </c>
      <c r="AB957">
        <v>6.4</v>
      </c>
      <c r="AC957">
        <v>1.4</v>
      </c>
      <c r="AD957" t="s">
        <v>5861</v>
      </c>
      <c r="AE957" t="s">
        <v>5862</v>
      </c>
    </row>
    <row r="958" spans="1:31" x14ac:dyDescent="0.25">
      <c r="A958" t="s">
        <v>31</v>
      </c>
      <c r="C958" t="s">
        <v>3710</v>
      </c>
      <c r="D958" t="s">
        <v>3878</v>
      </c>
      <c r="E958" t="s">
        <v>34</v>
      </c>
      <c r="F958" t="s">
        <v>35</v>
      </c>
      <c r="G958">
        <v>2014</v>
      </c>
      <c r="H958" t="s">
        <v>36</v>
      </c>
      <c r="I958" t="s">
        <v>3879</v>
      </c>
      <c r="J958" t="s">
        <v>31</v>
      </c>
      <c r="K958" t="s">
        <v>38</v>
      </c>
      <c r="L958" t="s">
        <v>68</v>
      </c>
      <c r="M958" t="s">
        <v>69</v>
      </c>
      <c r="N958" t="s">
        <v>1951</v>
      </c>
      <c r="O958" t="s">
        <v>1952</v>
      </c>
      <c r="P958" t="s">
        <v>3880</v>
      </c>
      <c r="S958" t="s">
        <v>3881</v>
      </c>
      <c r="T958">
        <v>29.844350285000001</v>
      </c>
      <c r="U958">
        <v>-95.556737678000005</v>
      </c>
      <c r="V958">
        <f>SUM(W958:X958)+(Y958*0.8)+(Z958*0.4)</f>
        <v>9</v>
      </c>
      <c r="W958">
        <v>9</v>
      </c>
      <c r="X958">
        <v>0</v>
      </c>
      <c r="Y958">
        <v>0</v>
      </c>
      <c r="Z958">
        <v>0</v>
      </c>
      <c r="AA958" t="s">
        <v>43</v>
      </c>
      <c r="AB958">
        <v>7.2</v>
      </c>
      <c r="AD958" t="s">
        <v>3882</v>
      </c>
      <c r="AE958" t="s">
        <v>3883</v>
      </c>
    </row>
    <row r="959" spans="1:31" x14ac:dyDescent="0.25">
      <c r="A959" t="s">
        <v>31</v>
      </c>
      <c r="C959" t="s">
        <v>3312</v>
      </c>
      <c r="D959" t="s">
        <v>3515</v>
      </c>
      <c r="E959" t="s">
        <v>34</v>
      </c>
      <c r="F959" t="s">
        <v>66</v>
      </c>
      <c r="G959">
        <v>2012</v>
      </c>
      <c r="H959" t="s">
        <v>36</v>
      </c>
      <c r="I959" t="s">
        <v>3516</v>
      </c>
      <c r="J959" t="s">
        <v>31</v>
      </c>
      <c r="K959" t="s">
        <v>38</v>
      </c>
      <c r="L959" t="s">
        <v>68</v>
      </c>
      <c r="M959" t="s">
        <v>69</v>
      </c>
      <c r="N959" t="s">
        <v>712</v>
      </c>
      <c r="O959" t="s">
        <v>713</v>
      </c>
      <c r="P959" t="s">
        <v>3517</v>
      </c>
      <c r="S959" t="s">
        <v>3518</v>
      </c>
      <c r="T959">
        <v>29.466595999999999</v>
      </c>
      <c r="U959">
        <v>-98.688067000000004</v>
      </c>
      <c r="V959">
        <f>SUM(W959:X959)+(Y959*0.8)+(Z959*0.4)</f>
        <v>9</v>
      </c>
      <c r="W959">
        <v>9</v>
      </c>
      <c r="X959">
        <v>0</v>
      </c>
      <c r="Y959">
        <v>0</v>
      </c>
      <c r="Z959">
        <v>0</v>
      </c>
      <c r="AA959" t="s">
        <v>43</v>
      </c>
      <c r="AB959">
        <v>8.85</v>
      </c>
      <c r="AD959" t="s">
        <v>3519</v>
      </c>
      <c r="AE959" t="s">
        <v>3520</v>
      </c>
    </row>
    <row r="960" spans="1:31" x14ac:dyDescent="0.25">
      <c r="A960" t="s">
        <v>31</v>
      </c>
      <c r="B960" t="s">
        <v>11350</v>
      </c>
      <c r="C960" t="s">
        <v>647</v>
      </c>
      <c r="D960" t="s">
        <v>1019</v>
      </c>
      <c r="E960" t="s">
        <v>362</v>
      </c>
      <c r="F960" t="s">
        <v>649</v>
      </c>
      <c r="G960">
        <v>2012</v>
      </c>
      <c r="H960" t="s">
        <v>36</v>
      </c>
      <c r="I960" t="s">
        <v>1020</v>
      </c>
      <c r="J960" t="s">
        <v>31</v>
      </c>
      <c r="K960" t="s">
        <v>38</v>
      </c>
      <c r="L960" t="s">
        <v>242</v>
      </c>
      <c r="M960" t="s">
        <v>243</v>
      </c>
      <c r="N960" t="s">
        <v>405</v>
      </c>
      <c r="O960" t="s">
        <v>516</v>
      </c>
      <c r="P960" t="s">
        <v>517</v>
      </c>
      <c r="Q960" t="s">
        <v>1021</v>
      </c>
      <c r="T960">
        <v>39.005109494000003</v>
      </c>
      <c r="U960">
        <v>-77.485802531000004</v>
      </c>
      <c r="V960">
        <f>SUM(W960:X960)+(Y960*0.8)+(Z960*0.4)</f>
        <v>9</v>
      </c>
      <c r="W960">
        <v>9</v>
      </c>
      <c r="X960">
        <v>0</v>
      </c>
      <c r="Y960">
        <v>0</v>
      </c>
      <c r="Z960">
        <v>0</v>
      </c>
      <c r="AA960" t="s">
        <v>43</v>
      </c>
      <c r="AB960">
        <v>9</v>
      </c>
      <c r="AD960" t="s">
        <v>1022</v>
      </c>
      <c r="AE960" t="s">
        <v>1023</v>
      </c>
    </row>
    <row r="961" spans="1:31" x14ac:dyDescent="0.25">
      <c r="A961" t="s">
        <v>31</v>
      </c>
      <c r="C961" t="s">
        <v>6062</v>
      </c>
      <c r="D961" t="s">
        <v>6067</v>
      </c>
      <c r="E961" t="s">
        <v>34</v>
      </c>
      <c r="F961" t="s">
        <v>66</v>
      </c>
      <c r="G961">
        <v>2010</v>
      </c>
      <c r="H961" t="s">
        <v>36</v>
      </c>
      <c r="I961" t="s">
        <v>6068</v>
      </c>
      <c r="J961" t="s">
        <v>31</v>
      </c>
      <c r="K961" t="s">
        <v>38</v>
      </c>
      <c r="L961" t="s">
        <v>242</v>
      </c>
      <c r="M961" t="s">
        <v>243</v>
      </c>
      <c r="N961" t="s">
        <v>405</v>
      </c>
      <c r="O961" t="s">
        <v>516</v>
      </c>
      <c r="P961" t="s">
        <v>517</v>
      </c>
      <c r="Q961" t="s">
        <v>1021</v>
      </c>
      <c r="T961">
        <v>39.002798329999997</v>
      </c>
      <c r="U961">
        <v>-77.481984886999996</v>
      </c>
      <c r="V961">
        <f>SUM(W961:X961)+(Y961*0.8)+(Z961*0.4)</f>
        <v>9</v>
      </c>
      <c r="W961">
        <v>9</v>
      </c>
      <c r="X961">
        <v>0</v>
      </c>
      <c r="Y961">
        <v>0</v>
      </c>
      <c r="Z961">
        <v>0</v>
      </c>
      <c r="AA961" t="s">
        <v>43</v>
      </c>
      <c r="AB961">
        <v>9</v>
      </c>
      <c r="AD961" t="s">
        <v>6069</v>
      </c>
      <c r="AE961" t="s">
        <v>6070</v>
      </c>
    </row>
    <row r="962" spans="1:31" x14ac:dyDescent="0.25">
      <c r="A962" t="s">
        <v>31</v>
      </c>
      <c r="C962" t="s">
        <v>3849</v>
      </c>
      <c r="D962" t="s">
        <v>1015</v>
      </c>
      <c r="E962" t="s">
        <v>34</v>
      </c>
      <c r="F962" t="s">
        <v>66</v>
      </c>
      <c r="G962">
        <v>2010</v>
      </c>
      <c r="H962" t="s">
        <v>36</v>
      </c>
      <c r="I962" t="s">
        <v>4532</v>
      </c>
      <c r="J962" t="s">
        <v>31</v>
      </c>
      <c r="K962" t="s">
        <v>38</v>
      </c>
      <c r="L962" t="s">
        <v>242</v>
      </c>
      <c r="M962" t="s">
        <v>243</v>
      </c>
      <c r="N962" t="s">
        <v>405</v>
      </c>
      <c r="O962" t="s">
        <v>516</v>
      </c>
      <c r="P962" t="s">
        <v>517</v>
      </c>
      <c r="Q962" t="s">
        <v>1021</v>
      </c>
      <c r="T962">
        <v>39.002218931999998</v>
      </c>
      <c r="U962">
        <v>-77.483463860000001</v>
      </c>
      <c r="V962">
        <f>SUM(W962:X962)+(Y962*0.8)+(Z962*0.4)</f>
        <v>9</v>
      </c>
      <c r="W962">
        <v>9</v>
      </c>
      <c r="X962">
        <v>0</v>
      </c>
      <c r="Y962">
        <v>0</v>
      </c>
      <c r="Z962">
        <v>0</v>
      </c>
      <c r="AA962" t="s">
        <v>43</v>
      </c>
      <c r="AB962">
        <v>9</v>
      </c>
      <c r="AD962" t="s">
        <v>4533</v>
      </c>
      <c r="AE962" t="s">
        <v>4534</v>
      </c>
    </row>
    <row r="963" spans="1:31" x14ac:dyDescent="0.25">
      <c r="A963" t="s">
        <v>31</v>
      </c>
      <c r="C963" t="s">
        <v>9886</v>
      </c>
      <c r="D963" t="s">
        <v>9985</v>
      </c>
      <c r="E963" t="s">
        <v>34</v>
      </c>
      <c r="F963" t="s">
        <v>76</v>
      </c>
      <c r="G963">
        <v>2006</v>
      </c>
      <c r="H963" t="s">
        <v>36</v>
      </c>
      <c r="I963" t="s">
        <v>9986</v>
      </c>
      <c r="J963" t="s">
        <v>31</v>
      </c>
      <c r="K963" t="s">
        <v>38</v>
      </c>
      <c r="L963" t="s">
        <v>172</v>
      </c>
      <c r="M963" t="s">
        <v>173</v>
      </c>
      <c r="N963" t="s">
        <v>780</v>
      </c>
      <c r="O963" t="s">
        <v>3155</v>
      </c>
      <c r="P963" t="s">
        <v>5468</v>
      </c>
      <c r="T963">
        <v>37.402717815999999</v>
      </c>
      <c r="U963">
        <v>-121.893205544</v>
      </c>
      <c r="V963">
        <f>SUM(W963:X963)+(Y963*0.8)+(Z963*0.4)</f>
        <v>9</v>
      </c>
      <c r="W963">
        <v>9</v>
      </c>
      <c r="X963">
        <v>0</v>
      </c>
      <c r="Y963">
        <v>0</v>
      </c>
      <c r="Z963">
        <v>0</v>
      </c>
      <c r="AA963" t="s">
        <v>43</v>
      </c>
      <c r="AB963">
        <v>7.5</v>
      </c>
      <c r="AD963" t="s">
        <v>9987</v>
      </c>
      <c r="AE963" t="s">
        <v>9988</v>
      </c>
    </row>
    <row r="964" spans="1:31" x14ac:dyDescent="0.25">
      <c r="A964" t="s">
        <v>31</v>
      </c>
      <c r="C964" t="s">
        <v>10406</v>
      </c>
      <c r="D964" t="s">
        <v>9607</v>
      </c>
      <c r="E964" t="s">
        <v>34</v>
      </c>
      <c r="F964" t="s">
        <v>35</v>
      </c>
      <c r="G964">
        <v>1990</v>
      </c>
      <c r="H964" t="s">
        <v>36</v>
      </c>
      <c r="I964" t="s">
        <v>10478</v>
      </c>
      <c r="J964" t="s">
        <v>31</v>
      </c>
      <c r="K964" t="s">
        <v>38</v>
      </c>
      <c r="L964" t="s">
        <v>202</v>
      </c>
      <c r="M964" t="s">
        <v>203</v>
      </c>
      <c r="N964" t="s">
        <v>2750</v>
      </c>
      <c r="O964" t="s">
        <v>2751</v>
      </c>
      <c r="P964" t="s">
        <v>5832</v>
      </c>
      <c r="S964" t="s">
        <v>10479</v>
      </c>
      <c r="T964">
        <v>30.216365481</v>
      </c>
      <c r="U964">
        <v>-81.581942807000004</v>
      </c>
      <c r="V964">
        <f>SUM(W964:X964)+(Y964*0.8)+(Z964*0.4)</f>
        <v>9</v>
      </c>
      <c r="W964">
        <v>3.5</v>
      </c>
      <c r="X964">
        <v>5.5</v>
      </c>
      <c r="Y964">
        <v>0</v>
      </c>
      <c r="Z964">
        <v>0</v>
      </c>
      <c r="AA964" t="s">
        <v>43</v>
      </c>
      <c r="AB964">
        <v>2</v>
      </c>
      <c r="AD964" t="s">
        <v>10480</v>
      </c>
      <c r="AE964" t="s">
        <v>10481</v>
      </c>
    </row>
    <row r="965" spans="1:31" x14ac:dyDescent="0.25">
      <c r="A965" t="s">
        <v>31</v>
      </c>
      <c r="C965" t="s">
        <v>8913</v>
      </c>
      <c r="D965" t="s">
        <v>8922</v>
      </c>
      <c r="E965" t="s">
        <v>362</v>
      </c>
      <c r="F965" t="s">
        <v>1611</v>
      </c>
      <c r="G965">
        <v>2025</v>
      </c>
      <c r="H965" t="s">
        <v>36</v>
      </c>
      <c r="I965" t="s">
        <v>8923</v>
      </c>
      <c r="J965" t="s">
        <v>31</v>
      </c>
      <c r="K965" t="s">
        <v>38</v>
      </c>
      <c r="L965" t="s">
        <v>242</v>
      </c>
      <c r="M965" t="s">
        <v>243</v>
      </c>
      <c r="N965" t="s">
        <v>6106</v>
      </c>
      <c r="O965" t="s">
        <v>6107</v>
      </c>
      <c r="P965" t="s">
        <v>8924</v>
      </c>
      <c r="T965">
        <v>36.776696520000002</v>
      </c>
      <c r="U965">
        <v>-76.009275176000003</v>
      </c>
      <c r="V965">
        <f>SUM(W965:X965)+(Y965*0.8)+(Z965*0.4)</f>
        <v>8.8800000000000008</v>
      </c>
      <c r="W965">
        <v>0</v>
      </c>
      <c r="X965">
        <v>6</v>
      </c>
      <c r="Y965">
        <v>3.6</v>
      </c>
      <c r="Z965">
        <v>0</v>
      </c>
      <c r="AA965" t="s">
        <v>43</v>
      </c>
      <c r="AB965">
        <v>9.6</v>
      </c>
      <c r="AD965" t="s">
        <v>8925</v>
      </c>
      <c r="AE965" t="s">
        <v>8926</v>
      </c>
    </row>
    <row r="966" spans="1:31" x14ac:dyDescent="0.25">
      <c r="A966" t="s">
        <v>31</v>
      </c>
      <c r="C966" t="s">
        <v>416</v>
      </c>
      <c r="D966" t="s">
        <v>417</v>
      </c>
      <c r="E966" t="s">
        <v>362</v>
      </c>
      <c r="F966" t="s">
        <v>43</v>
      </c>
      <c r="G966">
        <v>2013</v>
      </c>
      <c r="H966" t="s">
        <v>36</v>
      </c>
      <c r="I966" t="s">
        <v>418</v>
      </c>
      <c r="J966" t="s">
        <v>31</v>
      </c>
      <c r="K966" t="s">
        <v>38</v>
      </c>
      <c r="L966" t="s">
        <v>133</v>
      </c>
      <c r="M966" t="s">
        <v>134</v>
      </c>
      <c r="N966" t="s">
        <v>419</v>
      </c>
      <c r="O966" t="s">
        <v>420</v>
      </c>
      <c r="P966" t="s">
        <v>421</v>
      </c>
      <c r="T966">
        <v>45.550248750000002</v>
      </c>
      <c r="U966">
        <v>-122.93145629999999</v>
      </c>
      <c r="V966">
        <f>SUM(W966:X966)+(Y966*0.8)+(Z966*0.4)</f>
        <v>8.8000000000000007</v>
      </c>
      <c r="W966">
        <v>8.8000000000000007</v>
      </c>
      <c r="X966">
        <v>0</v>
      </c>
      <c r="Y966">
        <v>0</v>
      </c>
      <c r="Z966">
        <v>0</v>
      </c>
      <c r="AA966" t="s">
        <v>43</v>
      </c>
      <c r="AB966">
        <v>8.8000000000000007</v>
      </c>
      <c r="AD966" t="s">
        <v>422</v>
      </c>
      <c r="AE966" t="s">
        <v>423</v>
      </c>
    </row>
    <row r="967" spans="1:31" x14ac:dyDescent="0.25">
      <c r="A967" t="s">
        <v>31</v>
      </c>
      <c r="C967" t="s">
        <v>3710</v>
      </c>
      <c r="D967" t="s">
        <v>3742</v>
      </c>
      <c r="E967" t="s">
        <v>34</v>
      </c>
      <c r="F967" t="s">
        <v>35</v>
      </c>
      <c r="G967">
        <v>2010</v>
      </c>
      <c r="H967" t="s">
        <v>36</v>
      </c>
      <c r="I967" t="s">
        <v>3743</v>
      </c>
      <c r="J967" t="s">
        <v>31</v>
      </c>
      <c r="K967" t="s">
        <v>38</v>
      </c>
      <c r="L967" t="s">
        <v>86</v>
      </c>
      <c r="M967" t="s">
        <v>87</v>
      </c>
      <c r="N967" t="s">
        <v>2215</v>
      </c>
      <c r="O967" t="s">
        <v>3744</v>
      </c>
      <c r="P967" t="s">
        <v>3745</v>
      </c>
      <c r="Q967" t="s">
        <v>3746</v>
      </c>
      <c r="T967">
        <v>41.853324999999998</v>
      </c>
      <c r="U967">
        <v>-87.920873</v>
      </c>
      <c r="V967">
        <f>SUM(W967:X967)+(Y967*0.8)+(Z967*0.4)</f>
        <v>8.75</v>
      </c>
      <c r="W967">
        <v>8.75</v>
      </c>
      <c r="X967">
        <v>0</v>
      </c>
      <c r="Y967">
        <v>0</v>
      </c>
      <c r="Z967">
        <v>0</v>
      </c>
      <c r="AA967" t="s">
        <v>43</v>
      </c>
      <c r="AB967">
        <v>7</v>
      </c>
      <c r="AD967" t="s">
        <v>3747</v>
      </c>
      <c r="AE967" t="s">
        <v>3748</v>
      </c>
    </row>
    <row r="968" spans="1:31" x14ac:dyDescent="0.25">
      <c r="A968" t="s">
        <v>31</v>
      </c>
      <c r="C968" t="s">
        <v>5181</v>
      </c>
      <c r="D968" t="s">
        <v>5418</v>
      </c>
      <c r="E968" t="s">
        <v>34</v>
      </c>
      <c r="F968" t="s">
        <v>43</v>
      </c>
      <c r="G968">
        <v>2000</v>
      </c>
      <c r="H968" t="s">
        <v>36</v>
      </c>
      <c r="I968" t="s">
        <v>5419</v>
      </c>
      <c r="J968" t="s">
        <v>31</v>
      </c>
      <c r="K968" t="s">
        <v>38</v>
      </c>
      <c r="L968" t="s">
        <v>843</v>
      </c>
      <c r="M968" t="s">
        <v>1644</v>
      </c>
      <c r="N968" t="s">
        <v>2232</v>
      </c>
      <c r="O968" t="s">
        <v>5420</v>
      </c>
      <c r="P968" t="s">
        <v>5421</v>
      </c>
      <c r="T968">
        <v>47.420845999999997</v>
      </c>
      <c r="U968">
        <v>-122.247309</v>
      </c>
      <c r="V968">
        <f>SUM(W968:X968)+(Y968*0.8)+(Z968*0.4)</f>
        <v>8.7200000000000006</v>
      </c>
      <c r="W968">
        <v>6</v>
      </c>
      <c r="X968">
        <v>0</v>
      </c>
      <c r="Y968">
        <v>3.4</v>
      </c>
      <c r="Z968">
        <v>0</v>
      </c>
      <c r="AA968" t="s">
        <v>43</v>
      </c>
      <c r="AB968">
        <v>5.1849999999999996</v>
      </c>
      <c r="AD968" t="s">
        <v>5422</v>
      </c>
      <c r="AE968" t="s">
        <v>5423</v>
      </c>
    </row>
    <row r="969" spans="1:31" x14ac:dyDescent="0.25">
      <c r="A969" t="s">
        <v>31</v>
      </c>
      <c r="C969" t="s">
        <v>3551</v>
      </c>
      <c r="D969" t="s">
        <v>3574</v>
      </c>
      <c r="E969" t="s">
        <v>34</v>
      </c>
      <c r="F969" t="s">
        <v>35</v>
      </c>
      <c r="G969">
        <v>2010</v>
      </c>
      <c r="H969" t="s">
        <v>36</v>
      </c>
      <c r="I969" t="s">
        <v>3575</v>
      </c>
      <c r="J969" t="s">
        <v>31</v>
      </c>
      <c r="K969" t="s">
        <v>38</v>
      </c>
      <c r="L969" t="s">
        <v>143</v>
      </c>
      <c r="M969" t="s">
        <v>144</v>
      </c>
      <c r="N969" t="s">
        <v>3576</v>
      </c>
      <c r="O969" t="s">
        <v>668</v>
      </c>
      <c r="T969">
        <v>39.182536300999999</v>
      </c>
      <c r="U969">
        <v>-85.896863182999994</v>
      </c>
      <c r="V969">
        <f>SUM(W969:X969)+(Y969*0.8)+(Z969*0.4)</f>
        <v>8.65</v>
      </c>
      <c r="W969">
        <v>2.4</v>
      </c>
      <c r="X969">
        <v>6.25</v>
      </c>
      <c r="Y969">
        <v>0</v>
      </c>
      <c r="Z969">
        <v>0</v>
      </c>
      <c r="AA969" t="s">
        <v>43</v>
      </c>
      <c r="AB969">
        <v>2.4</v>
      </c>
      <c r="AD969" t="s">
        <v>3577</v>
      </c>
      <c r="AE969" t="s">
        <v>3578</v>
      </c>
    </row>
    <row r="970" spans="1:31" x14ac:dyDescent="0.25">
      <c r="A970" t="s">
        <v>31</v>
      </c>
      <c r="C970" t="s">
        <v>6713</v>
      </c>
      <c r="D970" t="s">
        <v>6718</v>
      </c>
      <c r="E970" t="s">
        <v>34</v>
      </c>
      <c r="F970" t="s">
        <v>66</v>
      </c>
      <c r="G970">
        <v>2024</v>
      </c>
      <c r="H970" t="s">
        <v>36</v>
      </c>
      <c r="I970" t="s">
        <v>6719</v>
      </c>
      <c r="J970" t="s">
        <v>31</v>
      </c>
      <c r="K970" t="s">
        <v>38</v>
      </c>
      <c r="L970" t="s">
        <v>77</v>
      </c>
      <c r="M970" t="s">
        <v>78</v>
      </c>
      <c r="N970" t="s">
        <v>1358</v>
      </c>
      <c r="O970" t="s">
        <v>1518</v>
      </c>
      <c r="P970" t="s">
        <v>6720</v>
      </c>
      <c r="Q970" t="s">
        <v>6721</v>
      </c>
      <c r="S970" t="s">
        <v>6722</v>
      </c>
      <c r="T970">
        <v>40.433833790999998</v>
      </c>
      <c r="U970">
        <v>-79.872697866999999</v>
      </c>
      <c r="V970">
        <f>SUM(W970:X970)+(Y970*0.8)+(Z970*0.4)</f>
        <v>8.6000000000000014</v>
      </c>
      <c r="W970">
        <v>3</v>
      </c>
      <c r="X970">
        <v>0</v>
      </c>
      <c r="Y970">
        <v>7</v>
      </c>
      <c r="Z970">
        <v>0</v>
      </c>
      <c r="AA970" t="s">
        <v>43</v>
      </c>
      <c r="AB970">
        <v>2</v>
      </c>
      <c r="AD970" t="s">
        <v>6723</v>
      </c>
      <c r="AE970" t="s">
        <v>6724</v>
      </c>
    </row>
    <row r="971" spans="1:31" x14ac:dyDescent="0.25">
      <c r="A971" t="s">
        <v>31</v>
      </c>
      <c r="C971" t="s">
        <v>9546</v>
      </c>
      <c r="D971" t="s">
        <v>9576</v>
      </c>
      <c r="E971" t="s">
        <v>34</v>
      </c>
      <c r="F971" t="s">
        <v>35</v>
      </c>
      <c r="G971">
        <v>2013</v>
      </c>
      <c r="H971" t="s">
        <v>36</v>
      </c>
      <c r="I971" t="s">
        <v>9577</v>
      </c>
      <c r="J971" t="s">
        <v>31</v>
      </c>
      <c r="K971" t="s">
        <v>38</v>
      </c>
      <c r="L971" t="s">
        <v>123</v>
      </c>
      <c r="M971" t="s">
        <v>124</v>
      </c>
      <c r="N971" t="s">
        <v>270</v>
      </c>
      <c r="O971" t="s">
        <v>123</v>
      </c>
      <c r="P971" t="s">
        <v>9578</v>
      </c>
      <c r="Q971" t="s">
        <v>272</v>
      </c>
      <c r="S971" t="s">
        <v>273</v>
      </c>
      <c r="T971">
        <v>40.710973000000003</v>
      </c>
      <c r="U971">
        <v>-74.001153000000002</v>
      </c>
      <c r="V971">
        <f>SUM(W971:X971)+(Y971*0.8)+(Z971*0.4)</f>
        <v>8.4050000000000011</v>
      </c>
      <c r="W971">
        <v>6.1050000000000004</v>
      </c>
      <c r="X971">
        <v>2.2999999999999998</v>
      </c>
      <c r="Y971">
        <v>0</v>
      </c>
      <c r="Z971">
        <v>0</v>
      </c>
      <c r="AA971" t="s">
        <v>43</v>
      </c>
      <c r="AB971">
        <v>5.35</v>
      </c>
      <c r="AC971">
        <v>1.34</v>
      </c>
      <c r="AD971" t="s">
        <v>9579</v>
      </c>
      <c r="AE971" t="s">
        <v>9580</v>
      </c>
    </row>
    <row r="972" spans="1:31" x14ac:dyDescent="0.25">
      <c r="A972" t="s">
        <v>31</v>
      </c>
      <c r="C972" t="s">
        <v>3849</v>
      </c>
      <c r="D972" t="s">
        <v>4503</v>
      </c>
      <c r="E972" t="s">
        <v>34</v>
      </c>
      <c r="F972" t="s">
        <v>66</v>
      </c>
      <c r="G972">
        <v>2015</v>
      </c>
      <c r="H972" t="s">
        <v>36</v>
      </c>
      <c r="I972" t="s">
        <v>4504</v>
      </c>
      <c r="J972" t="s">
        <v>31</v>
      </c>
      <c r="K972" t="s">
        <v>38</v>
      </c>
      <c r="L972" t="s">
        <v>68</v>
      </c>
      <c r="M972" t="s">
        <v>69</v>
      </c>
      <c r="N972" t="s">
        <v>297</v>
      </c>
      <c r="O972" t="s">
        <v>295</v>
      </c>
      <c r="P972" t="s">
        <v>298</v>
      </c>
      <c r="T972">
        <v>32.965088440000002</v>
      </c>
      <c r="U972">
        <v>-96.710415311999995</v>
      </c>
      <c r="V972">
        <f>SUM(W972:X972)+(Y972*0.8)+(Z972*0.4)</f>
        <v>8.4</v>
      </c>
      <c r="W972">
        <v>8.4</v>
      </c>
      <c r="X972">
        <v>0</v>
      </c>
      <c r="Y972">
        <v>0</v>
      </c>
      <c r="Z972">
        <v>0</v>
      </c>
      <c r="AA972" t="s">
        <v>43</v>
      </c>
      <c r="AB972">
        <v>8.4</v>
      </c>
      <c r="AD972" t="s">
        <v>4505</v>
      </c>
      <c r="AE972" t="s">
        <v>4506</v>
      </c>
    </row>
    <row r="973" spans="1:31" x14ac:dyDescent="0.25">
      <c r="A973" t="s">
        <v>31</v>
      </c>
      <c r="C973" t="s">
        <v>3052</v>
      </c>
      <c r="D973" t="s">
        <v>3126</v>
      </c>
      <c r="E973" t="s">
        <v>34</v>
      </c>
      <c r="F973" t="s">
        <v>66</v>
      </c>
      <c r="G973">
        <v>2000</v>
      </c>
      <c r="H973" t="s">
        <v>36</v>
      </c>
      <c r="I973" t="s">
        <v>3127</v>
      </c>
      <c r="J973" t="s">
        <v>31</v>
      </c>
      <c r="K973" t="s">
        <v>38</v>
      </c>
      <c r="L973" t="s">
        <v>202</v>
      </c>
      <c r="M973" t="s">
        <v>203</v>
      </c>
      <c r="N973" t="s">
        <v>397</v>
      </c>
      <c r="O973" t="s">
        <v>3128</v>
      </c>
      <c r="P973" t="s">
        <v>3129</v>
      </c>
      <c r="S973" t="s">
        <v>3130</v>
      </c>
      <c r="T973">
        <v>25.793326245999999</v>
      </c>
      <c r="U973">
        <v>-80.333523142999994</v>
      </c>
      <c r="V973">
        <f>SUM(W973:X973)+(Y973*0.8)+(Z973*0.4)</f>
        <v>8.3000000000000007</v>
      </c>
      <c r="W973">
        <v>4.3</v>
      </c>
      <c r="X973">
        <v>0</v>
      </c>
      <c r="Y973">
        <v>5</v>
      </c>
      <c r="Z973">
        <v>0</v>
      </c>
      <c r="AA973" t="s">
        <v>43</v>
      </c>
      <c r="AB973">
        <v>2</v>
      </c>
      <c r="AD973" t="s">
        <v>3131</v>
      </c>
      <c r="AE973" t="s">
        <v>3132</v>
      </c>
    </row>
    <row r="974" spans="1:31" x14ac:dyDescent="0.25">
      <c r="A974" t="s">
        <v>31</v>
      </c>
      <c r="C974" t="s">
        <v>4801</v>
      </c>
      <c r="D974" t="s">
        <v>4990</v>
      </c>
      <c r="E974" t="s">
        <v>34</v>
      </c>
      <c r="F974" t="s">
        <v>66</v>
      </c>
      <c r="G974">
        <v>2020</v>
      </c>
      <c r="H974" t="s">
        <v>36</v>
      </c>
      <c r="I974" t="s">
        <v>4991</v>
      </c>
      <c r="J974" t="s">
        <v>31</v>
      </c>
      <c r="K974" t="s">
        <v>38</v>
      </c>
      <c r="L974" t="s">
        <v>133</v>
      </c>
      <c r="M974" t="s">
        <v>134</v>
      </c>
      <c r="N974" t="s">
        <v>419</v>
      </c>
      <c r="O974" t="s">
        <v>420</v>
      </c>
      <c r="P974" t="s">
        <v>421</v>
      </c>
      <c r="T974">
        <v>45.551602764000002</v>
      </c>
      <c r="U974">
        <v>-122.914458526</v>
      </c>
      <c r="V974">
        <f>SUM(W974:X974)+(Y974*0.8)+(Z974*0.4)</f>
        <v>8.25</v>
      </c>
      <c r="W974">
        <v>8.25</v>
      </c>
      <c r="X974">
        <v>0</v>
      </c>
      <c r="Y974">
        <v>0</v>
      </c>
      <c r="Z974">
        <v>0</v>
      </c>
      <c r="AA974" t="s">
        <v>43</v>
      </c>
      <c r="AB974">
        <v>8</v>
      </c>
      <c r="AD974" t="s">
        <v>4992</v>
      </c>
      <c r="AE974" t="s">
        <v>4993</v>
      </c>
    </row>
    <row r="975" spans="1:31" x14ac:dyDescent="0.25">
      <c r="A975" t="s">
        <v>31</v>
      </c>
      <c r="C975" t="s">
        <v>8236</v>
      </c>
      <c r="D975" t="s">
        <v>8237</v>
      </c>
      <c r="E975" t="s">
        <v>34</v>
      </c>
      <c r="F975" t="s">
        <v>76</v>
      </c>
      <c r="G975">
        <v>2009</v>
      </c>
      <c r="H975" t="s">
        <v>36</v>
      </c>
      <c r="I975" t="s">
        <v>8238</v>
      </c>
      <c r="J975" t="s">
        <v>31</v>
      </c>
      <c r="K975" t="s">
        <v>38</v>
      </c>
      <c r="L975" t="s">
        <v>1959</v>
      </c>
      <c r="M975" t="s">
        <v>1960</v>
      </c>
      <c r="N975" t="s">
        <v>2075</v>
      </c>
      <c r="O975" t="s">
        <v>2076</v>
      </c>
      <c r="P975" t="s">
        <v>8239</v>
      </c>
      <c r="T975">
        <v>34.995489018999997</v>
      </c>
      <c r="U975">
        <v>-106.61799103200001</v>
      </c>
      <c r="V975">
        <f>SUM(W975:X975)+(Y975*0.8)+(Z975*0.4)</f>
        <v>8.16</v>
      </c>
      <c r="W975">
        <v>3.6</v>
      </c>
      <c r="X975">
        <v>0</v>
      </c>
      <c r="Y975">
        <v>0</v>
      </c>
      <c r="Z975">
        <v>11.4</v>
      </c>
      <c r="AA975" t="s">
        <v>43</v>
      </c>
      <c r="AB975">
        <v>3.6</v>
      </c>
      <c r="AD975" t="s">
        <v>8240</v>
      </c>
      <c r="AE975" t="s">
        <v>8241</v>
      </c>
    </row>
    <row r="976" spans="1:31" x14ac:dyDescent="0.25">
      <c r="A976" t="s">
        <v>31</v>
      </c>
      <c r="C976" t="s">
        <v>6649</v>
      </c>
      <c r="D976" t="s">
        <v>6650</v>
      </c>
      <c r="E976" t="s">
        <v>34</v>
      </c>
      <c r="F976" t="s">
        <v>66</v>
      </c>
      <c r="G976">
        <v>2026</v>
      </c>
      <c r="H976" t="s">
        <v>36</v>
      </c>
      <c r="I976" t="s">
        <v>6651</v>
      </c>
      <c r="J976" t="s">
        <v>31</v>
      </c>
      <c r="K976" t="s">
        <v>38</v>
      </c>
      <c r="L976" t="s">
        <v>86</v>
      </c>
      <c r="M976" t="s">
        <v>87</v>
      </c>
      <c r="N976" t="s">
        <v>88</v>
      </c>
      <c r="O976" t="s">
        <v>89</v>
      </c>
      <c r="P976" t="s">
        <v>4322</v>
      </c>
      <c r="Q976" t="s">
        <v>89</v>
      </c>
      <c r="S976" t="s">
        <v>6652</v>
      </c>
      <c r="T976">
        <v>41.846268340000002</v>
      </c>
      <c r="U976">
        <v>-87.625700569000003</v>
      </c>
      <c r="V976">
        <f>SUM(W976:X976)+(Y976*0.8)+(Z976*0.4)</f>
        <v>8</v>
      </c>
      <c r="W976">
        <v>0</v>
      </c>
      <c r="X976">
        <v>0</v>
      </c>
      <c r="Y976">
        <v>0</v>
      </c>
      <c r="Z976">
        <v>20</v>
      </c>
      <c r="AA976" t="s">
        <v>43</v>
      </c>
      <c r="AB976">
        <v>0</v>
      </c>
      <c r="AC976">
        <v>1.19</v>
      </c>
      <c r="AD976" t="s">
        <v>6653</v>
      </c>
      <c r="AE976" t="s">
        <v>6654</v>
      </c>
    </row>
    <row r="977" spans="1:31" x14ac:dyDescent="0.25">
      <c r="A977" t="s">
        <v>31</v>
      </c>
      <c r="C977" t="s">
        <v>4035</v>
      </c>
      <c r="D977" t="s">
        <v>4073</v>
      </c>
      <c r="E977" t="s">
        <v>34</v>
      </c>
      <c r="F977" t="s">
        <v>35</v>
      </c>
      <c r="G977">
        <v>2026</v>
      </c>
      <c r="H977" t="s">
        <v>36</v>
      </c>
      <c r="I977" t="s">
        <v>4074</v>
      </c>
      <c r="J977" t="s">
        <v>31</v>
      </c>
      <c r="K977" t="s">
        <v>38</v>
      </c>
      <c r="L977" t="s">
        <v>383</v>
      </c>
      <c r="M977" t="s">
        <v>384</v>
      </c>
      <c r="N977" t="s">
        <v>1319</v>
      </c>
      <c r="O977" t="s">
        <v>2396</v>
      </c>
      <c r="P977" t="s">
        <v>4075</v>
      </c>
      <c r="T977">
        <v>36.053517036999999</v>
      </c>
      <c r="U977">
        <v>-79.952179807999997</v>
      </c>
      <c r="V977">
        <f>SUM(W977:X977)+(Y977*0.8)+(Z977*0.4)</f>
        <v>8</v>
      </c>
      <c r="W977">
        <v>0</v>
      </c>
      <c r="X977">
        <v>0</v>
      </c>
      <c r="Y977">
        <v>10</v>
      </c>
      <c r="Z977">
        <v>0</v>
      </c>
      <c r="AA977" t="s">
        <v>43</v>
      </c>
      <c r="AB977">
        <v>0</v>
      </c>
      <c r="AD977" t="s">
        <v>4076</v>
      </c>
      <c r="AE977" t="s">
        <v>4077</v>
      </c>
    </row>
    <row r="978" spans="1:31" x14ac:dyDescent="0.25">
      <c r="A978" t="s">
        <v>31</v>
      </c>
      <c r="C978" t="s">
        <v>314</v>
      </c>
      <c r="D978" t="s">
        <v>324</v>
      </c>
      <c r="E978" t="s">
        <v>34</v>
      </c>
      <c r="F978" t="s">
        <v>35</v>
      </c>
      <c r="G978">
        <v>2025</v>
      </c>
      <c r="H978" t="s">
        <v>36</v>
      </c>
      <c r="I978" t="s">
        <v>325</v>
      </c>
      <c r="J978" t="s">
        <v>31</v>
      </c>
      <c r="K978" t="s">
        <v>38</v>
      </c>
      <c r="L978" t="s">
        <v>326</v>
      </c>
      <c r="M978" t="s">
        <v>327</v>
      </c>
      <c r="N978" t="s">
        <v>328</v>
      </c>
      <c r="O978" t="s">
        <v>329</v>
      </c>
      <c r="P978" t="s">
        <v>330</v>
      </c>
      <c r="T978">
        <v>33.415639661999997</v>
      </c>
      <c r="U978">
        <v>-112.358804792</v>
      </c>
      <c r="V978">
        <f>SUM(W978:X978)+(Y978*0.8)+(Z978*0.4)</f>
        <v>8</v>
      </c>
      <c r="W978">
        <v>0</v>
      </c>
      <c r="X978">
        <v>0</v>
      </c>
      <c r="Y978">
        <v>0</v>
      </c>
      <c r="Z978">
        <v>20</v>
      </c>
      <c r="AA978" t="s">
        <v>43</v>
      </c>
      <c r="AB978">
        <v>0</v>
      </c>
      <c r="AD978" t="s">
        <v>331</v>
      </c>
      <c r="AE978" t="s">
        <v>332</v>
      </c>
    </row>
    <row r="979" spans="1:31" x14ac:dyDescent="0.25">
      <c r="A979" t="s">
        <v>31</v>
      </c>
      <c r="C979" t="s">
        <v>2584</v>
      </c>
      <c r="D979" t="s">
        <v>1351</v>
      </c>
      <c r="E979" t="s">
        <v>34</v>
      </c>
      <c r="F979" t="s">
        <v>35</v>
      </c>
      <c r="G979">
        <v>2024</v>
      </c>
      <c r="H979" t="s">
        <v>36</v>
      </c>
      <c r="I979" t="s">
        <v>2589</v>
      </c>
      <c r="J979" t="s">
        <v>31</v>
      </c>
      <c r="K979" t="s">
        <v>38</v>
      </c>
      <c r="L979" t="s">
        <v>68</v>
      </c>
      <c r="M979" t="s">
        <v>69</v>
      </c>
      <c r="N979" t="s">
        <v>1350</v>
      </c>
      <c r="O979" t="s">
        <v>1351</v>
      </c>
      <c r="P979" t="s">
        <v>2590</v>
      </c>
      <c r="Q979" t="s">
        <v>2591</v>
      </c>
      <c r="T979">
        <v>30.209345260999999</v>
      </c>
      <c r="U979">
        <v>-97.697984054000003</v>
      </c>
      <c r="V979">
        <f>SUM(W979:X979)+(Y979*0.8)+(Z979*0.4)</f>
        <v>8</v>
      </c>
      <c r="W979">
        <v>8</v>
      </c>
      <c r="X979">
        <v>0</v>
      </c>
      <c r="Y979">
        <v>0</v>
      </c>
      <c r="Z979">
        <v>0</v>
      </c>
      <c r="AA979" t="s">
        <v>43</v>
      </c>
      <c r="AB979">
        <v>6</v>
      </c>
      <c r="AD979" t="s">
        <v>2592</v>
      </c>
      <c r="AE979" t="s">
        <v>2593</v>
      </c>
    </row>
    <row r="980" spans="1:31" x14ac:dyDescent="0.25">
      <c r="A980" t="s">
        <v>31</v>
      </c>
      <c r="C980" t="s">
        <v>6687</v>
      </c>
      <c r="D980" t="s">
        <v>6688</v>
      </c>
      <c r="E980" t="s">
        <v>362</v>
      </c>
      <c r="F980" t="s">
        <v>43</v>
      </c>
      <c r="G980">
        <v>2019</v>
      </c>
      <c r="H980" t="s">
        <v>36</v>
      </c>
      <c r="I980" t="s">
        <v>6689</v>
      </c>
      <c r="J980" t="s">
        <v>31</v>
      </c>
      <c r="K980" t="s">
        <v>38</v>
      </c>
      <c r="L980" t="s">
        <v>1540</v>
      </c>
      <c r="M980" t="s">
        <v>1541</v>
      </c>
      <c r="N980" t="s">
        <v>6690</v>
      </c>
      <c r="O980" t="s">
        <v>6691</v>
      </c>
      <c r="P980" t="s">
        <v>6692</v>
      </c>
      <c r="S980" t="s">
        <v>6687</v>
      </c>
      <c r="T980">
        <v>43.520714306000002</v>
      </c>
      <c r="U980">
        <v>-112.052706734</v>
      </c>
      <c r="V980">
        <f>SUM(W980:X980)+(Y980*0.8)+(Z980*0.4)</f>
        <v>8</v>
      </c>
      <c r="W980">
        <v>8</v>
      </c>
      <c r="X980">
        <v>0</v>
      </c>
      <c r="Y980">
        <v>0</v>
      </c>
      <c r="Z980">
        <v>0</v>
      </c>
      <c r="AA980" t="s">
        <v>43</v>
      </c>
      <c r="AB980">
        <v>8</v>
      </c>
      <c r="AD980" t="s">
        <v>6693</v>
      </c>
      <c r="AE980" t="s">
        <v>6694</v>
      </c>
    </row>
    <row r="981" spans="1:31" x14ac:dyDescent="0.25">
      <c r="A981" t="s">
        <v>31</v>
      </c>
      <c r="C981" t="s">
        <v>5765</v>
      </c>
      <c r="D981" t="s">
        <v>5874</v>
      </c>
      <c r="E981" t="s">
        <v>34</v>
      </c>
      <c r="F981" t="s">
        <v>66</v>
      </c>
      <c r="G981">
        <v>2016</v>
      </c>
      <c r="H981" t="s">
        <v>36</v>
      </c>
      <c r="I981" t="s">
        <v>5875</v>
      </c>
      <c r="J981" t="s">
        <v>31</v>
      </c>
      <c r="K981" t="s">
        <v>38</v>
      </c>
      <c r="L981" t="s">
        <v>260</v>
      </c>
      <c r="M981" t="s">
        <v>261</v>
      </c>
      <c r="N981" t="s">
        <v>956</v>
      </c>
      <c r="O981" t="s">
        <v>2894</v>
      </c>
      <c r="P981" t="s">
        <v>5871</v>
      </c>
      <c r="T981">
        <v>35.920581843000001</v>
      </c>
      <c r="U981">
        <v>-86.815516156000001</v>
      </c>
      <c r="V981">
        <f>SUM(W981:X981)+(Y981*0.8)+(Z981*0.4)</f>
        <v>8</v>
      </c>
      <c r="W981">
        <v>8</v>
      </c>
      <c r="X981">
        <v>0</v>
      </c>
      <c r="Y981">
        <v>0</v>
      </c>
      <c r="Z981">
        <v>0</v>
      </c>
      <c r="AA981" t="s">
        <v>43</v>
      </c>
      <c r="AB981">
        <v>3.5</v>
      </c>
      <c r="AC981">
        <v>1.75</v>
      </c>
      <c r="AD981" t="s">
        <v>5876</v>
      </c>
      <c r="AE981" t="s">
        <v>5877</v>
      </c>
    </row>
    <row r="982" spans="1:31" x14ac:dyDescent="0.25">
      <c r="A982" t="s">
        <v>31</v>
      </c>
      <c r="B982" t="s">
        <v>11350</v>
      </c>
      <c r="C982" t="s">
        <v>647</v>
      </c>
      <c r="D982" t="s">
        <v>1105</v>
      </c>
      <c r="E982" t="s">
        <v>362</v>
      </c>
      <c r="F982" t="s">
        <v>649</v>
      </c>
      <c r="G982">
        <v>2016</v>
      </c>
      <c r="H982" t="s">
        <v>36</v>
      </c>
      <c r="I982" t="s">
        <v>1106</v>
      </c>
      <c r="J982" t="s">
        <v>31</v>
      </c>
      <c r="K982" t="s">
        <v>38</v>
      </c>
      <c r="L982" t="s">
        <v>242</v>
      </c>
      <c r="M982" t="s">
        <v>243</v>
      </c>
      <c r="N982" t="s">
        <v>405</v>
      </c>
      <c r="O982" t="s">
        <v>526</v>
      </c>
      <c r="P982" t="s">
        <v>680</v>
      </c>
      <c r="T982">
        <v>38.993904751999999</v>
      </c>
      <c r="U982">
        <v>-77.450699017000005</v>
      </c>
      <c r="V982">
        <f>SUM(W982:X982)+(Y982*0.8)+(Z982*0.4)</f>
        <v>8</v>
      </c>
      <c r="W982">
        <v>8</v>
      </c>
      <c r="X982">
        <v>0</v>
      </c>
      <c r="Y982">
        <v>0</v>
      </c>
      <c r="Z982">
        <v>0</v>
      </c>
      <c r="AA982" t="s">
        <v>43</v>
      </c>
      <c r="AB982">
        <v>8</v>
      </c>
      <c r="AD982" t="s">
        <v>1107</v>
      </c>
      <c r="AE982" t="s">
        <v>1108</v>
      </c>
    </row>
    <row r="983" spans="1:31" x14ac:dyDescent="0.25">
      <c r="A983" t="s">
        <v>31</v>
      </c>
      <c r="C983" t="s">
        <v>10032</v>
      </c>
      <c r="D983" t="s">
        <v>10033</v>
      </c>
      <c r="E983" t="s">
        <v>362</v>
      </c>
      <c r="F983" t="s">
        <v>1302</v>
      </c>
      <c r="G983">
        <v>2014</v>
      </c>
      <c r="H983" t="s">
        <v>36</v>
      </c>
      <c r="I983" t="s">
        <v>10034</v>
      </c>
      <c r="J983" t="s">
        <v>31</v>
      </c>
      <c r="K983" t="s">
        <v>38</v>
      </c>
      <c r="L983" t="s">
        <v>68</v>
      </c>
      <c r="M983" t="s">
        <v>69</v>
      </c>
      <c r="N983" t="s">
        <v>547</v>
      </c>
      <c r="O983" t="s">
        <v>295</v>
      </c>
      <c r="P983" t="s">
        <v>2474</v>
      </c>
      <c r="T983">
        <v>32.984392110999998</v>
      </c>
      <c r="U983">
        <v>-96.698169659000001</v>
      </c>
      <c r="V983">
        <f>SUM(W983:X983)+(Y983*0.8)+(Z983*0.4)</f>
        <v>8</v>
      </c>
      <c r="W983">
        <v>8</v>
      </c>
      <c r="X983">
        <v>0</v>
      </c>
      <c r="Y983">
        <v>0</v>
      </c>
      <c r="Z983">
        <v>0</v>
      </c>
      <c r="AA983" t="s">
        <v>43</v>
      </c>
      <c r="AB983">
        <v>8</v>
      </c>
      <c r="AD983" t="s">
        <v>10035</v>
      </c>
      <c r="AE983" t="s">
        <v>10036</v>
      </c>
    </row>
    <row r="984" spans="1:31" x14ac:dyDescent="0.25">
      <c r="A984" t="s">
        <v>31</v>
      </c>
      <c r="C984" t="s">
        <v>9037</v>
      </c>
      <c r="D984" t="s">
        <v>9042</v>
      </c>
      <c r="E984" t="s">
        <v>34</v>
      </c>
      <c r="F984" t="s">
        <v>35</v>
      </c>
      <c r="G984">
        <v>2014</v>
      </c>
      <c r="H984" t="s">
        <v>36</v>
      </c>
      <c r="I984" t="s">
        <v>9043</v>
      </c>
      <c r="J984" t="s">
        <v>31</v>
      </c>
      <c r="K984" t="s">
        <v>38</v>
      </c>
      <c r="L984" t="s">
        <v>68</v>
      </c>
      <c r="M984" t="s">
        <v>69</v>
      </c>
      <c r="N984" t="s">
        <v>297</v>
      </c>
      <c r="O984" t="s">
        <v>2116</v>
      </c>
      <c r="P984" t="s">
        <v>3176</v>
      </c>
      <c r="T984">
        <v>32.838078682000003</v>
      </c>
      <c r="U984">
        <v>-96.878345526999993</v>
      </c>
      <c r="V984">
        <f>SUM(W984:X984)+(Y984*0.8)+(Z984*0.4)</f>
        <v>8</v>
      </c>
      <c r="W984">
        <v>8</v>
      </c>
      <c r="X984">
        <v>0</v>
      </c>
      <c r="Y984">
        <v>0</v>
      </c>
      <c r="Z984">
        <v>0</v>
      </c>
      <c r="AA984" t="s">
        <v>43</v>
      </c>
      <c r="AB984">
        <v>7.05</v>
      </c>
      <c r="AD984" t="s">
        <v>9044</v>
      </c>
      <c r="AE984" t="s">
        <v>9045</v>
      </c>
    </row>
    <row r="985" spans="1:31" x14ac:dyDescent="0.25">
      <c r="A985" t="s">
        <v>31</v>
      </c>
      <c r="B985" t="s">
        <v>11350</v>
      </c>
      <c r="C985" t="s">
        <v>647</v>
      </c>
      <c r="D985" t="s">
        <v>1065</v>
      </c>
      <c r="E985" t="s">
        <v>362</v>
      </c>
      <c r="F985" t="s">
        <v>649</v>
      </c>
      <c r="G985">
        <v>2013</v>
      </c>
      <c r="H985" t="s">
        <v>36</v>
      </c>
      <c r="I985" t="s">
        <v>1066</v>
      </c>
      <c r="J985" t="s">
        <v>31</v>
      </c>
      <c r="K985" t="s">
        <v>38</v>
      </c>
      <c r="L985" t="s">
        <v>242</v>
      </c>
      <c r="M985" t="s">
        <v>243</v>
      </c>
      <c r="N985" t="s">
        <v>509</v>
      </c>
      <c r="O985" t="s">
        <v>510</v>
      </c>
      <c r="P985" t="s">
        <v>511</v>
      </c>
      <c r="T985">
        <v>38.791157468000002</v>
      </c>
      <c r="U985">
        <v>-77.547908817000007</v>
      </c>
      <c r="V985">
        <f>SUM(W985:X985)+(Y985*0.8)+(Z985*0.4)</f>
        <v>8</v>
      </c>
      <c r="W985">
        <v>8</v>
      </c>
      <c r="X985">
        <v>0</v>
      </c>
      <c r="Y985">
        <v>0</v>
      </c>
      <c r="Z985">
        <v>0</v>
      </c>
      <c r="AA985" t="s">
        <v>43</v>
      </c>
      <c r="AB985">
        <v>8</v>
      </c>
      <c r="AD985" t="s">
        <v>1067</v>
      </c>
      <c r="AE985" t="s">
        <v>1068</v>
      </c>
    </row>
    <row r="986" spans="1:31" x14ac:dyDescent="0.25">
      <c r="A986" t="s">
        <v>31</v>
      </c>
      <c r="C986" t="s">
        <v>3710</v>
      </c>
      <c r="D986" t="s">
        <v>3967</v>
      </c>
      <c r="E986" t="s">
        <v>34</v>
      </c>
      <c r="F986" t="s">
        <v>35</v>
      </c>
      <c r="G986">
        <v>2012</v>
      </c>
      <c r="H986" t="s">
        <v>36</v>
      </c>
      <c r="I986" t="s">
        <v>3968</v>
      </c>
      <c r="J986" t="s">
        <v>31</v>
      </c>
      <c r="K986" t="s">
        <v>38</v>
      </c>
      <c r="L986" t="s">
        <v>172</v>
      </c>
      <c r="M986" t="s">
        <v>173</v>
      </c>
      <c r="N986" t="s">
        <v>433</v>
      </c>
      <c r="O986" t="s">
        <v>501</v>
      </c>
      <c r="P986" t="s">
        <v>502</v>
      </c>
      <c r="S986" t="s">
        <v>503</v>
      </c>
      <c r="T986">
        <v>33.688060806000003</v>
      </c>
      <c r="U986">
        <v>-117.84243938900001</v>
      </c>
      <c r="V986">
        <f>SUM(W986:X986)+(Y986*0.8)+(Z986*0.4)</f>
        <v>8</v>
      </c>
      <c r="W986">
        <v>8</v>
      </c>
      <c r="X986">
        <v>0</v>
      </c>
      <c r="Y986">
        <v>0</v>
      </c>
      <c r="Z986">
        <v>0</v>
      </c>
      <c r="AA986" t="s">
        <v>43</v>
      </c>
      <c r="AB986">
        <v>7.99</v>
      </c>
      <c r="AD986" t="s">
        <v>3969</v>
      </c>
      <c r="AE986" t="s">
        <v>3970</v>
      </c>
    </row>
    <row r="987" spans="1:31" x14ac:dyDescent="0.25">
      <c r="A987" t="s">
        <v>31</v>
      </c>
      <c r="B987" t="s">
        <v>11350</v>
      </c>
      <c r="C987" t="s">
        <v>647</v>
      </c>
      <c r="D987" t="s">
        <v>1089</v>
      </c>
      <c r="E987" t="s">
        <v>362</v>
      </c>
      <c r="F987" t="s">
        <v>649</v>
      </c>
      <c r="G987">
        <v>2010</v>
      </c>
      <c r="H987" t="s">
        <v>36</v>
      </c>
      <c r="I987" t="s">
        <v>1090</v>
      </c>
      <c r="J987" t="s">
        <v>31</v>
      </c>
      <c r="K987" t="s">
        <v>38</v>
      </c>
      <c r="L987" t="s">
        <v>242</v>
      </c>
      <c r="M987" t="s">
        <v>243</v>
      </c>
      <c r="N987" t="s">
        <v>509</v>
      </c>
      <c r="O987" t="s">
        <v>510</v>
      </c>
      <c r="P987" t="s">
        <v>511</v>
      </c>
      <c r="T987">
        <v>38.791430945999998</v>
      </c>
      <c r="U987">
        <v>-77.538239188999995</v>
      </c>
      <c r="V987">
        <f>SUM(W987:X987)+(Y987*0.8)+(Z987*0.4)</f>
        <v>8</v>
      </c>
      <c r="W987">
        <v>8</v>
      </c>
      <c r="X987">
        <v>0</v>
      </c>
      <c r="Y987">
        <v>0</v>
      </c>
      <c r="Z987">
        <v>0</v>
      </c>
      <c r="AA987" t="s">
        <v>43</v>
      </c>
      <c r="AB987">
        <v>8</v>
      </c>
      <c r="AD987" t="s">
        <v>1091</v>
      </c>
      <c r="AE987" t="s">
        <v>1092</v>
      </c>
    </row>
    <row r="988" spans="1:31" x14ac:dyDescent="0.25">
      <c r="A988" t="s">
        <v>31</v>
      </c>
      <c r="C988" t="s">
        <v>3052</v>
      </c>
      <c r="D988" t="s">
        <v>3100</v>
      </c>
      <c r="E988" t="s">
        <v>34</v>
      </c>
      <c r="F988" t="s">
        <v>35</v>
      </c>
      <c r="G988">
        <v>2007</v>
      </c>
      <c r="H988" t="s">
        <v>36</v>
      </c>
      <c r="I988" t="s">
        <v>3101</v>
      </c>
      <c r="J988" t="s">
        <v>31</v>
      </c>
      <c r="K988" t="s">
        <v>38</v>
      </c>
      <c r="L988" t="s">
        <v>172</v>
      </c>
      <c r="M988" t="s">
        <v>173</v>
      </c>
      <c r="N988" t="s">
        <v>493</v>
      </c>
      <c r="O988" t="s">
        <v>494</v>
      </c>
      <c r="P988" t="s">
        <v>495</v>
      </c>
      <c r="Q988" t="s">
        <v>3102</v>
      </c>
      <c r="S988" t="s">
        <v>138</v>
      </c>
      <c r="T988">
        <v>34.048157000000003</v>
      </c>
      <c r="U988">
        <v>-118.255505</v>
      </c>
      <c r="V988">
        <f>SUM(W988:X988)+(Y988*0.8)+(Z988*0.4)</f>
        <v>8</v>
      </c>
      <c r="W988">
        <v>8</v>
      </c>
      <c r="X988">
        <v>0</v>
      </c>
      <c r="Y988">
        <v>0</v>
      </c>
      <c r="Z988">
        <v>0</v>
      </c>
      <c r="AA988" t="s">
        <v>43</v>
      </c>
      <c r="AB988">
        <v>8</v>
      </c>
      <c r="AD988" t="s">
        <v>3103</v>
      </c>
      <c r="AE988" t="s">
        <v>3104</v>
      </c>
    </row>
    <row r="989" spans="1:31" x14ac:dyDescent="0.25">
      <c r="A989" t="s">
        <v>31</v>
      </c>
      <c r="C989" t="s">
        <v>169</v>
      </c>
      <c r="D989" t="s">
        <v>191</v>
      </c>
      <c r="E989" t="s">
        <v>34</v>
      </c>
      <c r="F989" t="s">
        <v>35</v>
      </c>
      <c r="G989">
        <v>2002</v>
      </c>
      <c r="H989" t="s">
        <v>36</v>
      </c>
      <c r="I989" t="s">
        <v>192</v>
      </c>
      <c r="J989" t="s">
        <v>31</v>
      </c>
      <c r="K989" t="s">
        <v>38</v>
      </c>
      <c r="L989" t="s">
        <v>193</v>
      </c>
      <c r="M989" t="s">
        <v>194</v>
      </c>
      <c r="N989" t="s">
        <v>195</v>
      </c>
      <c r="O989" t="s">
        <v>196</v>
      </c>
      <c r="P989" t="s">
        <v>197</v>
      </c>
      <c r="T989">
        <v>39.762880695</v>
      </c>
      <c r="U989">
        <v>-104.762049628</v>
      </c>
      <c r="V989">
        <f>SUM(W989:X989)+(Y989*0.8)+(Z989*0.4)</f>
        <v>8</v>
      </c>
      <c r="W989">
        <v>8</v>
      </c>
      <c r="X989">
        <v>0</v>
      </c>
      <c r="Y989">
        <v>0</v>
      </c>
      <c r="Z989">
        <v>0</v>
      </c>
      <c r="AA989" t="s">
        <v>43</v>
      </c>
      <c r="AB989">
        <v>6.6</v>
      </c>
      <c r="AD989" t="s">
        <v>198</v>
      </c>
      <c r="AE989" t="s">
        <v>199</v>
      </c>
    </row>
    <row r="990" spans="1:31" x14ac:dyDescent="0.25">
      <c r="A990" t="s">
        <v>31</v>
      </c>
      <c r="C990" t="s">
        <v>2064</v>
      </c>
      <c r="D990" t="s">
        <v>2169</v>
      </c>
      <c r="E990" t="s">
        <v>34</v>
      </c>
      <c r="F990" t="s">
        <v>35</v>
      </c>
      <c r="G990">
        <v>1998</v>
      </c>
      <c r="H990" t="s">
        <v>36</v>
      </c>
      <c r="I990" t="s">
        <v>2170</v>
      </c>
      <c r="J990" t="s">
        <v>31</v>
      </c>
      <c r="K990" t="s">
        <v>38</v>
      </c>
      <c r="L990" t="s">
        <v>242</v>
      </c>
      <c r="M990" t="s">
        <v>243</v>
      </c>
      <c r="N990" t="s">
        <v>405</v>
      </c>
      <c r="O990" t="s">
        <v>526</v>
      </c>
      <c r="P990" t="s">
        <v>527</v>
      </c>
      <c r="T990">
        <v>39.024248436000001</v>
      </c>
      <c r="U990">
        <v>-77.415848629999999</v>
      </c>
      <c r="V990">
        <f>SUM(W990:X990)+(Y990*0.8)+(Z990*0.4)</f>
        <v>8</v>
      </c>
      <c r="W990">
        <v>8</v>
      </c>
      <c r="X990">
        <v>0</v>
      </c>
      <c r="Y990">
        <v>0</v>
      </c>
      <c r="Z990">
        <v>0</v>
      </c>
      <c r="AA990" t="s">
        <v>43</v>
      </c>
      <c r="AB990">
        <v>8</v>
      </c>
      <c r="AD990" t="s">
        <v>2171</v>
      </c>
      <c r="AE990" t="s">
        <v>2172</v>
      </c>
    </row>
    <row r="991" spans="1:31" x14ac:dyDescent="0.25">
      <c r="A991" t="s">
        <v>31</v>
      </c>
      <c r="C991" t="s">
        <v>7019</v>
      </c>
      <c r="D991" t="s">
        <v>7020</v>
      </c>
      <c r="E991" t="s">
        <v>362</v>
      </c>
      <c r="F991" t="s">
        <v>630</v>
      </c>
      <c r="G991">
        <v>1996</v>
      </c>
      <c r="H991" t="s">
        <v>36</v>
      </c>
      <c r="I991" t="s">
        <v>7021</v>
      </c>
      <c r="J991" t="s">
        <v>31</v>
      </c>
      <c r="K991" t="s">
        <v>38</v>
      </c>
      <c r="L991" t="s">
        <v>39</v>
      </c>
      <c r="M991" t="s">
        <v>40</v>
      </c>
      <c r="N991" t="s">
        <v>41</v>
      </c>
      <c r="O991" t="s">
        <v>42</v>
      </c>
      <c r="P991" t="s">
        <v>7022</v>
      </c>
      <c r="Q991" t="s">
        <v>42</v>
      </c>
      <c r="T991">
        <v>40.827022390000003</v>
      </c>
      <c r="U991">
        <v>-74.044637183999996</v>
      </c>
      <c r="V991">
        <f>SUM(W991:X991)+(Y991*0.8)+(Z991*0.4)</f>
        <v>8</v>
      </c>
      <c r="W991">
        <v>8</v>
      </c>
      <c r="X991">
        <v>0</v>
      </c>
      <c r="Y991">
        <v>0</v>
      </c>
      <c r="Z991">
        <v>0</v>
      </c>
      <c r="AA991" t="s">
        <v>43</v>
      </c>
      <c r="AB991">
        <v>8</v>
      </c>
      <c r="AD991" t="s">
        <v>7023</v>
      </c>
      <c r="AE991" t="s">
        <v>7024</v>
      </c>
    </row>
    <row r="992" spans="1:31" x14ac:dyDescent="0.25">
      <c r="A992" t="s">
        <v>31</v>
      </c>
      <c r="C992" t="s">
        <v>9886</v>
      </c>
      <c r="D992" t="s">
        <v>9904</v>
      </c>
      <c r="E992" t="s">
        <v>34</v>
      </c>
      <c r="F992" t="s">
        <v>35</v>
      </c>
      <c r="G992">
        <v>2017</v>
      </c>
      <c r="H992" t="s">
        <v>36</v>
      </c>
      <c r="I992" t="s">
        <v>9905</v>
      </c>
      <c r="J992" t="s">
        <v>31</v>
      </c>
      <c r="K992" t="s">
        <v>38</v>
      </c>
      <c r="L992" t="s">
        <v>68</v>
      </c>
      <c r="M992" t="s">
        <v>69</v>
      </c>
      <c r="N992" t="s">
        <v>547</v>
      </c>
      <c r="O992" t="s">
        <v>548</v>
      </c>
      <c r="P992" t="s">
        <v>3939</v>
      </c>
      <c r="T992">
        <v>33.066711550999997</v>
      </c>
      <c r="U992">
        <v>-96.811508609000001</v>
      </c>
      <c r="V992">
        <f>SUM(W992:X992)+(Y992*0.8)+(Z992*0.4)</f>
        <v>7.92</v>
      </c>
      <c r="W992">
        <v>4.4000000000000004</v>
      </c>
      <c r="X992">
        <v>0</v>
      </c>
      <c r="Y992">
        <v>2.2000000000000002</v>
      </c>
      <c r="Z992">
        <v>4.4000000000000004</v>
      </c>
      <c r="AA992" t="s">
        <v>43</v>
      </c>
      <c r="AB992">
        <v>1.5</v>
      </c>
      <c r="AC992">
        <v>1.3</v>
      </c>
      <c r="AD992" t="s">
        <v>9906</v>
      </c>
      <c r="AE992" t="s">
        <v>9907</v>
      </c>
    </row>
    <row r="993" spans="1:31" x14ac:dyDescent="0.25">
      <c r="A993" t="s">
        <v>31</v>
      </c>
      <c r="C993" t="s">
        <v>8365</v>
      </c>
      <c r="D993" t="s">
        <v>8388</v>
      </c>
      <c r="E993" t="s">
        <v>34</v>
      </c>
      <c r="F993" t="s">
        <v>35</v>
      </c>
      <c r="G993">
        <v>2021</v>
      </c>
      <c r="H993" t="s">
        <v>36</v>
      </c>
      <c r="I993" t="s">
        <v>8389</v>
      </c>
      <c r="J993" t="s">
        <v>31</v>
      </c>
      <c r="K993" t="s">
        <v>38</v>
      </c>
      <c r="L993" t="s">
        <v>3818</v>
      </c>
      <c r="M993" t="s">
        <v>3819</v>
      </c>
      <c r="N993" t="s">
        <v>3820</v>
      </c>
      <c r="O993" t="s">
        <v>3821</v>
      </c>
      <c r="P993" t="s">
        <v>3822</v>
      </c>
      <c r="Q993" t="s">
        <v>8390</v>
      </c>
      <c r="T993">
        <v>38.986503661999997</v>
      </c>
      <c r="U993">
        <v>-94.712386761999994</v>
      </c>
      <c r="V993">
        <f>SUM(W993:X993)+(Y993*0.8)+(Z993*0.4)</f>
        <v>7.8000000000000007</v>
      </c>
      <c r="W993">
        <v>5</v>
      </c>
      <c r="X993">
        <v>0</v>
      </c>
      <c r="Y993">
        <v>0</v>
      </c>
      <c r="Z993">
        <v>7</v>
      </c>
      <c r="AA993" t="s">
        <v>43</v>
      </c>
      <c r="AB993">
        <v>0</v>
      </c>
      <c r="AD993" t="s">
        <v>8391</v>
      </c>
      <c r="AE993" t="s">
        <v>8392</v>
      </c>
    </row>
    <row r="994" spans="1:31" x14ac:dyDescent="0.25">
      <c r="A994" t="s">
        <v>31</v>
      </c>
      <c r="C994" t="s">
        <v>9606</v>
      </c>
      <c r="D994" t="s">
        <v>9607</v>
      </c>
      <c r="E994" t="s">
        <v>34</v>
      </c>
      <c r="F994" t="s">
        <v>35</v>
      </c>
      <c r="G994">
        <v>2020</v>
      </c>
      <c r="H994" t="s">
        <v>36</v>
      </c>
      <c r="I994" t="s">
        <v>2749</v>
      </c>
      <c r="J994" t="s">
        <v>31</v>
      </c>
      <c r="K994" t="s">
        <v>38</v>
      </c>
      <c r="L994" t="s">
        <v>202</v>
      </c>
      <c r="M994" t="s">
        <v>203</v>
      </c>
      <c r="N994" t="s">
        <v>2750</v>
      </c>
      <c r="O994" t="s">
        <v>2751</v>
      </c>
      <c r="P994" t="s">
        <v>2752</v>
      </c>
      <c r="Q994" t="s">
        <v>2753</v>
      </c>
      <c r="T994">
        <v>30.33146258</v>
      </c>
      <c r="U994">
        <v>-81.662386269999999</v>
      </c>
      <c r="V994">
        <f>SUM(W994:X994)+(Y994*0.8)+(Z994*0.4)</f>
        <v>7.8000000000000007</v>
      </c>
      <c r="W994">
        <v>3</v>
      </c>
      <c r="X994">
        <v>0</v>
      </c>
      <c r="Y994">
        <v>6</v>
      </c>
      <c r="Z994">
        <v>0</v>
      </c>
      <c r="AA994" t="s">
        <v>43</v>
      </c>
      <c r="AB994">
        <v>2.2000000000000002</v>
      </c>
      <c r="AD994" t="s">
        <v>9608</v>
      </c>
      <c r="AE994" t="s">
        <v>9609</v>
      </c>
    </row>
    <row r="995" spans="1:31" x14ac:dyDescent="0.25">
      <c r="A995" t="s">
        <v>31</v>
      </c>
      <c r="C995" t="s">
        <v>4672</v>
      </c>
      <c r="D995" t="s">
        <v>4672</v>
      </c>
      <c r="E995" t="s">
        <v>34</v>
      </c>
      <c r="F995" t="s">
        <v>35</v>
      </c>
      <c r="G995">
        <v>2006</v>
      </c>
      <c r="H995" t="s">
        <v>36</v>
      </c>
      <c r="I995" t="s">
        <v>4673</v>
      </c>
      <c r="J995" t="s">
        <v>31</v>
      </c>
      <c r="K995" t="s">
        <v>38</v>
      </c>
      <c r="L995" t="s">
        <v>77</v>
      </c>
      <c r="M995" t="s">
        <v>78</v>
      </c>
      <c r="N995" t="s">
        <v>4674</v>
      </c>
      <c r="O995" t="s">
        <v>4675</v>
      </c>
      <c r="P995" t="s">
        <v>4676</v>
      </c>
      <c r="T995">
        <v>40.381125054999998</v>
      </c>
      <c r="U995">
        <v>-75.981769388999993</v>
      </c>
      <c r="V995">
        <f>SUM(W995:X995)+(Y995*0.8)+(Z995*0.4)</f>
        <v>7.8</v>
      </c>
      <c r="W995">
        <v>7.8</v>
      </c>
      <c r="X995">
        <v>0</v>
      </c>
      <c r="Y995">
        <v>0</v>
      </c>
      <c r="Z995">
        <v>0</v>
      </c>
      <c r="AA995" t="s">
        <v>43</v>
      </c>
      <c r="AB995">
        <v>5.8</v>
      </c>
      <c r="AD995" t="s">
        <v>4677</v>
      </c>
      <c r="AE995" t="s">
        <v>4678</v>
      </c>
    </row>
    <row r="996" spans="1:31" x14ac:dyDescent="0.25">
      <c r="A996" t="s">
        <v>31</v>
      </c>
      <c r="C996" t="s">
        <v>3849</v>
      </c>
      <c r="D996" t="s">
        <v>4271</v>
      </c>
      <c r="E996" t="s">
        <v>34</v>
      </c>
      <c r="F996" t="s">
        <v>66</v>
      </c>
      <c r="G996">
        <v>2000</v>
      </c>
      <c r="H996" t="s">
        <v>36</v>
      </c>
      <c r="I996" t="s">
        <v>4272</v>
      </c>
      <c r="J996" t="s">
        <v>31</v>
      </c>
      <c r="K996" t="s">
        <v>38</v>
      </c>
      <c r="L996" t="s">
        <v>172</v>
      </c>
      <c r="M996" t="s">
        <v>173</v>
      </c>
      <c r="N996" t="s">
        <v>493</v>
      </c>
      <c r="O996" t="s">
        <v>4273</v>
      </c>
      <c r="P996" t="s">
        <v>4274</v>
      </c>
      <c r="T996">
        <v>33.915872110999999</v>
      </c>
      <c r="U996">
        <v>-118.384789775</v>
      </c>
      <c r="V996">
        <f>SUM(W996:X996)+(Y996*0.8)+(Z996*0.4)</f>
        <v>7.8</v>
      </c>
      <c r="W996">
        <v>7.8</v>
      </c>
      <c r="X996">
        <v>0</v>
      </c>
      <c r="Y996">
        <v>0</v>
      </c>
      <c r="Z996">
        <v>0</v>
      </c>
      <c r="AA996" t="s">
        <v>43</v>
      </c>
      <c r="AB996">
        <v>6.5</v>
      </c>
      <c r="AD996" t="s">
        <v>4275</v>
      </c>
      <c r="AE996" t="s">
        <v>4276</v>
      </c>
    </row>
    <row r="997" spans="1:31" x14ac:dyDescent="0.25">
      <c r="A997" t="s">
        <v>31</v>
      </c>
      <c r="C997" t="s">
        <v>6111</v>
      </c>
      <c r="D997" t="s">
        <v>6112</v>
      </c>
      <c r="E997" t="s">
        <v>362</v>
      </c>
      <c r="F997" t="s">
        <v>630</v>
      </c>
      <c r="G997">
        <v>2009</v>
      </c>
      <c r="H997" t="s">
        <v>36</v>
      </c>
      <c r="I997" t="s">
        <v>6113</v>
      </c>
      <c r="J997" t="s">
        <v>31</v>
      </c>
      <c r="K997" t="s">
        <v>38</v>
      </c>
      <c r="L997" t="s">
        <v>39</v>
      </c>
      <c r="M997" t="s">
        <v>40</v>
      </c>
      <c r="N997" t="s">
        <v>210</v>
      </c>
      <c r="O997" t="s">
        <v>211</v>
      </c>
      <c r="P997" t="s">
        <v>212</v>
      </c>
      <c r="T997">
        <v>40.570352471</v>
      </c>
      <c r="U997">
        <v>-74.670036350999993</v>
      </c>
      <c r="V997">
        <f>SUM(W997:X997)+(Y997*0.8)+(Z997*0.4)</f>
        <v>7.7</v>
      </c>
      <c r="W997">
        <v>7.7</v>
      </c>
      <c r="X997">
        <v>0</v>
      </c>
      <c r="Y997">
        <v>0</v>
      </c>
      <c r="Z997">
        <v>0</v>
      </c>
      <c r="AA997" t="s">
        <v>43</v>
      </c>
      <c r="AB997">
        <v>7.7</v>
      </c>
      <c r="AD997" t="s">
        <v>6114</v>
      </c>
      <c r="AE997" t="s">
        <v>6115</v>
      </c>
    </row>
    <row r="998" spans="1:31" x14ac:dyDescent="0.25">
      <c r="A998" t="s">
        <v>31</v>
      </c>
      <c r="C998" t="s">
        <v>3312</v>
      </c>
      <c r="D998" t="s">
        <v>3490</v>
      </c>
      <c r="E998" t="s">
        <v>34</v>
      </c>
      <c r="F998" t="s">
        <v>66</v>
      </c>
      <c r="G998">
        <v>2001</v>
      </c>
      <c r="H998" t="s">
        <v>36</v>
      </c>
      <c r="I998" t="s">
        <v>3491</v>
      </c>
      <c r="J998" t="s">
        <v>31</v>
      </c>
      <c r="K998" t="s">
        <v>38</v>
      </c>
      <c r="L998" t="s">
        <v>123</v>
      </c>
      <c r="M998" t="s">
        <v>124</v>
      </c>
      <c r="N998" t="s">
        <v>3492</v>
      </c>
      <c r="O998" t="s">
        <v>3493</v>
      </c>
      <c r="P998" t="s">
        <v>3494</v>
      </c>
      <c r="T998">
        <v>41.599597000000003</v>
      </c>
      <c r="U998">
        <v>-73.882215000000002</v>
      </c>
      <c r="V998">
        <f>SUM(W998:X998)+(Y998*0.8)+(Z998*0.4)</f>
        <v>7.7</v>
      </c>
      <c r="W998">
        <v>3.7</v>
      </c>
      <c r="X998">
        <v>0</v>
      </c>
      <c r="Y998">
        <v>0</v>
      </c>
      <c r="Z998">
        <v>10</v>
      </c>
      <c r="AA998" t="s">
        <v>43</v>
      </c>
      <c r="AB998">
        <v>3.7</v>
      </c>
      <c r="AD998" t="s">
        <v>3495</v>
      </c>
      <c r="AE998" t="s">
        <v>3496</v>
      </c>
    </row>
    <row r="999" spans="1:31" x14ac:dyDescent="0.25">
      <c r="A999" t="s">
        <v>31</v>
      </c>
      <c r="C999" t="s">
        <v>10815</v>
      </c>
      <c r="D999" t="s">
        <v>1712</v>
      </c>
      <c r="E999" t="s">
        <v>34</v>
      </c>
      <c r="F999" t="s">
        <v>35</v>
      </c>
      <c r="G999">
        <v>2009</v>
      </c>
      <c r="H999" t="s">
        <v>36</v>
      </c>
      <c r="I999" t="s">
        <v>10826</v>
      </c>
      <c r="J999" t="s">
        <v>31</v>
      </c>
      <c r="K999" t="s">
        <v>38</v>
      </c>
      <c r="L999" t="s">
        <v>1433</v>
      </c>
      <c r="M999" t="s">
        <v>1434</v>
      </c>
      <c r="N999" t="s">
        <v>297</v>
      </c>
      <c r="O999" t="s">
        <v>1435</v>
      </c>
      <c r="P999" t="s">
        <v>1436</v>
      </c>
      <c r="T999">
        <v>41.620240752000001</v>
      </c>
      <c r="U999">
        <v>-93.854071704000006</v>
      </c>
      <c r="V999">
        <f>SUM(W999:X999)+(Y999*0.8)+(Z999*0.4)</f>
        <v>7.6</v>
      </c>
      <c r="W999">
        <v>1.6</v>
      </c>
      <c r="X999">
        <v>6</v>
      </c>
      <c r="Y999">
        <v>0</v>
      </c>
      <c r="Z999">
        <v>0</v>
      </c>
      <c r="AA999" t="s">
        <v>43</v>
      </c>
      <c r="AB999">
        <v>0.8</v>
      </c>
      <c r="AD999" t="s">
        <v>10827</v>
      </c>
      <c r="AE999" t="s">
        <v>10828</v>
      </c>
    </row>
    <row r="1000" spans="1:31" x14ac:dyDescent="0.25">
      <c r="A1000" t="s">
        <v>31</v>
      </c>
      <c r="C1000" t="s">
        <v>3849</v>
      </c>
      <c r="D1000" t="s">
        <v>4353</v>
      </c>
      <c r="E1000" t="s">
        <v>34</v>
      </c>
      <c r="F1000" t="s">
        <v>35</v>
      </c>
      <c r="G1000">
        <v>2008</v>
      </c>
      <c r="H1000" t="s">
        <v>36</v>
      </c>
      <c r="I1000" t="s">
        <v>4354</v>
      </c>
      <c r="J1000" t="s">
        <v>31</v>
      </c>
      <c r="K1000" t="s">
        <v>38</v>
      </c>
      <c r="L1000" t="s">
        <v>172</v>
      </c>
      <c r="M1000" t="s">
        <v>173</v>
      </c>
      <c r="N1000" t="s">
        <v>2596</v>
      </c>
      <c r="O1000" t="s">
        <v>2597</v>
      </c>
      <c r="P1000" t="s">
        <v>4355</v>
      </c>
      <c r="Q1000" t="s">
        <v>4356</v>
      </c>
      <c r="S1000" t="s">
        <v>4357</v>
      </c>
      <c r="T1000">
        <v>37.799036538000003</v>
      </c>
      <c r="U1000">
        <v>-122.28266463600001</v>
      </c>
      <c r="V1000">
        <f>SUM(W1000:X1000)+(Y1000*0.8)+(Z1000*0.4)</f>
        <v>7.6</v>
      </c>
      <c r="W1000">
        <v>7.6</v>
      </c>
      <c r="X1000">
        <v>0</v>
      </c>
      <c r="Y1000">
        <v>0</v>
      </c>
      <c r="Z1000">
        <v>0</v>
      </c>
      <c r="AA1000" t="s">
        <v>43</v>
      </c>
      <c r="AB1000">
        <v>7.09</v>
      </c>
      <c r="AD1000" t="s">
        <v>4358</v>
      </c>
      <c r="AE1000" t="s">
        <v>4359</v>
      </c>
    </row>
    <row r="1001" spans="1:31" x14ac:dyDescent="0.25">
      <c r="A1001" t="s">
        <v>31</v>
      </c>
      <c r="C1001" t="s">
        <v>5181</v>
      </c>
      <c r="D1001" t="s">
        <v>5458</v>
      </c>
      <c r="E1001" t="s">
        <v>34</v>
      </c>
      <c r="F1001" t="s">
        <v>35</v>
      </c>
      <c r="G1001">
        <v>2026</v>
      </c>
      <c r="H1001" t="s">
        <v>36</v>
      </c>
      <c r="I1001" t="s">
        <v>5459</v>
      </c>
      <c r="J1001" t="s">
        <v>31</v>
      </c>
      <c r="K1001" t="s">
        <v>38</v>
      </c>
      <c r="L1001" t="s">
        <v>172</v>
      </c>
      <c r="M1001" t="s">
        <v>173</v>
      </c>
      <c r="N1001" t="s">
        <v>780</v>
      </c>
      <c r="P1001" t="s">
        <v>5460</v>
      </c>
      <c r="T1001">
        <v>37.328091937000003</v>
      </c>
      <c r="U1001">
        <v>-121.72272119599999</v>
      </c>
      <c r="V1001">
        <f>SUM(W1001:X1001)+(Y1001*0.8)+(Z1001*0.4)</f>
        <v>7.5200000000000005</v>
      </c>
      <c r="W1001">
        <v>0</v>
      </c>
      <c r="X1001">
        <v>0</v>
      </c>
      <c r="Y1001">
        <v>0</v>
      </c>
      <c r="Z1001">
        <v>18.8</v>
      </c>
      <c r="AA1001" t="s">
        <v>43</v>
      </c>
      <c r="AB1001">
        <v>0</v>
      </c>
      <c r="AD1001" t="s">
        <v>5461</v>
      </c>
      <c r="AE1001" t="s">
        <v>5462</v>
      </c>
    </row>
    <row r="1002" spans="1:31" x14ac:dyDescent="0.25">
      <c r="A1002" t="s">
        <v>31</v>
      </c>
      <c r="C1002" t="s">
        <v>8302</v>
      </c>
      <c r="D1002" t="s">
        <v>8303</v>
      </c>
      <c r="E1002" t="s">
        <v>34</v>
      </c>
      <c r="F1002" t="s">
        <v>35</v>
      </c>
      <c r="G1002">
        <v>2024</v>
      </c>
      <c r="H1002" t="s">
        <v>36</v>
      </c>
      <c r="I1002" t="s">
        <v>8304</v>
      </c>
      <c r="J1002" t="s">
        <v>31</v>
      </c>
      <c r="K1002" t="s">
        <v>38</v>
      </c>
      <c r="L1002" t="s">
        <v>172</v>
      </c>
      <c r="M1002" t="s">
        <v>173</v>
      </c>
      <c r="N1002" t="s">
        <v>493</v>
      </c>
      <c r="O1002" t="s">
        <v>494</v>
      </c>
      <c r="P1002" t="s">
        <v>8305</v>
      </c>
      <c r="S1002" t="s">
        <v>8306</v>
      </c>
      <c r="T1002">
        <v>33.722607013999998</v>
      </c>
      <c r="U1002">
        <v>-118.27395015800001</v>
      </c>
      <c r="V1002">
        <f>SUM(W1002:X1002)+(Y1002*0.8)+(Z1002*0.4)</f>
        <v>7.5</v>
      </c>
      <c r="W1002">
        <v>7.5</v>
      </c>
      <c r="X1002">
        <v>0</v>
      </c>
      <c r="Y1002">
        <v>0</v>
      </c>
      <c r="Z1002">
        <v>0</v>
      </c>
      <c r="AA1002" t="s">
        <v>43</v>
      </c>
      <c r="AB1002">
        <v>6.5</v>
      </c>
      <c r="AD1002" t="s">
        <v>8307</v>
      </c>
      <c r="AE1002" t="s">
        <v>8308</v>
      </c>
    </row>
    <row r="1003" spans="1:31" x14ac:dyDescent="0.25">
      <c r="A1003" t="s">
        <v>31</v>
      </c>
      <c r="C1003" t="s">
        <v>46</v>
      </c>
      <c r="D1003" t="s">
        <v>47</v>
      </c>
      <c r="E1003" t="s">
        <v>34</v>
      </c>
      <c r="F1003" t="s">
        <v>35</v>
      </c>
      <c r="G1003">
        <v>2013</v>
      </c>
      <c r="H1003" t="s">
        <v>36</v>
      </c>
      <c r="I1003" t="s">
        <v>48</v>
      </c>
      <c r="J1003" t="s">
        <v>31</v>
      </c>
      <c r="K1003" t="s">
        <v>38</v>
      </c>
      <c r="L1003" t="s">
        <v>49</v>
      </c>
      <c r="M1003" t="s">
        <v>50</v>
      </c>
      <c r="N1003" t="s">
        <v>51</v>
      </c>
      <c r="O1003" t="s">
        <v>52</v>
      </c>
      <c r="P1003" t="s">
        <v>53</v>
      </c>
      <c r="Q1003" t="s">
        <v>52</v>
      </c>
      <c r="S1003" t="s">
        <v>54</v>
      </c>
      <c r="T1003">
        <v>42.471761825999998</v>
      </c>
      <c r="U1003">
        <v>-83.238055871</v>
      </c>
      <c r="V1003">
        <f>SUM(W1003:X1003)+(Y1003*0.8)+(Z1003*0.4)</f>
        <v>7.5</v>
      </c>
      <c r="W1003">
        <v>7.5</v>
      </c>
      <c r="X1003">
        <v>0</v>
      </c>
      <c r="Y1003">
        <v>0</v>
      </c>
      <c r="Z1003">
        <v>0</v>
      </c>
      <c r="AA1003" t="s">
        <v>43</v>
      </c>
      <c r="AB1003">
        <v>5.25</v>
      </c>
      <c r="AD1003" t="s">
        <v>55</v>
      </c>
      <c r="AE1003" t="s">
        <v>56</v>
      </c>
    </row>
    <row r="1004" spans="1:31" x14ac:dyDescent="0.25">
      <c r="A1004" t="s">
        <v>31</v>
      </c>
      <c r="B1004" t="s">
        <v>11350</v>
      </c>
      <c r="C1004" t="s">
        <v>647</v>
      </c>
      <c r="D1004" t="s">
        <v>1011</v>
      </c>
      <c r="E1004" t="s">
        <v>362</v>
      </c>
      <c r="F1004" t="s">
        <v>649</v>
      </c>
      <c r="G1004">
        <v>2012</v>
      </c>
      <c r="H1004" t="s">
        <v>36</v>
      </c>
      <c r="I1004" t="s">
        <v>1012</v>
      </c>
      <c r="J1004" t="s">
        <v>31</v>
      </c>
      <c r="K1004" t="s">
        <v>38</v>
      </c>
      <c r="L1004" t="s">
        <v>242</v>
      </c>
      <c r="M1004" t="s">
        <v>243</v>
      </c>
      <c r="N1004" t="s">
        <v>509</v>
      </c>
      <c r="O1004" t="s">
        <v>510</v>
      </c>
      <c r="P1004" t="s">
        <v>511</v>
      </c>
      <c r="T1004">
        <v>38.790456698</v>
      </c>
      <c r="U1004">
        <v>-77.540983302000001</v>
      </c>
      <c r="V1004">
        <f>SUM(W1004:X1004)+(Y1004*0.8)+(Z1004*0.4)</f>
        <v>7.5</v>
      </c>
      <c r="W1004">
        <v>7.5</v>
      </c>
      <c r="X1004">
        <v>0</v>
      </c>
      <c r="Y1004">
        <v>0</v>
      </c>
      <c r="Z1004">
        <v>0</v>
      </c>
      <c r="AA1004" t="s">
        <v>43</v>
      </c>
      <c r="AB1004">
        <v>7.5</v>
      </c>
      <c r="AD1004" t="s">
        <v>1013</v>
      </c>
      <c r="AE1004" t="s">
        <v>1014</v>
      </c>
    </row>
    <row r="1005" spans="1:31" x14ac:dyDescent="0.25">
      <c r="A1005" t="s">
        <v>31</v>
      </c>
      <c r="C1005" t="s">
        <v>5181</v>
      </c>
      <c r="D1005" t="s">
        <v>5320</v>
      </c>
      <c r="E1005" t="s">
        <v>34</v>
      </c>
      <c r="F1005" t="s">
        <v>35</v>
      </c>
      <c r="G1005">
        <v>2010</v>
      </c>
      <c r="H1005" t="s">
        <v>36</v>
      </c>
      <c r="I1005" t="s">
        <v>5321</v>
      </c>
      <c r="J1005" t="s">
        <v>31</v>
      </c>
      <c r="K1005" t="s">
        <v>38</v>
      </c>
      <c r="L1005" t="s">
        <v>242</v>
      </c>
      <c r="M1005" t="s">
        <v>243</v>
      </c>
      <c r="N1005" t="s">
        <v>405</v>
      </c>
      <c r="O1005" t="s">
        <v>516</v>
      </c>
      <c r="P1005" t="s">
        <v>517</v>
      </c>
      <c r="T1005">
        <v>39.014977999999999</v>
      </c>
      <c r="U1005">
        <v>-77.458726999999996</v>
      </c>
      <c r="V1005">
        <f>SUM(W1005:X1005)+(Y1005*0.8)+(Z1005*0.4)</f>
        <v>7.5</v>
      </c>
      <c r="W1005">
        <v>7.5</v>
      </c>
      <c r="X1005">
        <v>0</v>
      </c>
      <c r="Y1005">
        <v>0</v>
      </c>
      <c r="Z1005">
        <v>0</v>
      </c>
      <c r="AA1005" t="s">
        <v>43</v>
      </c>
      <c r="AB1005">
        <v>7.4</v>
      </c>
      <c r="AD1005" t="s">
        <v>5322</v>
      </c>
      <c r="AE1005" t="s">
        <v>5323</v>
      </c>
    </row>
    <row r="1006" spans="1:31" x14ac:dyDescent="0.25">
      <c r="A1006" t="s">
        <v>31</v>
      </c>
      <c r="C1006" t="s">
        <v>2706</v>
      </c>
      <c r="D1006" t="s">
        <v>2756</v>
      </c>
      <c r="E1006" t="s">
        <v>34</v>
      </c>
      <c r="F1006" t="s">
        <v>66</v>
      </c>
      <c r="G1006">
        <v>2008</v>
      </c>
      <c r="H1006" t="s">
        <v>36</v>
      </c>
      <c r="I1006" t="s">
        <v>2757</v>
      </c>
      <c r="J1006" t="s">
        <v>31</v>
      </c>
      <c r="K1006" t="s">
        <v>38</v>
      </c>
      <c r="L1006" t="s">
        <v>202</v>
      </c>
      <c r="M1006" t="s">
        <v>203</v>
      </c>
      <c r="N1006" t="s">
        <v>2750</v>
      </c>
      <c r="O1006" t="s">
        <v>2751</v>
      </c>
      <c r="P1006" t="s">
        <v>2758</v>
      </c>
      <c r="S1006" t="s">
        <v>2128</v>
      </c>
      <c r="T1006">
        <v>30.273239758999999</v>
      </c>
      <c r="U1006">
        <v>-81.613844588999996</v>
      </c>
      <c r="V1006">
        <f>SUM(W1006:X1006)+(Y1006*0.8)+(Z1006*0.4)</f>
        <v>7.5</v>
      </c>
      <c r="W1006">
        <v>7.5</v>
      </c>
      <c r="X1006">
        <v>0</v>
      </c>
      <c r="Y1006">
        <v>0</v>
      </c>
      <c r="Z1006">
        <v>0</v>
      </c>
      <c r="AA1006" t="s">
        <v>43</v>
      </c>
      <c r="AB1006">
        <v>7.12</v>
      </c>
      <c r="AC1006">
        <v>1.6</v>
      </c>
      <c r="AD1006" t="s">
        <v>2759</v>
      </c>
      <c r="AE1006" t="s">
        <v>2760</v>
      </c>
    </row>
    <row r="1007" spans="1:31" x14ac:dyDescent="0.25">
      <c r="A1007" t="s">
        <v>31</v>
      </c>
      <c r="C1007" t="s">
        <v>5181</v>
      </c>
      <c r="D1007" t="s">
        <v>3111</v>
      </c>
      <c r="E1007" t="s">
        <v>34</v>
      </c>
      <c r="F1007" t="s">
        <v>66</v>
      </c>
      <c r="G1007">
        <v>2005</v>
      </c>
      <c r="H1007" t="s">
        <v>36</v>
      </c>
      <c r="I1007" t="s">
        <v>5342</v>
      </c>
      <c r="J1007" t="s">
        <v>31</v>
      </c>
      <c r="K1007" t="s">
        <v>38</v>
      </c>
      <c r="L1007" t="s">
        <v>172</v>
      </c>
      <c r="M1007" t="s">
        <v>173</v>
      </c>
      <c r="N1007" t="s">
        <v>493</v>
      </c>
      <c r="O1007" t="s">
        <v>4273</v>
      </c>
      <c r="P1007" t="s">
        <v>4274</v>
      </c>
      <c r="T1007">
        <v>33.926032999999997</v>
      </c>
      <c r="U1007">
        <v>-118.394091</v>
      </c>
      <c r="V1007">
        <f>SUM(W1007:X1007)+(Y1007*0.8)+(Z1007*0.4)</f>
        <v>7.5</v>
      </c>
      <c r="W1007">
        <v>7.5</v>
      </c>
      <c r="X1007">
        <v>0</v>
      </c>
      <c r="Y1007">
        <v>0</v>
      </c>
      <c r="Z1007">
        <v>0</v>
      </c>
      <c r="AA1007" t="s">
        <v>43</v>
      </c>
      <c r="AB1007">
        <v>7.5</v>
      </c>
      <c r="AD1007" t="s">
        <v>5343</v>
      </c>
      <c r="AE1007" t="s">
        <v>5344</v>
      </c>
    </row>
    <row r="1008" spans="1:31" x14ac:dyDescent="0.25">
      <c r="A1008" t="s">
        <v>31</v>
      </c>
      <c r="C1008" t="s">
        <v>2064</v>
      </c>
      <c r="D1008" t="s">
        <v>2173</v>
      </c>
      <c r="E1008" t="s">
        <v>34</v>
      </c>
      <c r="F1008" t="s">
        <v>35</v>
      </c>
      <c r="G1008">
        <v>1997</v>
      </c>
      <c r="H1008" t="s">
        <v>36</v>
      </c>
      <c r="I1008" t="s">
        <v>2174</v>
      </c>
      <c r="J1008" t="s">
        <v>31</v>
      </c>
      <c r="K1008" t="s">
        <v>38</v>
      </c>
      <c r="L1008" t="s">
        <v>242</v>
      </c>
      <c r="M1008" t="s">
        <v>243</v>
      </c>
      <c r="N1008" t="s">
        <v>405</v>
      </c>
      <c r="O1008" t="s">
        <v>526</v>
      </c>
      <c r="P1008" t="s">
        <v>527</v>
      </c>
      <c r="T1008">
        <v>39.023483906000003</v>
      </c>
      <c r="U1008">
        <v>-77.413293029000002</v>
      </c>
      <c r="V1008">
        <f>SUM(W1008:X1008)+(Y1008*0.8)+(Z1008*0.4)</f>
        <v>7.5</v>
      </c>
      <c r="W1008">
        <v>7.5</v>
      </c>
      <c r="X1008">
        <v>0</v>
      </c>
      <c r="Y1008">
        <v>0</v>
      </c>
      <c r="Z1008">
        <v>0</v>
      </c>
      <c r="AA1008" t="s">
        <v>43</v>
      </c>
      <c r="AB1008">
        <v>7.3</v>
      </c>
      <c r="AD1008" t="s">
        <v>2175</v>
      </c>
      <c r="AE1008" t="s">
        <v>2176</v>
      </c>
    </row>
    <row r="1009" spans="1:31" x14ac:dyDescent="0.25">
      <c r="A1009" t="s">
        <v>31</v>
      </c>
      <c r="C1009" t="s">
        <v>3312</v>
      </c>
      <c r="D1009" t="s">
        <v>3336</v>
      </c>
      <c r="E1009" t="s">
        <v>34</v>
      </c>
      <c r="F1009" t="s">
        <v>35</v>
      </c>
      <c r="G1009">
        <v>2000</v>
      </c>
      <c r="H1009" t="s">
        <v>36</v>
      </c>
      <c r="I1009" t="s">
        <v>3337</v>
      </c>
      <c r="J1009" t="s">
        <v>31</v>
      </c>
      <c r="K1009" t="s">
        <v>38</v>
      </c>
      <c r="L1009" t="s">
        <v>86</v>
      </c>
      <c r="M1009" t="s">
        <v>87</v>
      </c>
      <c r="N1009" t="s">
        <v>2215</v>
      </c>
      <c r="O1009" t="s">
        <v>3338</v>
      </c>
      <c r="P1009" t="s">
        <v>3339</v>
      </c>
      <c r="T1009">
        <v>41.849214095000001</v>
      </c>
      <c r="U1009">
        <v>-88.029471236999996</v>
      </c>
      <c r="V1009">
        <f>SUM(W1009:X1009)+(Y1009*0.8)+(Z1009*0.4)</f>
        <v>7.44</v>
      </c>
      <c r="W1009">
        <v>1.2</v>
      </c>
      <c r="X1009">
        <v>0</v>
      </c>
      <c r="Y1009">
        <v>7.8</v>
      </c>
      <c r="Z1009">
        <v>0</v>
      </c>
      <c r="AA1009" t="s">
        <v>43</v>
      </c>
      <c r="AB1009">
        <v>0.7</v>
      </c>
      <c r="AD1009" t="s">
        <v>3340</v>
      </c>
      <c r="AE1009" t="s">
        <v>3341</v>
      </c>
    </row>
    <row r="1010" spans="1:31" x14ac:dyDescent="0.25">
      <c r="A1010" t="s">
        <v>31</v>
      </c>
      <c r="C1010" t="s">
        <v>6832</v>
      </c>
      <c r="D1010" t="s">
        <v>6848</v>
      </c>
      <c r="E1010" t="s">
        <v>34</v>
      </c>
      <c r="F1010" t="s">
        <v>66</v>
      </c>
      <c r="G1010">
        <v>2009</v>
      </c>
      <c r="H1010" t="s">
        <v>36</v>
      </c>
      <c r="I1010" t="s">
        <v>6849</v>
      </c>
      <c r="J1010" t="s">
        <v>31</v>
      </c>
      <c r="K1010" t="s">
        <v>38</v>
      </c>
      <c r="L1010" t="s">
        <v>326</v>
      </c>
      <c r="M1010" t="s">
        <v>327</v>
      </c>
      <c r="N1010" t="s">
        <v>328</v>
      </c>
      <c r="O1010" t="s">
        <v>6850</v>
      </c>
      <c r="P1010" t="s">
        <v>6851</v>
      </c>
      <c r="T1010">
        <v>33.64457041</v>
      </c>
      <c r="U1010">
        <v>-111.895712176</v>
      </c>
      <c r="V1010">
        <f>SUM(W1010:X1010)+(Y1010*0.8)+(Z1010*0.4)</f>
        <v>7.3599999999999994</v>
      </c>
      <c r="W1010">
        <v>5.8</v>
      </c>
      <c r="X1010">
        <v>0</v>
      </c>
      <c r="Y1010">
        <v>0</v>
      </c>
      <c r="Z1010">
        <v>3.9</v>
      </c>
      <c r="AA1010" t="s">
        <v>43</v>
      </c>
      <c r="AB1010">
        <v>5.8</v>
      </c>
      <c r="AD1010" t="s">
        <v>6852</v>
      </c>
      <c r="AE1010" t="s">
        <v>6853</v>
      </c>
    </row>
    <row r="1011" spans="1:31" x14ac:dyDescent="0.25">
      <c r="A1011" t="s">
        <v>31</v>
      </c>
      <c r="C1011" t="s">
        <v>9037</v>
      </c>
      <c r="D1011" t="s">
        <v>9057</v>
      </c>
      <c r="E1011" t="s">
        <v>34</v>
      </c>
      <c r="F1011" t="s">
        <v>66</v>
      </c>
      <c r="G1011">
        <v>2024</v>
      </c>
      <c r="H1011" t="s">
        <v>36</v>
      </c>
      <c r="I1011" t="s">
        <v>9058</v>
      </c>
      <c r="J1011" t="s">
        <v>31</v>
      </c>
      <c r="K1011" t="s">
        <v>38</v>
      </c>
      <c r="L1011" t="s">
        <v>172</v>
      </c>
      <c r="M1011" t="s">
        <v>173</v>
      </c>
      <c r="N1011" t="s">
        <v>780</v>
      </c>
      <c r="O1011" t="s">
        <v>781</v>
      </c>
      <c r="P1011" t="s">
        <v>9059</v>
      </c>
      <c r="T1011">
        <v>37.375153114</v>
      </c>
      <c r="U1011">
        <v>-121.95479039999999</v>
      </c>
      <c r="V1011">
        <f>SUM(W1011:X1011)+(Y1011*0.8)+(Z1011*0.4)</f>
        <v>7.2</v>
      </c>
      <c r="W1011">
        <v>0</v>
      </c>
      <c r="X1011">
        <v>0</v>
      </c>
      <c r="Y1011">
        <v>9</v>
      </c>
      <c r="Z1011">
        <v>0</v>
      </c>
      <c r="AA1011" t="s">
        <v>43</v>
      </c>
      <c r="AB1011">
        <v>4</v>
      </c>
      <c r="AD1011" t="s">
        <v>9060</v>
      </c>
      <c r="AE1011" t="s">
        <v>9061</v>
      </c>
    </row>
    <row r="1012" spans="1:31" x14ac:dyDescent="0.25">
      <c r="A1012" t="s">
        <v>31</v>
      </c>
      <c r="C1012" t="s">
        <v>1463</v>
      </c>
      <c r="D1012" t="s">
        <v>1472</v>
      </c>
      <c r="E1012" t="s">
        <v>362</v>
      </c>
      <c r="F1012" t="s">
        <v>372</v>
      </c>
      <c r="G1012">
        <v>2022</v>
      </c>
      <c r="H1012" t="s">
        <v>36</v>
      </c>
      <c r="I1012" t="s">
        <v>1473</v>
      </c>
      <c r="J1012" t="s">
        <v>31</v>
      </c>
      <c r="K1012" t="s">
        <v>38</v>
      </c>
      <c r="L1012" t="s">
        <v>353</v>
      </c>
      <c r="M1012" t="s">
        <v>354</v>
      </c>
      <c r="N1012" t="s">
        <v>1474</v>
      </c>
      <c r="O1012" t="s">
        <v>1475</v>
      </c>
      <c r="T1012">
        <v>47.026851542000003</v>
      </c>
      <c r="U1012">
        <v>-98.680503858999998</v>
      </c>
      <c r="V1012">
        <f>SUM(W1012:X1012)+(Y1012*0.8)+(Z1012*0.4)</f>
        <v>7.2</v>
      </c>
      <c r="W1012">
        <v>7.2</v>
      </c>
      <c r="X1012">
        <v>0</v>
      </c>
      <c r="Y1012">
        <v>0</v>
      </c>
      <c r="Z1012">
        <v>0</v>
      </c>
      <c r="AA1012" t="s">
        <v>43</v>
      </c>
      <c r="AB1012">
        <v>7.2</v>
      </c>
      <c r="AD1012" t="s">
        <v>1476</v>
      </c>
      <c r="AE1012" t="s">
        <v>1477</v>
      </c>
    </row>
    <row r="1013" spans="1:31" x14ac:dyDescent="0.25">
      <c r="A1013" t="s">
        <v>31</v>
      </c>
      <c r="C1013" t="s">
        <v>10037</v>
      </c>
      <c r="D1013" t="s">
        <v>10052</v>
      </c>
      <c r="E1013" t="s">
        <v>34</v>
      </c>
      <c r="F1013" t="s">
        <v>35</v>
      </c>
      <c r="G1013">
        <v>2012</v>
      </c>
      <c r="H1013" t="s">
        <v>36</v>
      </c>
      <c r="I1013" t="s">
        <v>10053</v>
      </c>
      <c r="J1013" t="s">
        <v>31</v>
      </c>
      <c r="K1013" t="s">
        <v>38</v>
      </c>
      <c r="L1013" t="s">
        <v>68</v>
      </c>
      <c r="M1013" t="s">
        <v>69</v>
      </c>
      <c r="N1013" t="s">
        <v>297</v>
      </c>
      <c r="O1013" t="s">
        <v>295</v>
      </c>
      <c r="P1013" t="s">
        <v>2474</v>
      </c>
      <c r="T1013">
        <v>32.998059464000001</v>
      </c>
      <c r="U1013">
        <v>-96.687392058</v>
      </c>
      <c r="V1013">
        <f>SUM(W1013:X1013)+(Y1013*0.8)+(Z1013*0.4)</f>
        <v>7.2</v>
      </c>
      <c r="W1013">
        <v>7.2</v>
      </c>
      <c r="X1013">
        <v>0</v>
      </c>
      <c r="Y1013">
        <v>0</v>
      </c>
      <c r="Z1013">
        <v>0</v>
      </c>
      <c r="AA1013" t="s">
        <v>43</v>
      </c>
      <c r="AB1013">
        <v>7.2</v>
      </c>
      <c r="AD1013" t="s">
        <v>10054</v>
      </c>
      <c r="AE1013" t="s">
        <v>10055</v>
      </c>
    </row>
    <row r="1014" spans="1:31" x14ac:dyDescent="0.25">
      <c r="A1014" t="s">
        <v>31</v>
      </c>
      <c r="C1014" t="s">
        <v>5765</v>
      </c>
      <c r="D1014" t="s">
        <v>5878</v>
      </c>
      <c r="E1014" t="s">
        <v>34</v>
      </c>
      <c r="F1014" t="s">
        <v>66</v>
      </c>
      <c r="G1014">
        <v>2009</v>
      </c>
      <c r="H1014" t="s">
        <v>36</v>
      </c>
      <c r="I1014" t="s">
        <v>5879</v>
      </c>
      <c r="J1014" t="s">
        <v>31</v>
      </c>
      <c r="K1014" t="s">
        <v>38</v>
      </c>
      <c r="L1014" t="s">
        <v>77</v>
      </c>
      <c r="M1014" t="s">
        <v>78</v>
      </c>
      <c r="N1014" t="s">
        <v>3641</v>
      </c>
      <c r="O1014" t="s">
        <v>5880</v>
      </c>
      <c r="P1014" t="s">
        <v>5881</v>
      </c>
      <c r="Q1014" t="s">
        <v>5882</v>
      </c>
      <c r="T1014">
        <v>40.152205563999999</v>
      </c>
      <c r="U1014">
        <v>-75.477675495</v>
      </c>
      <c r="V1014">
        <f>SUM(W1014:X1014)+(Y1014*0.8)+(Z1014*0.4)</f>
        <v>7.2</v>
      </c>
      <c r="W1014">
        <v>7.2</v>
      </c>
      <c r="X1014">
        <v>0</v>
      </c>
      <c r="Y1014">
        <v>0</v>
      </c>
      <c r="Z1014">
        <v>0</v>
      </c>
      <c r="AA1014" t="s">
        <v>43</v>
      </c>
      <c r="AB1014">
        <v>6.43</v>
      </c>
      <c r="AD1014" t="s">
        <v>5883</v>
      </c>
      <c r="AE1014" t="s">
        <v>5884</v>
      </c>
    </row>
    <row r="1015" spans="1:31" x14ac:dyDescent="0.25">
      <c r="A1015" t="s">
        <v>31</v>
      </c>
      <c r="B1015" t="s">
        <v>11350</v>
      </c>
      <c r="C1015" t="s">
        <v>647</v>
      </c>
      <c r="D1015" t="s">
        <v>700</v>
      </c>
      <c r="E1015" t="s">
        <v>362</v>
      </c>
      <c r="F1015" t="s">
        <v>649</v>
      </c>
      <c r="G1015">
        <v>2003</v>
      </c>
      <c r="H1015" t="s">
        <v>36</v>
      </c>
      <c r="I1015" t="s">
        <v>701</v>
      </c>
      <c r="J1015" t="s">
        <v>31</v>
      </c>
      <c r="K1015" t="s">
        <v>38</v>
      </c>
      <c r="L1015" t="s">
        <v>251</v>
      </c>
      <c r="M1015" t="s">
        <v>252</v>
      </c>
      <c r="N1015" t="s">
        <v>691</v>
      </c>
      <c r="O1015" t="s">
        <v>702</v>
      </c>
      <c r="P1015" t="s">
        <v>703</v>
      </c>
      <c r="T1015">
        <v>42.251378592999998</v>
      </c>
      <c r="U1015">
        <v>-71.687642155000006</v>
      </c>
      <c r="V1015">
        <f>SUM(W1015:X1015)+(Y1015*0.8)+(Z1015*0.4)</f>
        <v>7.2</v>
      </c>
      <c r="W1015">
        <v>7.2</v>
      </c>
      <c r="X1015">
        <v>0</v>
      </c>
      <c r="Y1015">
        <v>0</v>
      </c>
      <c r="Z1015">
        <v>0</v>
      </c>
      <c r="AA1015" t="s">
        <v>43</v>
      </c>
      <c r="AB1015">
        <v>7.2</v>
      </c>
      <c r="AD1015" t="s">
        <v>704</v>
      </c>
      <c r="AE1015" t="s">
        <v>705</v>
      </c>
    </row>
    <row r="1016" spans="1:31" x14ac:dyDescent="0.25">
      <c r="A1016" t="s">
        <v>31</v>
      </c>
      <c r="C1016" t="s">
        <v>3849</v>
      </c>
      <c r="D1016" t="s">
        <v>4341</v>
      </c>
      <c r="E1016" t="s">
        <v>34</v>
      </c>
      <c r="F1016" t="s">
        <v>66</v>
      </c>
      <c r="G1016">
        <v>1999</v>
      </c>
      <c r="H1016" t="s">
        <v>36</v>
      </c>
      <c r="I1016" t="s">
        <v>4342</v>
      </c>
      <c r="J1016" t="s">
        <v>31</v>
      </c>
      <c r="K1016" t="s">
        <v>38</v>
      </c>
      <c r="L1016" t="s">
        <v>172</v>
      </c>
      <c r="M1016" t="s">
        <v>173</v>
      </c>
      <c r="N1016" t="s">
        <v>493</v>
      </c>
      <c r="O1016" t="s">
        <v>494</v>
      </c>
      <c r="P1016" t="s">
        <v>3107</v>
      </c>
      <c r="S1016" t="s">
        <v>138</v>
      </c>
      <c r="T1016">
        <v>34.047540798</v>
      </c>
      <c r="U1016">
        <v>-118.25753243600001</v>
      </c>
      <c r="V1016">
        <f>SUM(W1016:X1016)+(Y1016*0.8)+(Z1016*0.4)</f>
        <v>7.2</v>
      </c>
      <c r="W1016">
        <v>7.2</v>
      </c>
      <c r="X1016">
        <v>0</v>
      </c>
      <c r="Y1016">
        <v>0</v>
      </c>
      <c r="Z1016">
        <v>0</v>
      </c>
      <c r="AA1016" t="s">
        <v>43</v>
      </c>
      <c r="AB1016">
        <v>7.16</v>
      </c>
      <c r="AD1016" t="s">
        <v>4343</v>
      </c>
      <c r="AE1016" t="s">
        <v>4344</v>
      </c>
    </row>
    <row r="1017" spans="1:31" x14ac:dyDescent="0.25">
      <c r="A1017" t="s">
        <v>31</v>
      </c>
      <c r="C1017" t="s">
        <v>5181</v>
      </c>
      <c r="D1017" t="s">
        <v>5294</v>
      </c>
      <c r="E1017" t="s">
        <v>34</v>
      </c>
      <c r="F1017" t="s">
        <v>35</v>
      </c>
      <c r="H1017" t="s">
        <v>36</v>
      </c>
      <c r="I1017" t="s">
        <v>5291</v>
      </c>
      <c r="J1017" t="s">
        <v>31</v>
      </c>
      <c r="K1017" t="s">
        <v>38</v>
      </c>
      <c r="L1017" t="s">
        <v>242</v>
      </c>
      <c r="M1017" t="s">
        <v>243</v>
      </c>
      <c r="N1017" t="s">
        <v>405</v>
      </c>
      <c r="O1017" t="s">
        <v>516</v>
      </c>
      <c r="P1017" t="s">
        <v>517</v>
      </c>
      <c r="T1017">
        <v>39.025344728999997</v>
      </c>
      <c r="U1017">
        <v>-77.453934048999997</v>
      </c>
      <c r="V1017">
        <f>SUM(W1017:X1017)+(Y1017*0.8)+(Z1017*0.4)</f>
        <v>7.2</v>
      </c>
      <c r="W1017">
        <v>0</v>
      </c>
      <c r="X1017">
        <v>0</v>
      </c>
      <c r="Y1017">
        <v>0</v>
      </c>
      <c r="Z1017">
        <v>18</v>
      </c>
      <c r="AA1017" t="s">
        <v>43</v>
      </c>
      <c r="AB1017">
        <v>0</v>
      </c>
      <c r="AD1017" t="s">
        <v>5295</v>
      </c>
      <c r="AE1017" t="s">
        <v>5296</v>
      </c>
    </row>
    <row r="1018" spans="1:31" x14ac:dyDescent="0.25">
      <c r="A1018" t="s">
        <v>31</v>
      </c>
      <c r="C1018" t="s">
        <v>10406</v>
      </c>
      <c r="D1018" t="s">
        <v>10573</v>
      </c>
      <c r="E1018" t="s">
        <v>34</v>
      </c>
      <c r="F1018" t="s">
        <v>35</v>
      </c>
      <c r="G1018">
        <v>2005</v>
      </c>
      <c r="H1018" t="s">
        <v>36</v>
      </c>
      <c r="I1018" t="s">
        <v>10574</v>
      </c>
      <c r="J1018" t="s">
        <v>31</v>
      </c>
      <c r="K1018" t="s">
        <v>38</v>
      </c>
      <c r="L1018" t="s">
        <v>77</v>
      </c>
      <c r="M1018" t="s">
        <v>78</v>
      </c>
      <c r="N1018" t="s">
        <v>3641</v>
      </c>
      <c r="O1018" t="s">
        <v>10575</v>
      </c>
      <c r="P1018" t="s">
        <v>10576</v>
      </c>
      <c r="Q1018" t="s">
        <v>10577</v>
      </c>
      <c r="T1018">
        <v>40.121885706</v>
      </c>
      <c r="U1018">
        <v>-75.420898016999999</v>
      </c>
      <c r="V1018">
        <f>SUM(W1018:X1018)+(Y1018*0.8)+(Z1018*0.4)</f>
        <v>7.11</v>
      </c>
      <c r="W1018">
        <v>7.11</v>
      </c>
      <c r="X1018">
        <v>0</v>
      </c>
      <c r="Y1018">
        <v>0</v>
      </c>
      <c r="Z1018">
        <v>0</v>
      </c>
      <c r="AA1018" t="s">
        <v>43</v>
      </c>
      <c r="AB1018">
        <v>6.41</v>
      </c>
      <c r="AD1018" t="s">
        <v>10578</v>
      </c>
      <c r="AE1018" t="s">
        <v>10579</v>
      </c>
    </row>
    <row r="1019" spans="1:31" x14ac:dyDescent="0.25">
      <c r="A1019" t="s">
        <v>31</v>
      </c>
      <c r="C1019" t="s">
        <v>10357</v>
      </c>
      <c r="D1019" t="s">
        <v>10358</v>
      </c>
      <c r="E1019" t="s">
        <v>34</v>
      </c>
      <c r="F1019" t="s">
        <v>35</v>
      </c>
      <c r="G1019">
        <v>2026</v>
      </c>
      <c r="H1019" t="s">
        <v>36</v>
      </c>
      <c r="I1019" t="s">
        <v>10359</v>
      </c>
      <c r="J1019" t="s">
        <v>31</v>
      </c>
      <c r="K1019" t="s">
        <v>38</v>
      </c>
      <c r="L1019" t="s">
        <v>68</v>
      </c>
      <c r="M1019" t="s">
        <v>69</v>
      </c>
      <c r="N1019" t="s">
        <v>5671</v>
      </c>
      <c r="T1019">
        <v>30.633663724000002</v>
      </c>
      <c r="U1019">
        <v>-96.486362349999993</v>
      </c>
      <c r="V1019">
        <f>SUM(W1019:X1019)+(Y1019*0.8)+(Z1019*0.4)</f>
        <v>7</v>
      </c>
      <c r="W1019">
        <v>0</v>
      </c>
      <c r="X1019">
        <v>7</v>
      </c>
      <c r="Y1019">
        <v>0</v>
      </c>
      <c r="Z1019">
        <v>0</v>
      </c>
      <c r="AA1019" t="s">
        <v>43</v>
      </c>
      <c r="AB1019">
        <v>7</v>
      </c>
      <c r="AD1019" t="s">
        <v>10360</v>
      </c>
      <c r="AE1019" t="s">
        <v>10361</v>
      </c>
    </row>
    <row r="1020" spans="1:31" x14ac:dyDescent="0.25">
      <c r="A1020" t="s">
        <v>31</v>
      </c>
      <c r="C1020" t="s">
        <v>2818</v>
      </c>
      <c r="D1020" t="s">
        <v>2831</v>
      </c>
      <c r="E1020" t="s">
        <v>34</v>
      </c>
      <c r="F1020" t="s">
        <v>35</v>
      </c>
      <c r="G1020">
        <v>2024</v>
      </c>
      <c r="H1020" t="s">
        <v>36</v>
      </c>
      <c r="I1020" t="s">
        <v>2832</v>
      </c>
      <c r="J1020" t="s">
        <v>31</v>
      </c>
      <c r="K1020" t="s">
        <v>38</v>
      </c>
      <c r="L1020" t="s">
        <v>172</v>
      </c>
      <c r="M1020" t="s">
        <v>173</v>
      </c>
      <c r="N1020" t="s">
        <v>780</v>
      </c>
      <c r="O1020" t="s">
        <v>781</v>
      </c>
      <c r="P1020" t="s">
        <v>2833</v>
      </c>
      <c r="T1020">
        <v>37.377302763000003</v>
      </c>
      <c r="U1020">
        <v>-121.95305581300001</v>
      </c>
      <c r="V1020">
        <f>SUM(W1020:X1020)+(Y1020*0.8)+(Z1020*0.4)</f>
        <v>7</v>
      </c>
      <c r="W1020">
        <v>7</v>
      </c>
      <c r="X1020">
        <v>0</v>
      </c>
      <c r="Y1020">
        <v>0</v>
      </c>
      <c r="Z1020">
        <v>0</v>
      </c>
      <c r="AA1020" t="s">
        <v>43</v>
      </c>
      <c r="AB1020">
        <v>7</v>
      </c>
      <c r="AC1020">
        <v>1.1000000000000001</v>
      </c>
      <c r="AD1020" t="s">
        <v>2834</v>
      </c>
      <c r="AE1020" t="s">
        <v>2835</v>
      </c>
    </row>
    <row r="1021" spans="1:31" x14ac:dyDescent="0.25">
      <c r="A1021" t="s">
        <v>31</v>
      </c>
      <c r="C1021" t="s">
        <v>4801</v>
      </c>
      <c r="D1021" t="s">
        <v>4839</v>
      </c>
      <c r="E1021" t="s">
        <v>34</v>
      </c>
      <c r="F1021" t="s">
        <v>35</v>
      </c>
      <c r="G1021">
        <v>2022</v>
      </c>
      <c r="H1021" t="s">
        <v>36</v>
      </c>
      <c r="I1021" t="s">
        <v>4840</v>
      </c>
      <c r="J1021" t="s">
        <v>31</v>
      </c>
      <c r="K1021" t="s">
        <v>38</v>
      </c>
      <c r="L1021" t="s">
        <v>86</v>
      </c>
      <c r="M1021" t="s">
        <v>87</v>
      </c>
      <c r="N1021" t="s">
        <v>88</v>
      </c>
      <c r="O1021" t="s">
        <v>554</v>
      </c>
      <c r="P1021" t="s">
        <v>2216</v>
      </c>
      <c r="T1021">
        <v>42.001439621999999</v>
      </c>
      <c r="U1021">
        <v>-87.952617248999999</v>
      </c>
      <c r="V1021">
        <f>SUM(W1021:X1021)+(Y1021*0.8)+(Z1021*0.4)</f>
        <v>7</v>
      </c>
      <c r="W1021">
        <v>7</v>
      </c>
      <c r="X1021">
        <v>0</v>
      </c>
      <c r="Y1021">
        <v>0</v>
      </c>
      <c r="Z1021">
        <v>0</v>
      </c>
      <c r="AA1021" t="s">
        <v>43</v>
      </c>
      <c r="AB1021">
        <v>4.4000000000000004</v>
      </c>
      <c r="AD1021" t="s">
        <v>4841</v>
      </c>
      <c r="AE1021" t="s">
        <v>4842</v>
      </c>
    </row>
    <row r="1022" spans="1:31" x14ac:dyDescent="0.25">
      <c r="A1022" t="s">
        <v>31</v>
      </c>
      <c r="C1022" t="s">
        <v>6381</v>
      </c>
      <c r="D1022" t="s">
        <v>6470</v>
      </c>
      <c r="E1022" t="s">
        <v>34</v>
      </c>
      <c r="F1022" t="s">
        <v>35</v>
      </c>
      <c r="G1022">
        <v>2018</v>
      </c>
      <c r="H1022" t="s">
        <v>36</v>
      </c>
      <c r="I1022" t="s">
        <v>6471</v>
      </c>
      <c r="J1022" t="s">
        <v>31</v>
      </c>
      <c r="K1022" t="s">
        <v>38</v>
      </c>
      <c r="L1022" t="s">
        <v>68</v>
      </c>
      <c r="M1022" t="s">
        <v>69</v>
      </c>
      <c r="N1022" t="s">
        <v>712</v>
      </c>
      <c r="O1022" t="s">
        <v>713</v>
      </c>
      <c r="P1022" t="s">
        <v>6472</v>
      </c>
      <c r="S1022" t="s">
        <v>6473</v>
      </c>
      <c r="T1022">
        <v>29.429535109</v>
      </c>
      <c r="U1022">
        <v>-98.486856775999996</v>
      </c>
      <c r="V1022">
        <f>SUM(W1022:X1022)+(Y1022*0.8)+(Z1022*0.4)</f>
        <v>7</v>
      </c>
      <c r="W1022">
        <v>7</v>
      </c>
      <c r="X1022">
        <v>0</v>
      </c>
      <c r="Y1022">
        <v>0</v>
      </c>
      <c r="Z1022">
        <v>0</v>
      </c>
      <c r="AA1022" t="s">
        <v>43</v>
      </c>
      <c r="AB1022">
        <v>5.2</v>
      </c>
      <c r="AD1022" t="s">
        <v>6474</v>
      </c>
      <c r="AE1022" t="s">
        <v>6475</v>
      </c>
    </row>
    <row r="1023" spans="1:31" x14ac:dyDescent="0.25">
      <c r="A1023" t="s">
        <v>31</v>
      </c>
      <c r="C1023" t="s">
        <v>2052</v>
      </c>
      <c r="D1023" t="s">
        <v>2053</v>
      </c>
      <c r="E1023" t="s">
        <v>34</v>
      </c>
      <c r="F1023" t="s">
        <v>35</v>
      </c>
      <c r="G1023">
        <v>2010</v>
      </c>
      <c r="H1023" t="s">
        <v>36</v>
      </c>
      <c r="I1023" t="s">
        <v>2054</v>
      </c>
      <c r="J1023" t="s">
        <v>31</v>
      </c>
      <c r="K1023" t="s">
        <v>38</v>
      </c>
      <c r="L1023" t="s">
        <v>843</v>
      </c>
      <c r="M1023" t="s">
        <v>1644</v>
      </c>
      <c r="N1023" t="s">
        <v>2055</v>
      </c>
      <c r="O1023" t="s">
        <v>2056</v>
      </c>
      <c r="P1023" t="s">
        <v>2057</v>
      </c>
      <c r="T1023">
        <v>47.160784999999997</v>
      </c>
      <c r="U1023">
        <v>-122.279262</v>
      </c>
      <c r="V1023">
        <f>SUM(W1023:X1023)+(Y1023*0.8)+(Z1023*0.4)</f>
        <v>7</v>
      </c>
      <c r="W1023">
        <v>7</v>
      </c>
      <c r="X1023">
        <v>0</v>
      </c>
      <c r="Y1023">
        <v>0</v>
      </c>
      <c r="Z1023">
        <v>0</v>
      </c>
      <c r="AA1023" t="s">
        <v>43</v>
      </c>
      <c r="AB1023">
        <v>7</v>
      </c>
      <c r="AD1023" t="s">
        <v>2058</v>
      </c>
      <c r="AE1023" t="s">
        <v>2059</v>
      </c>
    </row>
    <row r="1024" spans="1:31" x14ac:dyDescent="0.25">
      <c r="A1024" t="s">
        <v>31</v>
      </c>
      <c r="C1024" t="s">
        <v>11107</v>
      </c>
      <c r="D1024" t="s">
        <v>11108</v>
      </c>
      <c r="E1024" t="s">
        <v>362</v>
      </c>
      <c r="F1024" t="s">
        <v>630</v>
      </c>
      <c r="G1024">
        <v>2009</v>
      </c>
      <c r="H1024" t="s">
        <v>36</v>
      </c>
      <c r="I1024" t="s">
        <v>11109</v>
      </c>
      <c r="J1024" t="s">
        <v>31</v>
      </c>
      <c r="K1024" t="s">
        <v>38</v>
      </c>
      <c r="L1024" t="s">
        <v>242</v>
      </c>
      <c r="M1024" t="s">
        <v>243</v>
      </c>
      <c r="N1024" t="s">
        <v>405</v>
      </c>
      <c r="O1024" t="s">
        <v>516</v>
      </c>
      <c r="P1024" t="s">
        <v>517</v>
      </c>
      <c r="T1024">
        <v>39.050370952999998</v>
      </c>
      <c r="U1024">
        <v>-77.445642542000002</v>
      </c>
      <c r="V1024">
        <f>SUM(W1024:X1024)+(Y1024*0.8)+(Z1024*0.4)</f>
        <v>7</v>
      </c>
      <c r="W1024">
        <v>7</v>
      </c>
      <c r="X1024">
        <v>0</v>
      </c>
      <c r="Y1024">
        <v>0</v>
      </c>
      <c r="Z1024">
        <v>0</v>
      </c>
      <c r="AA1024" t="s">
        <v>43</v>
      </c>
      <c r="AB1024">
        <v>7</v>
      </c>
      <c r="AD1024" t="s">
        <v>11110</v>
      </c>
      <c r="AE1024" t="s">
        <v>11111</v>
      </c>
    </row>
    <row r="1025" spans="1:31" x14ac:dyDescent="0.25">
      <c r="A1025" t="s">
        <v>31</v>
      </c>
      <c r="C1025" t="s">
        <v>3710</v>
      </c>
      <c r="D1025" t="s">
        <v>3840</v>
      </c>
      <c r="E1025" t="s">
        <v>34</v>
      </c>
      <c r="F1025" t="s">
        <v>35</v>
      </c>
      <c r="G1025">
        <v>2009</v>
      </c>
      <c r="H1025" t="s">
        <v>36</v>
      </c>
      <c r="I1025" t="s">
        <v>3841</v>
      </c>
      <c r="J1025" t="s">
        <v>31</v>
      </c>
      <c r="K1025" t="s">
        <v>38</v>
      </c>
      <c r="L1025" t="s">
        <v>68</v>
      </c>
      <c r="M1025" t="s">
        <v>69</v>
      </c>
      <c r="N1025" t="s">
        <v>297</v>
      </c>
      <c r="O1025" t="s">
        <v>2116</v>
      </c>
      <c r="P1025" t="s">
        <v>3842</v>
      </c>
      <c r="Q1025" t="s">
        <v>3843</v>
      </c>
      <c r="S1025" t="s">
        <v>3844</v>
      </c>
      <c r="T1025">
        <v>32.778343522</v>
      </c>
      <c r="U1025">
        <v>-96.798681482999996</v>
      </c>
      <c r="V1025">
        <f>SUM(W1025:X1025)+(Y1025*0.8)+(Z1025*0.4)</f>
        <v>7</v>
      </c>
      <c r="W1025">
        <v>7</v>
      </c>
      <c r="X1025">
        <v>0</v>
      </c>
      <c r="Y1025">
        <v>0</v>
      </c>
      <c r="Z1025">
        <v>0</v>
      </c>
      <c r="AA1025" t="s">
        <v>43</v>
      </c>
      <c r="AB1025">
        <v>6</v>
      </c>
      <c r="AD1025" t="s">
        <v>3845</v>
      </c>
      <c r="AE1025" t="s">
        <v>3846</v>
      </c>
    </row>
    <row r="1026" spans="1:31" x14ac:dyDescent="0.25">
      <c r="A1026" t="s">
        <v>31</v>
      </c>
      <c r="C1026" t="s">
        <v>6627</v>
      </c>
      <c r="D1026" t="s">
        <v>6635</v>
      </c>
      <c r="E1026" t="s">
        <v>34</v>
      </c>
      <c r="F1026" t="s">
        <v>35</v>
      </c>
      <c r="G1026">
        <v>2008</v>
      </c>
      <c r="H1026" t="s">
        <v>36</v>
      </c>
      <c r="I1026" t="s">
        <v>6636</v>
      </c>
      <c r="J1026" t="s">
        <v>31</v>
      </c>
      <c r="K1026" t="s">
        <v>38</v>
      </c>
      <c r="L1026" t="s">
        <v>172</v>
      </c>
      <c r="M1026" t="s">
        <v>173</v>
      </c>
      <c r="N1026" t="s">
        <v>2596</v>
      </c>
      <c r="O1026" t="s">
        <v>6630</v>
      </c>
      <c r="P1026" t="s">
        <v>6631</v>
      </c>
      <c r="Q1026" t="s">
        <v>6637</v>
      </c>
      <c r="T1026">
        <v>37.472009481000001</v>
      </c>
      <c r="U1026">
        <v>-121.920142789</v>
      </c>
      <c r="V1026">
        <f>SUM(W1026:X1026)+(Y1026*0.8)+(Z1026*0.4)</f>
        <v>7</v>
      </c>
      <c r="W1026">
        <v>7</v>
      </c>
      <c r="X1026">
        <v>0</v>
      </c>
      <c r="Y1026">
        <v>0</v>
      </c>
      <c r="Z1026">
        <v>0</v>
      </c>
      <c r="AA1026" t="s">
        <v>43</v>
      </c>
      <c r="AB1026">
        <v>6.68</v>
      </c>
      <c r="AD1026" t="s">
        <v>6638</v>
      </c>
      <c r="AE1026" t="s">
        <v>6639</v>
      </c>
    </row>
    <row r="1027" spans="1:31" x14ac:dyDescent="0.25">
      <c r="A1027" t="s">
        <v>31</v>
      </c>
      <c r="C1027" t="s">
        <v>9202</v>
      </c>
      <c r="D1027" t="s">
        <v>9359</v>
      </c>
      <c r="E1027" t="s">
        <v>34</v>
      </c>
      <c r="F1027" t="s">
        <v>35</v>
      </c>
      <c r="G1027">
        <v>2007</v>
      </c>
      <c r="H1027" t="s">
        <v>36</v>
      </c>
      <c r="I1027" t="s">
        <v>9360</v>
      </c>
      <c r="J1027" t="s">
        <v>31</v>
      </c>
      <c r="K1027" t="s">
        <v>38</v>
      </c>
      <c r="L1027" t="s">
        <v>172</v>
      </c>
      <c r="M1027" t="s">
        <v>173</v>
      </c>
      <c r="N1027" t="s">
        <v>780</v>
      </c>
      <c r="O1027" t="s">
        <v>781</v>
      </c>
      <c r="P1027" t="s">
        <v>9361</v>
      </c>
      <c r="T1027">
        <v>37.394046000000003</v>
      </c>
      <c r="U1027">
        <v>-121.978247</v>
      </c>
      <c r="V1027">
        <f>SUM(W1027:X1027)+(Y1027*0.8)+(Z1027*0.4)</f>
        <v>7</v>
      </c>
      <c r="W1027">
        <v>7</v>
      </c>
      <c r="X1027">
        <v>0</v>
      </c>
      <c r="Y1027">
        <v>0</v>
      </c>
      <c r="Z1027">
        <v>0</v>
      </c>
      <c r="AA1027" t="s">
        <v>43</v>
      </c>
      <c r="AB1027">
        <v>7</v>
      </c>
      <c r="AD1027" t="s">
        <v>9362</v>
      </c>
      <c r="AE1027" t="s">
        <v>9363</v>
      </c>
    </row>
    <row r="1028" spans="1:31" x14ac:dyDescent="0.25">
      <c r="A1028" t="s">
        <v>31</v>
      </c>
      <c r="C1028" t="s">
        <v>5181</v>
      </c>
      <c r="D1028" t="s">
        <v>5312</v>
      </c>
      <c r="E1028" t="s">
        <v>34</v>
      </c>
      <c r="F1028" t="s">
        <v>35</v>
      </c>
      <c r="G1028">
        <v>2007</v>
      </c>
      <c r="H1028" t="s">
        <v>36</v>
      </c>
      <c r="I1028" t="s">
        <v>5313</v>
      </c>
      <c r="J1028" t="s">
        <v>31</v>
      </c>
      <c r="K1028" t="s">
        <v>38</v>
      </c>
      <c r="L1028" t="s">
        <v>242</v>
      </c>
      <c r="M1028" t="s">
        <v>243</v>
      </c>
      <c r="N1028" t="s">
        <v>405</v>
      </c>
      <c r="O1028" t="s">
        <v>516</v>
      </c>
      <c r="P1028" t="s">
        <v>853</v>
      </c>
      <c r="T1028">
        <v>39.016658999999997</v>
      </c>
      <c r="U1028">
        <v>-77.461571000000006</v>
      </c>
      <c r="V1028">
        <f>SUM(W1028:X1028)+(Y1028*0.8)+(Z1028*0.4)</f>
        <v>7</v>
      </c>
      <c r="W1028">
        <v>7</v>
      </c>
      <c r="X1028">
        <v>0</v>
      </c>
      <c r="Y1028">
        <v>0</v>
      </c>
      <c r="Z1028">
        <v>0</v>
      </c>
      <c r="AA1028" t="s">
        <v>43</v>
      </c>
      <c r="AB1028">
        <v>6.8</v>
      </c>
      <c r="AD1028" t="s">
        <v>5314</v>
      </c>
      <c r="AE1028" t="s">
        <v>5315</v>
      </c>
    </row>
    <row r="1029" spans="1:31" x14ac:dyDescent="0.25">
      <c r="A1029" t="s">
        <v>31</v>
      </c>
      <c r="C1029" t="s">
        <v>5181</v>
      </c>
      <c r="D1029" t="s">
        <v>5316</v>
      </c>
      <c r="E1029" t="s">
        <v>34</v>
      </c>
      <c r="F1029" t="s">
        <v>35</v>
      </c>
      <c r="G1029">
        <v>2007</v>
      </c>
      <c r="H1029" t="s">
        <v>36</v>
      </c>
      <c r="I1029" t="s">
        <v>5317</v>
      </c>
      <c r="J1029" t="s">
        <v>31</v>
      </c>
      <c r="K1029" t="s">
        <v>38</v>
      </c>
      <c r="L1029" t="s">
        <v>242</v>
      </c>
      <c r="M1029" t="s">
        <v>243</v>
      </c>
      <c r="N1029" t="s">
        <v>405</v>
      </c>
      <c r="O1029" t="s">
        <v>516</v>
      </c>
      <c r="P1029" t="s">
        <v>853</v>
      </c>
      <c r="T1029">
        <v>39.015951000000001</v>
      </c>
      <c r="U1029">
        <v>-77.461336000000003</v>
      </c>
      <c r="V1029">
        <f>SUM(W1029:X1029)+(Y1029*0.8)+(Z1029*0.4)</f>
        <v>7</v>
      </c>
      <c r="W1029">
        <v>7</v>
      </c>
      <c r="X1029">
        <v>0</v>
      </c>
      <c r="Y1029">
        <v>0</v>
      </c>
      <c r="Z1029">
        <v>0</v>
      </c>
      <c r="AA1029" t="s">
        <v>43</v>
      </c>
      <c r="AB1029">
        <v>6.9</v>
      </c>
      <c r="AD1029" t="s">
        <v>5318</v>
      </c>
      <c r="AE1029" t="s">
        <v>5319</v>
      </c>
    </row>
    <row r="1030" spans="1:31" x14ac:dyDescent="0.25">
      <c r="A1030" t="s">
        <v>31</v>
      </c>
      <c r="C1030" t="s">
        <v>5181</v>
      </c>
      <c r="D1030" t="s">
        <v>1411</v>
      </c>
      <c r="E1030" t="s">
        <v>34</v>
      </c>
      <c r="F1030" t="s">
        <v>35</v>
      </c>
      <c r="G1030">
        <v>2000</v>
      </c>
      <c r="H1030" t="s">
        <v>36</v>
      </c>
      <c r="I1030" t="s">
        <v>5297</v>
      </c>
      <c r="J1030" t="s">
        <v>31</v>
      </c>
      <c r="K1030" t="s">
        <v>38</v>
      </c>
      <c r="L1030" t="s">
        <v>242</v>
      </c>
      <c r="M1030" t="s">
        <v>243</v>
      </c>
      <c r="N1030" t="s">
        <v>405</v>
      </c>
      <c r="O1030" t="s">
        <v>516</v>
      </c>
      <c r="P1030" t="s">
        <v>517</v>
      </c>
      <c r="T1030">
        <v>39.016354</v>
      </c>
      <c r="U1030">
        <v>-77.459045000000003</v>
      </c>
      <c r="V1030">
        <f>SUM(W1030:X1030)+(Y1030*0.8)+(Z1030*0.4)</f>
        <v>7</v>
      </c>
      <c r="W1030">
        <v>6</v>
      </c>
      <c r="X1030">
        <v>1</v>
      </c>
      <c r="Y1030">
        <v>0</v>
      </c>
      <c r="Z1030">
        <v>0</v>
      </c>
      <c r="AA1030" t="s">
        <v>43</v>
      </c>
      <c r="AB1030">
        <v>6.5</v>
      </c>
      <c r="AD1030" t="s">
        <v>5298</v>
      </c>
      <c r="AE1030" t="s">
        <v>5299</v>
      </c>
    </row>
    <row r="1031" spans="1:31" x14ac:dyDescent="0.25">
      <c r="A1031" t="s">
        <v>31</v>
      </c>
      <c r="C1031" t="s">
        <v>5181</v>
      </c>
      <c r="D1031" t="s">
        <v>5308</v>
      </c>
      <c r="E1031" t="s">
        <v>34</v>
      </c>
      <c r="F1031" t="s">
        <v>35</v>
      </c>
      <c r="G1031">
        <v>2000</v>
      </c>
      <c r="H1031" t="s">
        <v>36</v>
      </c>
      <c r="I1031" t="s">
        <v>5309</v>
      </c>
      <c r="J1031" t="s">
        <v>31</v>
      </c>
      <c r="K1031" t="s">
        <v>38</v>
      </c>
      <c r="L1031" t="s">
        <v>242</v>
      </c>
      <c r="M1031" t="s">
        <v>243</v>
      </c>
      <c r="N1031" t="s">
        <v>405</v>
      </c>
      <c r="O1031" t="s">
        <v>516</v>
      </c>
      <c r="P1031" t="s">
        <v>517</v>
      </c>
      <c r="T1031">
        <v>39.022019</v>
      </c>
      <c r="U1031">
        <v>-77.461005</v>
      </c>
      <c r="V1031">
        <f>SUM(W1031:X1031)+(Y1031*0.8)+(Z1031*0.4)</f>
        <v>7</v>
      </c>
      <c r="W1031">
        <v>7</v>
      </c>
      <c r="X1031">
        <v>0</v>
      </c>
      <c r="Y1031">
        <v>0</v>
      </c>
      <c r="Z1031">
        <v>0</v>
      </c>
      <c r="AA1031" t="s">
        <v>43</v>
      </c>
      <c r="AB1031">
        <v>6.8</v>
      </c>
      <c r="AD1031" t="s">
        <v>5310</v>
      </c>
      <c r="AE1031" t="s">
        <v>5311</v>
      </c>
    </row>
    <row r="1032" spans="1:31" x14ac:dyDescent="0.25">
      <c r="A1032" t="s">
        <v>31</v>
      </c>
      <c r="C1032" t="s">
        <v>3849</v>
      </c>
      <c r="D1032" t="s">
        <v>4495</v>
      </c>
      <c r="E1032" t="s">
        <v>34</v>
      </c>
      <c r="F1032" t="s">
        <v>66</v>
      </c>
      <c r="G1032">
        <v>2013</v>
      </c>
      <c r="H1032" t="s">
        <v>36</v>
      </c>
      <c r="I1032" t="s">
        <v>4496</v>
      </c>
      <c r="J1032" t="s">
        <v>31</v>
      </c>
      <c r="K1032" t="s">
        <v>38</v>
      </c>
      <c r="L1032" t="s">
        <v>68</v>
      </c>
      <c r="M1032" t="s">
        <v>69</v>
      </c>
      <c r="N1032" t="s">
        <v>297</v>
      </c>
      <c r="O1032" t="s">
        <v>295</v>
      </c>
      <c r="P1032" t="s">
        <v>298</v>
      </c>
      <c r="T1032">
        <v>32.967233999999998</v>
      </c>
      <c r="U1032">
        <v>-96.714006999999995</v>
      </c>
      <c r="V1032">
        <f>SUM(W1032:X1032)+(Y1032*0.8)+(Z1032*0.4)</f>
        <v>6.9</v>
      </c>
      <c r="W1032">
        <v>6.9</v>
      </c>
      <c r="X1032">
        <v>0</v>
      </c>
      <c r="Y1032">
        <v>0</v>
      </c>
      <c r="Z1032">
        <v>0</v>
      </c>
      <c r="AA1032" t="s">
        <v>43</v>
      </c>
      <c r="AB1032">
        <v>6.9</v>
      </c>
      <c r="AC1032">
        <v>1.3</v>
      </c>
      <c r="AD1032" t="s">
        <v>4497</v>
      </c>
      <c r="AE1032" t="s">
        <v>4498</v>
      </c>
    </row>
    <row r="1033" spans="1:31" x14ac:dyDescent="0.25">
      <c r="A1033" t="s">
        <v>31</v>
      </c>
      <c r="C1033" t="s">
        <v>3849</v>
      </c>
      <c r="D1033" t="s">
        <v>1024</v>
      </c>
      <c r="E1033" t="s">
        <v>34</v>
      </c>
      <c r="F1033" t="s">
        <v>66</v>
      </c>
      <c r="G1033">
        <v>2011</v>
      </c>
      <c r="H1033" t="s">
        <v>36</v>
      </c>
      <c r="I1033" t="s">
        <v>4535</v>
      </c>
      <c r="J1033" t="s">
        <v>31</v>
      </c>
      <c r="K1033" t="s">
        <v>38</v>
      </c>
      <c r="L1033" t="s">
        <v>242</v>
      </c>
      <c r="M1033" t="s">
        <v>243</v>
      </c>
      <c r="N1033" t="s">
        <v>405</v>
      </c>
      <c r="O1033" t="s">
        <v>516</v>
      </c>
      <c r="P1033" t="s">
        <v>517</v>
      </c>
      <c r="Q1033" t="s">
        <v>1021</v>
      </c>
      <c r="T1033">
        <v>39.003309764000001</v>
      </c>
      <c r="U1033">
        <v>-77.487314721999994</v>
      </c>
      <c r="V1033">
        <f>SUM(W1033:X1033)+(Y1033*0.8)+(Z1033*0.4)</f>
        <v>6.9</v>
      </c>
      <c r="W1033">
        <v>6.9</v>
      </c>
      <c r="X1033">
        <v>0</v>
      </c>
      <c r="Y1033">
        <v>0</v>
      </c>
      <c r="Z1033">
        <v>0</v>
      </c>
      <c r="AA1033" t="s">
        <v>43</v>
      </c>
      <c r="AB1033">
        <v>6.4</v>
      </c>
      <c r="AD1033" t="s">
        <v>4536</v>
      </c>
      <c r="AE1033" t="s">
        <v>4537</v>
      </c>
    </row>
    <row r="1034" spans="1:31" x14ac:dyDescent="0.25">
      <c r="A1034" t="s">
        <v>31</v>
      </c>
      <c r="C1034" t="s">
        <v>3551</v>
      </c>
      <c r="D1034" t="s">
        <v>3569</v>
      </c>
      <c r="E1034" t="s">
        <v>34</v>
      </c>
      <c r="F1034" t="s">
        <v>35</v>
      </c>
      <c r="G1034">
        <v>2003</v>
      </c>
      <c r="H1034" t="s">
        <v>36</v>
      </c>
      <c r="I1034" t="s">
        <v>3570</v>
      </c>
      <c r="J1034" t="s">
        <v>31</v>
      </c>
      <c r="K1034" t="s">
        <v>38</v>
      </c>
      <c r="L1034" t="s">
        <v>317</v>
      </c>
      <c r="M1034" t="s">
        <v>318</v>
      </c>
      <c r="N1034" t="s">
        <v>2036</v>
      </c>
      <c r="O1034" t="s">
        <v>3344</v>
      </c>
      <c r="P1034" t="s">
        <v>3345</v>
      </c>
      <c r="Q1034" t="s">
        <v>3571</v>
      </c>
      <c r="S1034" t="s">
        <v>3086</v>
      </c>
      <c r="T1034">
        <v>39.098242941000002</v>
      </c>
      <c r="U1034">
        <v>-84.517579923</v>
      </c>
      <c r="V1034">
        <f>SUM(W1034:X1034)+(Y1034*0.8)+(Z1034*0.4)</f>
        <v>6.85</v>
      </c>
      <c r="W1034">
        <v>0.6</v>
      </c>
      <c r="X1034">
        <v>6.25</v>
      </c>
      <c r="Y1034">
        <v>0</v>
      </c>
      <c r="Z1034">
        <v>0</v>
      </c>
      <c r="AA1034" t="s">
        <v>43</v>
      </c>
      <c r="AB1034">
        <v>0.3</v>
      </c>
      <c r="AC1034">
        <v>1.5</v>
      </c>
      <c r="AD1034" t="s">
        <v>3572</v>
      </c>
      <c r="AE1034" t="s">
        <v>3573</v>
      </c>
    </row>
    <row r="1035" spans="1:31" x14ac:dyDescent="0.25">
      <c r="A1035" t="s">
        <v>31</v>
      </c>
      <c r="B1035" t="s">
        <v>11350</v>
      </c>
      <c r="C1035" t="s">
        <v>647</v>
      </c>
      <c r="D1035" t="s">
        <v>892</v>
      </c>
      <c r="E1035" t="s">
        <v>362</v>
      </c>
      <c r="F1035" t="s">
        <v>649</v>
      </c>
      <c r="G1035">
        <v>2024</v>
      </c>
      <c r="H1035" t="s">
        <v>36</v>
      </c>
      <c r="I1035" t="s">
        <v>893</v>
      </c>
      <c r="J1035" t="s">
        <v>31</v>
      </c>
      <c r="K1035" t="s">
        <v>38</v>
      </c>
      <c r="L1035" t="s">
        <v>143</v>
      </c>
      <c r="M1035" t="s">
        <v>144</v>
      </c>
      <c r="N1035" t="s">
        <v>894</v>
      </c>
      <c r="O1035" t="s">
        <v>895</v>
      </c>
      <c r="P1035" t="s">
        <v>896</v>
      </c>
      <c r="Q1035" t="s">
        <v>897</v>
      </c>
      <c r="T1035">
        <v>41.609739527000002</v>
      </c>
      <c r="U1035">
        <v>-87.169721054999997</v>
      </c>
      <c r="V1035">
        <f>SUM(W1035:X1035)+(Y1035*0.8)+(Z1035*0.4)</f>
        <v>6.8</v>
      </c>
      <c r="W1035">
        <v>6.8</v>
      </c>
      <c r="X1035">
        <v>0</v>
      </c>
      <c r="Y1035">
        <v>0</v>
      </c>
      <c r="Z1035">
        <v>0</v>
      </c>
      <c r="AA1035" t="s">
        <v>43</v>
      </c>
      <c r="AB1035">
        <v>6.8</v>
      </c>
      <c r="AD1035" t="s">
        <v>898</v>
      </c>
      <c r="AE1035" t="s">
        <v>899</v>
      </c>
    </row>
    <row r="1036" spans="1:31" x14ac:dyDescent="0.25">
      <c r="A1036" t="s">
        <v>31</v>
      </c>
      <c r="C1036" t="s">
        <v>5181</v>
      </c>
      <c r="D1036" t="s">
        <v>5222</v>
      </c>
      <c r="E1036" t="s">
        <v>34</v>
      </c>
      <c r="F1036" t="s">
        <v>35</v>
      </c>
      <c r="G1036">
        <v>2015</v>
      </c>
      <c r="H1036" t="s">
        <v>36</v>
      </c>
      <c r="I1036" t="s">
        <v>5223</v>
      </c>
      <c r="J1036" t="s">
        <v>31</v>
      </c>
      <c r="K1036" t="s">
        <v>38</v>
      </c>
      <c r="L1036" t="s">
        <v>242</v>
      </c>
      <c r="M1036" t="s">
        <v>243</v>
      </c>
      <c r="N1036" t="s">
        <v>748</v>
      </c>
      <c r="O1036" t="s">
        <v>3220</v>
      </c>
      <c r="P1036" t="s">
        <v>2551</v>
      </c>
      <c r="T1036">
        <v>38.454036600999999</v>
      </c>
      <c r="U1036">
        <v>-77.978732597999993</v>
      </c>
      <c r="V1036">
        <f>SUM(W1036:X1036)+(Y1036*0.8)+(Z1036*0.4)</f>
        <v>6.8</v>
      </c>
      <c r="W1036">
        <v>6.8</v>
      </c>
      <c r="X1036">
        <v>0</v>
      </c>
      <c r="Y1036">
        <v>0</v>
      </c>
      <c r="Z1036">
        <v>0</v>
      </c>
      <c r="AA1036" t="s">
        <v>43</v>
      </c>
      <c r="AB1036">
        <v>4.5999999999999996</v>
      </c>
      <c r="AC1036">
        <v>1.3</v>
      </c>
      <c r="AD1036" t="s">
        <v>5224</v>
      </c>
      <c r="AE1036" t="s">
        <v>5225</v>
      </c>
    </row>
    <row r="1037" spans="1:31" x14ac:dyDescent="0.25">
      <c r="A1037" t="s">
        <v>31</v>
      </c>
      <c r="C1037" t="s">
        <v>3849</v>
      </c>
      <c r="D1037" t="s">
        <v>4595</v>
      </c>
      <c r="E1037" t="s">
        <v>34</v>
      </c>
      <c r="F1037" t="s">
        <v>66</v>
      </c>
      <c r="G1037">
        <v>2013</v>
      </c>
      <c r="H1037" t="s">
        <v>36</v>
      </c>
      <c r="I1037" t="s">
        <v>4596</v>
      </c>
      <c r="J1037" t="s">
        <v>31</v>
      </c>
      <c r="K1037" t="s">
        <v>38</v>
      </c>
      <c r="L1037" t="s">
        <v>86</v>
      </c>
      <c r="M1037" t="s">
        <v>87</v>
      </c>
      <c r="N1037" t="s">
        <v>88</v>
      </c>
      <c r="O1037" t="s">
        <v>4283</v>
      </c>
      <c r="P1037" t="s">
        <v>4284</v>
      </c>
      <c r="Q1037" t="s">
        <v>579</v>
      </c>
      <c r="T1037">
        <v>41.926858271999997</v>
      </c>
      <c r="U1037">
        <v>-87.858635003000003</v>
      </c>
      <c r="V1037">
        <f>SUM(W1037:X1037)+(Y1037*0.8)+(Z1037*0.4)</f>
        <v>6.8</v>
      </c>
      <c r="W1037">
        <v>6.8</v>
      </c>
      <c r="X1037">
        <v>0</v>
      </c>
      <c r="Y1037">
        <v>0</v>
      </c>
      <c r="Z1037">
        <v>0</v>
      </c>
      <c r="AA1037" t="s">
        <v>43</v>
      </c>
      <c r="AB1037">
        <v>6.45</v>
      </c>
      <c r="AD1037" t="s">
        <v>4597</v>
      </c>
      <c r="AE1037" t="s">
        <v>4598</v>
      </c>
    </row>
    <row r="1038" spans="1:31" x14ac:dyDescent="0.25">
      <c r="A1038" t="s">
        <v>31</v>
      </c>
      <c r="C1038" t="s">
        <v>3849</v>
      </c>
      <c r="D1038" t="s">
        <v>4581</v>
      </c>
      <c r="E1038" t="s">
        <v>34</v>
      </c>
      <c r="F1038" t="s">
        <v>66</v>
      </c>
      <c r="G1038">
        <v>1999</v>
      </c>
      <c r="H1038" t="s">
        <v>36</v>
      </c>
      <c r="I1038" t="s">
        <v>4582</v>
      </c>
      <c r="J1038" t="s">
        <v>31</v>
      </c>
      <c r="K1038" t="s">
        <v>38</v>
      </c>
      <c r="L1038" t="s">
        <v>202</v>
      </c>
      <c r="M1038" t="s">
        <v>203</v>
      </c>
      <c r="N1038" t="s">
        <v>397</v>
      </c>
      <c r="O1038" t="s">
        <v>3122</v>
      </c>
      <c r="P1038" t="s">
        <v>4583</v>
      </c>
      <c r="T1038">
        <v>25.775926999999999</v>
      </c>
      <c r="U1038">
        <v>-80.193124999999995</v>
      </c>
      <c r="V1038">
        <f>SUM(W1038:X1038)+(Y1038*0.8)+(Z1038*0.4)</f>
        <v>6.8</v>
      </c>
      <c r="W1038">
        <v>6.8</v>
      </c>
      <c r="X1038">
        <v>0</v>
      </c>
      <c r="Y1038">
        <v>0</v>
      </c>
      <c r="Z1038">
        <v>0</v>
      </c>
      <c r="AA1038" t="s">
        <v>43</v>
      </c>
      <c r="AB1038">
        <v>5.7</v>
      </c>
      <c r="AD1038" t="s">
        <v>4584</v>
      </c>
      <c r="AE1038" t="s">
        <v>4585</v>
      </c>
    </row>
    <row r="1039" spans="1:31" x14ac:dyDescent="0.25">
      <c r="A1039" t="s">
        <v>31</v>
      </c>
      <c r="C1039" t="s">
        <v>3667</v>
      </c>
      <c r="D1039" t="s">
        <v>3681</v>
      </c>
      <c r="E1039" t="s">
        <v>34</v>
      </c>
      <c r="F1039" t="s">
        <v>35</v>
      </c>
      <c r="G1039">
        <v>2015</v>
      </c>
      <c r="H1039" t="s">
        <v>36</v>
      </c>
      <c r="I1039" t="s">
        <v>3682</v>
      </c>
      <c r="J1039" t="s">
        <v>31</v>
      </c>
      <c r="K1039" t="s">
        <v>38</v>
      </c>
      <c r="L1039" t="s">
        <v>68</v>
      </c>
      <c r="M1039" t="s">
        <v>69</v>
      </c>
      <c r="N1039" t="s">
        <v>1951</v>
      </c>
      <c r="O1039" t="s">
        <v>1952</v>
      </c>
      <c r="P1039" t="s">
        <v>3683</v>
      </c>
      <c r="T1039">
        <v>29.945271174999998</v>
      </c>
      <c r="U1039">
        <v>-95.424292159000004</v>
      </c>
      <c r="V1039">
        <f>SUM(W1039:X1039)+(Y1039*0.8)+(Z1039*0.4)</f>
        <v>6.75</v>
      </c>
      <c r="W1039">
        <v>6.75</v>
      </c>
      <c r="X1039">
        <v>0</v>
      </c>
      <c r="Y1039">
        <v>0</v>
      </c>
      <c r="Z1039">
        <v>0</v>
      </c>
      <c r="AA1039" t="s">
        <v>43</v>
      </c>
      <c r="AB1039">
        <v>5.9</v>
      </c>
      <c r="AD1039" t="s">
        <v>3684</v>
      </c>
      <c r="AE1039" t="s">
        <v>3685</v>
      </c>
    </row>
    <row r="1040" spans="1:31" x14ac:dyDescent="0.25">
      <c r="A1040" t="s">
        <v>31</v>
      </c>
      <c r="C1040" t="s">
        <v>10037</v>
      </c>
      <c r="D1040" t="s">
        <v>10081</v>
      </c>
      <c r="E1040" t="s">
        <v>34</v>
      </c>
      <c r="F1040" t="s">
        <v>35</v>
      </c>
      <c r="G1040">
        <v>2014</v>
      </c>
      <c r="H1040" t="s">
        <v>36</v>
      </c>
      <c r="I1040" t="s">
        <v>10082</v>
      </c>
      <c r="J1040" t="s">
        <v>31</v>
      </c>
      <c r="K1040" t="s">
        <v>38</v>
      </c>
      <c r="L1040" t="s">
        <v>68</v>
      </c>
      <c r="M1040" t="s">
        <v>69</v>
      </c>
      <c r="N1040" t="s">
        <v>712</v>
      </c>
      <c r="O1040" t="s">
        <v>713</v>
      </c>
      <c r="P1040" t="s">
        <v>3517</v>
      </c>
      <c r="S1040" t="s">
        <v>8144</v>
      </c>
      <c r="T1040">
        <v>29.471913000000001</v>
      </c>
      <c r="U1040">
        <v>-98.671766000000005</v>
      </c>
      <c r="V1040">
        <f>SUM(W1040:X1040)+(Y1040*0.8)+(Z1040*0.4)</f>
        <v>6.75</v>
      </c>
      <c r="W1040">
        <v>6.75</v>
      </c>
      <c r="X1040">
        <v>0</v>
      </c>
      <c r="Y1040">
        <v>0</v>
      </c>
      <c r="Z1040">
        <v>0</v>
      </c>
      <c r="AA1040" t="s">
        <v>43</v>
      </c>
      <c r="AB1040">
        <v>5.95</v>
      </c>
      <c r="AD1040" t="s">
        <v>10083</v>
      </c>
      <c r="AE1040" t="s">
        <v>10084</v>
      </c>
    </row>
    <row r="1041" spans="1:31" x14ac:dyDescent="0.25">
      <c r="A1041" t="s">
        <v>31</v>
      </c>
      <c r="C1041" t="s">
        <v>3849</v>
      </c>
      <c r="D1041" t="s">
        <v>4499</v>
      </c>
      <c r="E1041" t="s">
        <v>34</v>
      </c>
      <c r="F1041" t="s">
        <v>66</v>
      </c>
      <c r="G1041">
        <v>2014</v>
      </c>
      <c r="H1041" t="s">
        <v>36</v>
      </c>
      <c r="I1041" t="s">
        <v>4500</v>
      </c>
      <c r="J1041" t="s">
        <v>31</v>
      </c>
      <c r="K1041" t="s">
        <v>38</v>
      </c>
      <c r="L1041" t="s">
        <v>68</v>
      </c>
      <c r="M1041" t="s">
        <v>69</v>
      </c>
      <c r="N1041" t="s">
        <v>297</v>
      </c>
      <c r="O1041" t="s">
        <v>295</v>
      </c>
      <c r="P1041" t="s">
        <v>298</v>
      </c>
      <c r="T1041">
        <v>32.967064000000001</v>
      </c>
      <c r="U1041">
        <v>-96.710656</v>
      </c>
      <c r="V1041">
        <f>SUM(W1041:X1041)+(Y1041*0.8)+(Z1041*0.4)</f>
        <v>6.75</v>
      </c>
      <c r="W1041">
        <v>6.75</v>
      </c>
      <c r="X1041">
        <v>0</v>
      </c>
      <c r="Y1041">
        <v>0</v>
      </c>
      <c r="Z1041">
        <v>0</v>
      </c>
      <c r="AA1041" t="s">
        <v>43</v>
      </c>
      <c r="AB1041">
        <v>6.75</v>
      </c>
      <c r="AC1041">
        <v>1.3</v>
      </c>
      <c r="AD1041" t="s">
        <v>4501</v>
      </c>
      <c r="AE1041" t="s">
        <v>4502</v>
      </c>
    </row>
    <row r="1042" spans="1:31" x14ac:dyDescent="0.25">
      <c r="A1042" t="s">
        <v>31</v>
      </c>
      <c r="C1042" t="s">
        <v>3849</v>
      </c>
      <c r="D1042" t="s">
        <v>4475</v>
      </c>
      <c r="E1042" t="s">
        <v>34</v>
      </c>
      <c r="F1042" t="s">
        <v>66</v>
      </c>
      <c r="G1042">
        <v>2011</v>
      </c>
      <c r="H1042" t="s">
        <v>36</v>
      </c>
      <c r="I1042" t="s">
        <v>4476</v>
      </c>
      <c r="J1042" t="s">
        <v>31</v>
      </c>
      <c r="K1042" t="s">
        <v>38</v>
      </c>
      <c r="L1042" t="s">
        <v>68</v>
      </c>
      <c r="M1042" t="s">
        <v>69</v>
      </c>
      <c r="N1042" t="s">
        <v>297</v>
      </c>
      <c r="O1042" t="s">
        <v>295</v>
      </c>
      <c r="P1042" t="s">
        <v>298</v>
      </c>
      <c r="T1042">
        <v>32.966287000000001</v>
      </c>
      <c r="U1042">
        <v>-96.715839000000003</v>
      </c>
      <c r="V1042">
        <f>SUM(W1042:X1042)+(Y1042*0.8)+(Z1042*0.4)</f>
        <v>6.75</v>
      </c>
      <c r="W1042">
        <v>6.75</v>
      </c>
      <c r="X1042">
        <v>0</v>
      </c>
      <c r="Y1042">
        <v>0</v>
      </c>
      <c r="Z1042">
        <v>0</v>
      </c>
      <c r="AA1042" t="s">
        <v>43</v>
      </c>
      <c r="AB1042">
        <v>6.4</v>
      </c>
      <c r="AC1042">
        <v>1.5</v>
      </c>
      <c r="AD1042" t="s">
        <v>4477</v>
      </c>
      <c r="AE1042" t="s">
        <v>4478</v>
      </c>
    </row>
    <row r="1043" spans="1:31" x14ac:dyDescent="0.25">
      <c r="A1043" t="s">
        <v>31</v>
      </c>
      <c r="C1043" t="s">
        <v>3849</v>
      </c>
      <c r="D1043" t="s">
        <v>1045</v>
      </c>
      <c r="E1043" t="s">
        <v>34</v>
      </c>
      <c r="F1043" t="s">
        <v>66</v>
      </c>
      <c r="G1043">
        <v>2011</v>
      </c>
      <c r="H1043" t="s">
        <v>36</v>
      </c>
      <c r="I1043" t="s">
        <v>4538</v>
      </c>
      <c r="J1043" t="s">
        <v>31</v>
      </c>
      <c r="K1043" t="s">
        <v>38</v>
      </c>
      <c r="L1043" t="s">
        <v>242</v>
      </c>
      <c r="M1043" t="s">
        <v>243</v>
      </c>
      <c r="N1043" t="s">
        <v>405</v>
      </c>
      <c r="O1043" t="s">
        <v>516</v>
      </c>
      <c r="P1043" t="s">
        <v>517</v>
      </c>
      <c r="Q1043" t="s">
        <v>1021</v>
      </c>
      <c r="T1043">
        <v>39.004511999999998</v>
      </c>
      <c r="U1043">
        <v>-77.484014000000002</v>
      </c>
      <c r="V1043">
        <f>SUM(W1043:X1043)+(Y1043*0.8)+(Z1043*0.4)</f>
        <v>6.75</v>
      </c>
      <c r="W1043">
        <v>6.75</v>
      </c>
      <c r="X1043">
        <v>0</v>
      </c>
      <c r="Y1043">
        <v>0</v>
      </c>
      <c r="Z1043">
        <v>0</v>
      </c>
      <c r="AA1043" t="s">
        <v>43</v>
      </c>
      <c r="AB1043">
        <v>6.55</v>
      </c>
      <c r="AD1043" t="s">
        <v>4539</v>
      </c>
      <c r="AE1043" t="s">
        <v>4540</v>
      </c>
    </row>
    <row r="1044" spans="1:31" x14ac:dyDescent="0.25">
      <c r="A1044" t="s">
        <v>31</v>
      </c>
      <c r="C1044" t="s">
        <v>3849</v>
      </c>
      <c r="D1044" t="s">
        <v>4465</v>
      </c>
      <c r="E1044" t="s">
        <v>34</v>
      </c>
      <c r="F1044" t="s">
        <v>66</v>
      </c>
      <c r="G1044">
        <v>2009</v>
      </c>
      <c r="H1044" t="s">
        <v>36</v>
      </c>
      <c r="I1044" t="s">
        <v>4466</v>
      </c>
      <c r="J1044" t="s">
        <v>31</v>
      </c>
      <c r="K1044" t="s">
        <v>38</v>
      </c>
      <c r="L1044" t="s">
        <v>68</v>
      </c>
      <c r="M1044" t="s">
        <v>69</v>
      </c>
      <c r="N1044" t="s">
        <v>297</v>
      </c>
      <c r="O1044" t="s">
        <v>3410</v>
      </c>
      <c r="T1044">
        <v>32.980077999999999</v>
      </c>
      <c r="U1044">
        <v>-96.853804999999994</v>
      </c>
      <c r="V1044">
        <f>SUM(W1044:X1044)+(Y1044*0.8)+(Z1044*0.4)</f>
        <v>6.75</v>
      </c>
      <c r="W1044">
        <v>6.75</v>
      </c>
      <c r="X1044">
        <v>0</v>
      </c>
      <c r="Y1044">
        <v>0</v>
      </c>
      <c r="Z1044">
        <v>0</v>
      </c>
      <c r="AA1044" t="s">
        <v>43</v>
      </c>
      <c r="AB1044">
        <v>6.5</v>
      </c>
      <c r="AD1044" t="s">
        <v>4467</v>
      </c>
      <c r="AE1044" t="s">
        <v>4468</v>
      </c>
    </row>
    <row r="1045" spans="1:31" x14ac:dyDescent="0.25">
      <c r="A1045" t="s">
        <v>31</v>
      </c>
      <c r="C1045" t="s">
        <v>2064</v>
      </c>
      <c r="D1045" t="s">
        <v>2120</v>
      </c>
      <c r="E1045" t="s">
        <v>34</v>
      </c>
      <c r="F1045" t="s">
        <v>35</v>
      </c>
      <c r="G1045">
        <v>2003</v>
      </c>
      <c r="H1045" t="s">
        <v>36</v>
      </c>
      <c r="I1045" t="s">
        <v>2121</v>
      </c>
      <c r="J1045" t="s">
        <v>31</v>
      </c>
      <c r="K1045" t="s">
        <v>38</v>
      </c>
      <c r="L1045" t="s">
        <v>193</v>
      </c>
      <c r="M1045" t="s">
        <v>194</v>
      </c>
      <c r="N1045" t="s">
        <v>155</v>
      </c>
      <c r="O1045" t="s">
        <v>2122</v>
      </c>
      <c r="P1045" t="s">
        <v>2123</v>
      </c>
      <c r="T1045">
        <v>39.550139999999999</v>
      </c>
      <c r="U1045">
        <v>-105.03431</v>
      </c>
      <c r="V1045">
        <f>SUM(W1045:X1045)+(Y1045*0.8)+(Z1045*0.4)</f>
        <v>6.75</v>
      </c>
      <c r="W1045">
        <v>6.75</v>
      </c>
      <c r="X1045">
        <v>0</v>
      </c>
      <c r="Y1045">
        <v>0</v>
      </c>
      <c r="Z1045">
        <v>0</v>
      </c>
      <c r="AA1045" t="s">
        <v>43</v>
      </c>
      <c r="AB1045">
        <v>4</v>
      </c>
      <c r="AD1045" t="s">
        <v>2124</v>
      </c>
      <c r="AE1045" t="s">
        <v>2125</v>
      </c>
    </row>
    <row r="1046" spans="1:31" x14ac:dyDescent="0.25">
      <c r="A1046" t="s">
        <v>31</v>
      </c>
      <c r="C1046" t="s">
        <v>5765</v>
      </c>
      <c r="D1046" t="s">
        <v>5805</v>
      </c>
      <c r="E1046" t="s">
        <v>34</v>
      </c>
      <c r="F1046" t="s">
        <v>35</v>
      </c>
      <c r="G1046">
        <v>1999</v>
      </c>
      <c r="H1046" t="s">
        <v>36</v>
      </c>
      <c r="I1046" t="s">
        <v>5806</v>
      </c>
      <c r="J1046" t="s">
        <v>31</v>
      </c>
      <c r="K1046" t="s">
        <v>38</v>
      </c>
      <c r="L1046" t="s">
        <v>193</v>
      </c>
      <c r="M1046" t="s">
        <v>194</v>
      </c>
      <c r="N1046" t="s">
        <v>2858</v>
      </c>
      <c r="O1046" t="s">
        <v>196</v>
      </c>
      <c r="P1046" t="s">
        <v>5807</v>
      </c>
      <c r="T1046">
        <v>39.661227773999997</v>
      </c>
      <c r="U1046">
        <v>-104.84946057400001</v>
      </c>
      <c r="V1046">
        <f>SUM(W1046:X1046)+(Y1046*0.8)+(Z1046*0.4)</f>
        <v>6.75</v>
      </c>
      <c r="W1046">
        <v>6.75</v>
      </c>
      <c r="X1046">
        <v>0</v>
      </c>
      <c r="Y1046">
        <v>0</v>
      </c>
      <c r="Z1046">
        <v>0</v>
      </c>
      <c r="AA1046" t="s">
        <v>43</v>
      </c>
      <c r="AB1046">
        <v>3.625</v>
      </c>
      <c r="AC1046">
        <v>1.4</v>
      </c>
      <c r="AD1046" t="s">
        <v>5808</v>
      </c>
      <c r="AE1046" t="s">
        <v>5809</v>
      </c>
    </row>
    <row r="1047" spans="1:31" x14ac:dyDescent="0.25">
      <c r="A1047" t="s">
        <v>31</v>
      </c>
      <c r="C1047" t="s">
        <v>1767</v>
      </c>
      <c r="D1047" t="s">
        <v>1776</v>
      </c>
      <c r="E1047" t="s">
        <v>34</v>
      </c>
      <c r="F1047" t="s">
        <v>35</v>
      </c>
      <c r="G1047">
        <v>2023</v>
      </c>
      <c r="H1047" t="s">
        <v>36</v>
      </c>
      <c r="I1047" t="s">
        <v>1777</v>
      </c>
      <c r="J1047" t="s">
        <v>31</v>
      </c>
      <c r="K1047" t="s">
        <v>38</v>
      </c>
      <c r="L1047" t="s">
        <v>112</v>
      </c>
      <c r="M1047" t="s">
        <v>113</v>
      </c>
      <c r="N1047" t="s">
        <v>114</v>
      </c>
      <c r="O1047" t="s">
        <v>115</v>
      </c>
      <c r="P1047" t="s">
        <v>441</v>
      </c>
      <c r="S1047" t="s">
        <v>442</v>
      </c>
      <c r="T1047">
        <v>43.151388851</v>
      </c>
      <c r="U1047">
        <v>-88.009631519999999</v>
      </c>
      <c r="V1047">
        <f>SUM(W1047:X1047)+(Y1047*0.8)+(Z1047*0.4)</f>
        <v>6.7409999999999997</v>
      </c>
      <c r="W1047">
        <v>6.7409999999999997</v>
      </c>
      <c r="X1047">
        <v>0</v>
      </c>
      <c r="Y1047">
        <v>0</v>
      </c>
      <c r="Z1047">
        <v>0</v>
      </c>
      <c r="AA1047" t="s">
        <v>43</v>
      </c>
      <c r="AB1047">
        <v>0</v>
      </c>
      <c r="AC1047">
        <v>1.3</v>
      </c>
      <c r="AD1047" t="s">
        <v>1778</v>
      </c>
      <c r="AE1047" t="s">
        <v>1779</v>
      </c>
    </row>
    <row r="1048" spans="1:31" x14ac:dyDescent="0.25">
      <c r="A1048" t="s">
        <v>31</v>
      </c>
      <c r="C1048" t="s">
        <v>5181</v>
      </c>
      <c r="D1048" t="s">
        <v>5408</v>
      </c>
      <c r="E1048" t="s">
        <v>34</v>
      </c>
      <c r="F1048" t="s">
        <v>35</v>
      </c>
      <c r="G1048">
        <v>2002</v>
      </c>
      <c r="H1048" t="s">
        <v>36</v>
      </c>
      <c r="I1048" t="s">
        <v>5409</v>
      </c>
      <c r="J1048" t="s">
        <v>31</v>
      </c>
      <c r="K1048" t="s">
        <v>38</v>
      </c>
      <c r="L1048" t="s">
        <v>39</v>
      </c>
      <c r="M1048" t="s">
        <v>40</v>
      </c>
      <c r="N1048" t="s">
        <v>2140</v>
      </c>
      <c r="O1048" t="s">
        <v>5410</v>
      </c>
      <c r="P1048" t="s">
        <v>5411</v>
      </c>
      <c r="T1048">
        <v>40.796753000000002</v>
      </c>
      <c r="U1048">
        <v>-74.031204000000002</v>
      </c>
      <c r="V1048">
        <f>SUM(W1048:X1048)+(Y1048*0.8)+(Z1048*0.4)</f>
        <v>6.7</v>
      </c>
      <c r="W1048">
        <v>6.7</v>
      </c>
      <c r="X1048">
        <v>0</v>
      </c>
      <c r="Y1048">
        <v>0</v>
      </c>
      <c r="Z1048">
        <v>0</v>
      </c>
      <c r="AA1048" t="s">
        <v>43</v>
      </c>
      <c r="AB1048">
        <v>6.4</v>
      </c>
      <c r="AC1048">
        <v>1.3</v>
      </c>
      <c r="AD1048" t="s">
        <v>5412</v>
      </c>
      <c r="AE1048" t="s">
        <v>5413</v>
      </c>
    </row>
    <row r="1049" spans="1:31" x14ac:dyDescent="0.25">
      <c r="A1049" t="s">
        <v>31</v>
      </c>
      <c r="C1049" t="s">
        <v>7218</v>
      </c>
      <c r="D1049" t="s">
        <v>7317</v>
      </c>
      <c r="E1049" t="s">
        <v>34</v>
      </c>
      <c r="F1049" t="s">
        <v>35</v>
      </c>
      <c r="G1049">
        <v>1998</v>
      </c>
      <c r="H1049" t="s">
        <v>36</v>
      </c>
      <c r="I1049" t="s">
        <v>7050</v>
      </c>
      <c r="J1049" t="s">
        <v>31</v>
      </c>
      <c r="K1049" t="s">
        <v>38</v>
      </c>
      <c r="L1049" t="s">
        <v>123</v>
      </c>
      <c r="M1049" t="s">
        <v>124</v>
      </c>
      <c r="N1049" t="s">
        <v>270</v>
      </c>
      <c r="O1049" t="s">
        <v>123</v>
      </c>
      <c r="P1049" t="s">
        <v>2680</v>
      </c>
      <c r="Q1049" t="s">
        <v>2681</v>
      </c>
      <c r="S1049" t="s">
        <v>273</v>
      </c>
      <c r="T1049">
        <v>40.743468186999998</v>
      </c>
      <c r="U1049">
        <v>-74.007953659999998</v>
      </c>
      <c r="V1049">
        <f>SUM(W1049:X1049)+(Y1049*0.8)+(Z1049*0.4)</f>
        <v>6.7</v>
      </c>
      <c r="W1049">
        <v>6.7</v>
      </c>
      <c r="X1049">
        <v>0</v>
      </c>
      <c r="Y1049">
        <v>0</v>
      </c>
      <c r="Z1049">
        <v>0</v>
      </c>
      <c r="AA1049" t="s">
        <v>43</v>
      </c>
      <c r="AB1049">
        <v>6.6</v>
      </c>
      <c r="AD1049" t="s">
        <v>7318</v>
      </c>
      <c r="AE1049" t="s">
        <v>7319</v>
      </c>
    </row>
    <row r="1050" spans="1:31" x14ac:dyDescent="0.25">
      <c r="A1050" t="s">
        <v>31</v>
      </c>
      <c r="C1050" t="s">
        <v>4108</v>
      </c>
      <c r="D1050" t="s">
        <v>4109</v>
      </c>
      <c r="E1050" t="s">
        <v>34</v>
      </c>
      <c r="F1050" t="s">
        <v>66</v>
      </c>
      <c r="G1050">
        <v>2012</v>
      </c>
      <c r="H1050" t="s">
        <v>36</v>
      </c>
      <c r="I1050" t="s">
        <v>4110</v>
      </c>
      <c r="J1050" t="s">
        <v>31</v>
      </c>
      <c r="K1050" t="s">
        <v>38</v>
      </c>
      <c r="L1050" t="s">
        <v>326</v>
      </c>
      <c r="M1050" t="s">
        <v>327</v>
      </c>
      <c r="N1050" t="s">
        <v>328</v>
      </c>
      <c r="O1050" t="s">
        <v>329</v>
      </c>
      <c r="P1050" t="s">
        <v>2878</v>
      </c>
      <c r="S1050" t="s">
        <v>4111</v>
      </c>
      <c r="T1050">
        <v>33.411417800999999</v>
      </c>
      <c r="U1050">
        <v>-112.412098908</v>
      </c>
      <c r="V1050">
        <f>SUM(W1050:X1050)+(Y1050*0.8)+(Z1050*0.4)</f>
        <v>6.6</v>
      </c>
      <c r="W1050">
        <v>3</v>
      </c>
      <c r="X1050">
        <v>0</v>
      </c>
      <c r="Y1050">
        <v>0</v>
      </c>
      <c r="Z1050">
        <v>9</v>
      </c>
      <c r="AA1050" t="s">
        <v>43</v>
      </c>
      <c r="AB1050">
        <v>0</v>
      </c>
      <c r="AD1050" t="s">
        <v>4112</v>
      </c>
      <c r="AE1050" t="s">
        <v>4113</v>
      </c>
    </row>
    <row r="1051" spans="1:31" x14ac:dyDescent="0.25">
      <c r="A1051" t="s">
        <v>31</v>
      </c>
      <c r="C1051" t="s">
        <v>3312</v>
      </c>
      <c r="D1051" t="s">
        <v>3317</v>
      </c>
      <c r="E1051" t="s">
        <v>34</v>
      </c>
      <c r="F1051" t="s">
        <v>66</v>
      </c>
      <c r="G1051">
        <v>2012</v>
      </c>
      <c r="H1051" t="s">
        <v>36</v>
      </c>
      <c r="I1051" t="s">
        <v>3318</v>
      </c>
      <c r="J1051" t="s">
        <v>31</v>
      </c>
      <c r="K1051" t="s">
        <v>38</v>
      </c>
      <c r="L1051" t="s">
        <v>68</v>
      </c>
      <c r="M1051" t="s">
        <v>69</v>
      </c>
      <c r="N1051" t="s">
        <v>1350</v>
      </c>
      <c r="O1051" t="s">
        <v>1351</v>
      </c>
      <c r="P1051" t="s">
        <v>3319</v>
      </c>
      <c r="Q1051" t="s">
        <v>2591</v>
      </c>
      <c r="T1051">
        <v>30.205988999999999</v>
      </c>
      <c r="U1051">
        <v>-97.698069000000004</v>
      </c>
      <c r="V1051">
        <f>SUM(W1051:X1051)+(Y1051*0.8)+(Z1051*0.4)</f>
        <v>6.6</v>
      </c>
      <c r="W1051">
        <v>5</v>
      </c>
      <c r="X1051">
        <v>0</v>
      </c>
      <c r="Y1051">
        <v>0</v>
      </c>
      <c r="Z1051">
        <v>4</v>
      </c>
      <c r="AA1051" t="s">
        <v>43</v>
      </c>
      <c r="AB1051">
        <v>4.5</v>
      </c>
      <c r="AC1051">
        <v>1.3</v>
      </c>
      <c r="AD1051" t="s">
        <v>3320</v>
      </c>
      <c r="AE1051" t="s">
        <v>3321</v>
      </c>
    </row>
    <row r="1052" spans="1:31" x14ac:dyDescent="0.25">
      <c r="A1052" t="s">
        <v>31</v>
      </c>
      <c r="C1052" t="s">
        <v>5765</v>
      </c>
      <c r="D1052" t="s">
        <v>5788</v>
      </c>
      <c r="E1052" t="s">
        <v>34</v>
      </c>
      <c r="F1052" t="s">
        <v>35</v>
      </c>
      <c r="G1052">
        <v>1999</v>
      </c>
      <c r="H1052" t="s">
        <v>36</v>
      </c>
      <c r="I1052" t="s">
        <v>5789</v>
      </c>
      <c r="J1052" t="s">
        <v>31</v>
      </c>
      <c r="K1052" t="s">
        <v>38</v>
      </c>
      <c r="L1052" t="s">
        <v>68</v>
      </c>
      <c r="M1052" t="s">
        <v>69</v>
      </c>
      <c r="N1052" t="s">
        <v>297</v>
      </c>
      <c r="O1052" t="s">
        <v>2116</v>
      </c>
      <c r="P1052" t="s">
        <v>2738</v>
      </c>
      <c r="T1052">
        <v>32.800492710999997</v>
      </c>
      <c r="U1052">
        <v>-96.819541829000002</v>
      </c>
      <c r="V1052">
        <f>SUM(W1052:X1052)+(Y1052*0.8)+(Z1052*0.4)</f>
        <v>6.6</v>
      </c>
      <c r="W1052">
        <v>6.6</v>
      </c>
      <c r="X1052">
        <v>0</v>
      </c>
      <c r="Y1052">
        <v>0</v>
      </c>
      <c r="Z1052">
        <v>0</v>
      </c>
      <c r="AA1052" t="s">
        <v>43</v>
      </c>
      <c r="AB1052">
        <v>6.6</v>
      </c>
      <c r="AC1052">
        <v>2</v>
      </c>
      <c r="AD1052" t="s">
        <v>5790</v>
      </c>
      <c r="AE1052" t="s">
        <v>5791</v>
      </c>
    </row>
    <row r="1053" spans="1:31" x14ac:dyDescent="0.25">
      <c r="A1053" t="s">
        <v>31</v>
      </c>
      <c r="C1053" t="s">
        <v>8292</v>
      </c>
      <c r="D1053" t="s">
        <v>1943</v>
      </c>
      <c r="E1053" t="s">
        <v>362</v>
      </c>
      <c r="F1053" t="s">
        <v>4135</v>
      </c>
      <c r="G1053">
        <v>2015</v>
      </c>
      <c r="H1053" t="s">
        <v>36</v>
      </c>
      <c r="I1053" t="s">
        <v>8298</v>
      </c>
      <c r="J1053" t="s">
        <v>31</v>
      </c>
      <c r="K1053" t="s">
        <v>38</v>
      </c>
      <c r="L1053" t="s">
        <v>448</v>
      </c>
      <c r="M1053" t="s">
        <v>449</v>
      </c>
      <c r="N1053" t="s">
        <v>457</v>
      </c>
      <c r="O1053" t="s">
        <v>1943</v>
      </c>
      <c r="P1053" t="s">
        <v>8299</v>
      </c>
      <c r="T1053">
        <v>39.109324874999999</v>
      </c>
      <c r="U1053">
        <v>-76.770838663999996</v>
      </c>
      <c r="V1053">
        <f>SUM(W1053:X1053)+(Y1053*0.8)+(Z1053*0.4)</f>
        <v>6.5</v>
      </c>
      <c r="W1053">
        <v>6.5</v>
      </c>
      <c r="X1053">
        <v>0</v>
      </c>
      <c r="Y1053">
        <v>0</v>
      </c>
      <c r="Z1053">
        <v>0</v>
      </c>
      <c r="AA1053" t="s">
        <v>43</v>
      </c>
      <c r="AB1053">
        <v>6.5</v>
      </c>
      <c r="AD1053" t="s">
        <v>8300</v>
      </c>
      <c r="AE1053" t="s">
        <v>8301</v>
      </c>
    </row>
    <row r="1054" spans="1:31" x14ac:dyDescent="0.25">
      <c r="A1054" t="s">
        <v>31</v>
      </c>
      <c r="C1054" t="s">
        <v>6381</v>
      </c>
      <c r="D1054" t="s">
        <v>6423</v>
      </c>
      <c r="E1054" t="s">
        <v>34</v>
      </c>
      <c r="F1054" t="s">
        <v>66</v>
      </c>
      <c r="G1054">
        <v>2013</v>
      </c>
      <c r="H1054" t="s">
        <v>36</v>
      </c>
      <c r="I1054" t="s">
        <v>6424</v>
      </c>
      <c r="J1054" t="s">
        <v>31</v>
      </c>
      <c r="K1054" t="s">
        <v>38</v>
      </c>
      <c r="L1054" t="s">
        <v>193</v>
      </c>
      <c r="M1054" t="s">
        <v>194</v>
      </c>
      <c r="N1054" t="s">
        <v>2858</v>
      </c>
      <c r="O1054" t="s">
        <v>6425</v>
      </c>
      <c r="P1054" t="s">
        <v>6426</v>
      </c>
      <c r="Q1054" t="s">
        <v>2609</v>
      </c>
      <c r="T1054">
        <v>39.618053000000003</v>
      </c>
      <c r="U1054">
        <v>-104.891515</v>
      </c>
      <c r="V1054">
        <f>SUM(W1054:X1054)+(Y1054*0.8)+(Z1054*0.4)</f>
        <v>6.5</v>
      </c>
      <c r="W1054">
        <v>6.5</v>
      </c>
      <c r="X1054">
        <v>0</v>
      </c>
      <c r="Y1054">
        <v>0</v>
      </c>
      <c r="Z1054">
        <v>0</v>
      </c>
      <c r="AA1054" t="s">
        <v>43</v>
      </c>
      <c r="AB1054">
        <v>4.5</v>
      </c>
      <c r="AD1054" t="s">
        <v>6427</v>
      </c>
      <c r="AE1054" t="s">
        <v>6428</v>
      </c>
    </row>
    <row r="1055" spans="1:31" x14ac:dyDescent="0.25">
      <c r="A1055" t="s">
        <v>31</v>
      </c>
      <c r="C1055" t="s">
        <v>5181</v>
      </c>
      <c r="D1055" t="s">
        <v>5364</v>
      </c>
      <c r="E1055" t="s">
        <v>34</v>
      </c>
      <c r="F1055" t="s">
        <v>66</v>
      </c>
      <c r="G1055">
        <v>2002</v>
      </c>
      <c r="H1055" t="s">
        <v>36</v>
      </c>
      <c r="I1055" t="s">
        <v>5365</v>
      </c>
      <c r="J1055" t="s">
        <v>31</v>
      </c>
      <c r="K1055" t="s">
        <v>38</v>
      </c>
      <c r="L1055" t="s">
        <v>202</v>
      </c>
      <c r="M1055" t="s">
        <v>203</v>
      </c>
      <c r="N1055" t="s">
        <v>397</v>
      </c>
      <c r="O1055" t="s">
        <v>3128</v>
      </c>
      <c r="P1055" t="s">
        <v>398</v>
      </c>
      <c r="T1055">
        <v>25.787681457000001</v>
      </c>
      <c r="U1055">
        <v>-80.354678582999995</v>
      </c>
      <c r="V1055">
        <f>SUM(W1055:X1055)+(Y1055*0.8)+(Z1055*0.4)</f>
        <v>6.5</v>
      </c>
      <c r="W1055">
        <v>6.5</v>
      </c>
      <c r="X1055">
        <v>0</v>
      </c>
      <c r="Y1055">
        <v>0</v>
      </c>
      <c r="Z1055">
        <v>0</v>
      </c>
      <c r="AA1055" t="s">
        <v>43</v>
      </c>
      <c r="AB1055">
        <v>5.2</v>
      </c>
      <c r="AC1055">
        <v>1.3</v>
      </c>
      <c r="AD1055" t="s">
        <v>5366</v>
      </c>
      <c r="AE1055" t="s">
        <v>5367</v>
      </c>
    </row>
    <row r="1056" spans="1:31" x14ac:dyDescent="0.25">
      <c r="A1056" t="s">
        <v>31</v>
      </c>
      <c r="C1056" t="s">
        <v>5181</v>
      </c>
      <c r="D1056" t="s">
        <v>5274</v>
      </c>
      <c r="E1056" t="s">
        <v>34</v>
      </c>
      <c r="F1056" t="s">
        <v>35</v>
      </c>
      <c r="G1056">
        <v>2000</v>
      </c>
      <c r="H1056" t="s">
        <v>36</v>
      </c>
      <c r="I1056" t="s">
        <v>5275</v>
      </c>
      <c r="J1056" t="s">
        <v>31</v>
      </c>
      <c r="K1056" t="s">
        <v>38</v>
      </c>
      <c r="L1056" t="s">
        <v>242</v>
      </c>
      <c r="M1056" t="s">
        <v>243</v>
      </c>
      <c r="N1056" t="s">
        <v>405</v>
      </c>
      <c r="O1056" t="s">
        <v>516</v>
      </c>
      <c r="P1056" t="s">
        <v>517</v>
      </c>
      <c r="T1056">
        <v>39.012487854</v>
      </c>
      <c r="U1056">
        <v>-77.475638708000005</v>
      </c>
      <c r="V1056">
        <f>SUM(W1056:X1056)+(Y1056*0.8)+(Z1056*0.4)</f>
        <v>6.5</v>
      </c>
      <c r="W1056">
        <v>6.5</v>
      </c>
      <c r="X1056">
        <v>0</v>
      </c>
      <c r="Y1056">
        <v>0</v>
      </c>
      <c r="Z1056">
        <v>0</v>
      </c>
      <c r="AA1056" t="s">
        <v>43</v>
      </c>
      <c r="AB1056">
        <v>6.4</v>
      </c>
      <c r="AC1056">
        <v>1.3</v>
      </c>
      <c r="AD1056" t="s">
        <v>5276</v>
      </c>
      <c r="AE1056" t="s">
        <v>5277</v>
      </c>
    </row>
    <row r="1057" spans="1:31" x14ac:dyDescent="0.25">
      <c r="A1057" t="s">
        <v>31</v>
      </c>
      <c r="C1057" t="s">
        <v>10777</v>
      </c>
      <c r="D1057" t="s">
        <v>10778</v>
      </c>
      <c r="E1057" t="s">
        <v>362</v>
      </c>
      <c r="F1057" t="s">
        <v>630</v>
      </c>
      <c r="G1057">
        <v>2029</v>
      </c>
      <c r="H1057" t="s">
        <v>36</v>
      </c>
      <c r="I1057" t="s">
        <v>10779</v>
      </c>
      <c r="J1057" t="s">
        <v>31</v>
      </c>
      <c r="K1057" t="s">
        <v>38</v>
      </c>
      <c r="L1057" t="s">
        <v>242</v>
      </c>
      <c r="M1057" t="s">
        <v>243</v>
      </c>
      <c r="N1057" t="s">
        <v>10780</v>
      </c>
      <c r="O1057" t="s">
        <v>10781</v>
      </c>
      <c r="P1057" t="s">
        <v>10782</v>
      </c>
      <c r="Q1057" t="s">
        <v>10783</v>
      </c>
      <c r="T1057">
        <v>38.024499382000002</v>
      </c>
      <c r="U1057">
        <v>-78.526217462999995</v>
      </c>
      <c r="V1057">
        <f>SUM(W1057:X1057)+(Y1057*0.8)+(Z1057*0.4)</f>
        <v>6.4</v>
      </c>
      <c r="W1057">
        <v>0</v>
      </c>
      <c r="X1057">
        <v>0</v>
      </c>
      <c r="Y1057">
        <v>0</v>
      </c>
      <c r="Z1057">
        <v>16</v>
      </c>
      <c r="AA1057" t="s">
        <v>43</v>
      </c>
      <c r="AB1057">
        <v>0</v>
      </c>
      <c r="AD1057" t="s">
        <v>10784</v>
      </c>
      <c r="AE1057" t="s">
        <v>10785</v>
      </c>
    </row>
    <row r="1058" spans="1:31" x14ac:dyDescent="0.25">
      <c r="A1058" t="s">
        <v>31</v>
      </c>
      <c r="C1058" t="s">
        <v>5181</v>
      </c>
      <c r="D1058" t="s">
        <v>5304</v>
      </c>
      <c r="E1058" t="s">
        <v>34</v>
      </c>
      <c r="F1058" t="s">
        <v>35</v>
      </c>
      <c r="G1058">
        <v>2025</v>
      </c>
      <c r="H1058" t="s">
        <v>36</v>
      </c>
      <c r="I1058" t="s">
        <v>5305</v>
      </c>
      <c r="J1058" t="s">
        <v>31</v>
      </c>
      <c r="K1058" t="s">
        <v>38</v>
      </c>
      <c r="L1058" t="s">
        <v>242</v>
      </c>
      <c r="M1058" t="s">
        <v>243</v>
      </c>
      <c r="N1058" t="s">
        <v>405</v>
      </c>
      <c r="O1058" t="s">
        <v>516</v>
      </c>
      <c r="P1058" t="s">
        <v>517</v>
      </c>
      <c r="T1058">
        <v>39.014009715999997</v>
      </c>
      <c r="U1058">
        <v>-77.453900085000001</v>
      </c>
      <c r="V1058">
        <f>SUM(W1058:X1058)+(Y1058*0.8)+(Z1058*0.4)</f>
        <v>6.4</v>
      </c>
      <c r="W1058">
        <v>6.4</v>
      </c>
      <c r="X1058">
        <v>0</v>
      </c>
      <c r="Y1058">
        <v>0</v>
      </c>
      <c r="Z1058">
        <v>0</v>
      </c>
      <c r="AA1058" t="s">
        <v>43</v>
      </c>
      <c r="AB1058">
        <v>4.2</v>
      </c>
      <c r="AD1058" t="s">
        <v>5306</v>
      </c>
      <c r="AE1058" t="s">
        <v>5307</v>
      </c>
    </row>
    <row r="1059" spans="1:31" x14ac:dyDescent="0.25">
      <c r="A1059" t="s">
        <v>31</v>
      </c>
      <c r="C1059" t="s">
        <v>3849</v>
      </c>
      <c r="D1059" t="s">
        <v>4204</v>
      </c>
      <c r="E1059" t="s">
        <v>34</v>
      </c>
      <c r="F1059" t="s">
        <v>66</v>
      </c>
      <c r="G1059">
        <v>2001</v>
      </c>
      <c r="H1059" t="s">
        <v>36</v>
      </c>
      <c r="I1059" t="s">
        <v>4205</v>
      </c>
      <c r="J1059" t="s">
        <v>31</v>
      </c>
      <c r="K1059" t="s">
        <v>38</v>
      </c>
      <c r="L1059" t="s">
        <v>172</v>
      </c>
      <c r="M1059" t="s">
        <v>173</v>
      </c>
      <c r="N1059" t="s">
        <v>780</v>
      </c>
      <c r="O1059" t="s">
        <v>781</v>
      </c>
      <c r="P1059" t="s">
        <v>787</v>
      </c>
      <c r="T1059">
        <v>37.375815000000003</v>
      </c>
      <c r="U1059">
        <v>-121.95333599999999</v>
      </c>
      <c r="V1059">
        <f>SUM(W1059:X1059)+(Y1059*0.8)+(Z1059*0.4)</f>
        <v>6.4</v>
      </c>
      <c r="W1059">
        <v>6.4</v>
      </c>
      <c r="X1059">
        <v>0</v>
      </c>
      <c r="Y1059">
        <v>0</v>
      </c>
      <c r="Z1059">
        <v>0</v>
      </c>
      <c r="AA1059" t="s">
        <v>43</v>
      </c>
      <c r="AB1059">
        <v>6.4</v>
      </c>
      <c r="AD1059" t="s">
        <v>4206</v>
      </c>
      <c r="AE1059" t="s">
        <v>4207</v>
      </c>
    </row>
    <row r="1060" spans="1:31" x14ac:dyDescent="0.25">
      <c r="A1060" t="s">
        <v>31</v>
      </c>
      <c r="C1060" t="s">
        <v>445</v>
      </c>
      <c r="D1060" t="s">
        <v>462</v>
      </c>
      <c r="E1060" t="s">
        <v>34</v>
      </c>
      <c r="F1060" t="s">
        <v>35</v>
      </c>
      <c r="G1060">
        <v>1997</v>
      </c>
      <c r="H1060" t="s">
        <v>36</v>
      </c>
      <c r="I1060" t="s">
        <v>463</v>
      </c>
      <c r="J1060" t="s">
        <v>31</v>
      </c>
      <c r="K1060" t="s">
        <v>38</v>
      </c>
      <c r="L1060" t="s">
        <v>448</v>
      </c>
      <c r="M1060" t="s">
        <v>449</v>
      </c>
      <c r="N1060" t="s">
        <v>450</v>
      </c>
      <c r="O1060" t="s">
        <v>464</v>
      </c>
      <c r="P1060" t="s">
        <v>465</v>
      </c>
      <c r="T1060">
        <v>39.101541654999998</v>
      </c>
      <c r="U1060">
        <v>-76.848039615000005</v>
      </c>
      <c r="V1060">
        <f>SUM(W1060:X1060)+(Y1060*0.8)+(Z1060*0.4)</f>
        <v>6.4</v>
      </c>
      <c r="W1060">
        <v>4</v>
      </c>
      <c r="X1060">
        <v>0</v>
      </c>
      <c r="Y1060">
        <v>0</v>
      </c>
      <c r="Z1060">
        <v>6</v>
      </c>
      <c r="AA1060" t="s">
        <v>43</v>
      </c>
      <c r="AB1060">
        <v>2</v>
      </c>
      <c r="AD1060" t="s">
        <v>466</v>
      </c>
      <c r="AE1060" t="s">
        <v>467</v>
      </c>
    </row>
    <row r="1061" spans="1:31" x14ac:dyDescent="0.25">
      <c r="A1061" t="s">
        <v>31</v>
      </c>
      <c r="C1061" t="s">
        <v>6528</v>
      </c>
      <c r="D1061" t="s">
        <v>6529</v>
      </c>
      <c r="E1061" t="s">
        <v>362</v>
      </c>
      <c r="F1061" t="s">
        <v>1302</v>
      </c>
      <c r="G1061">
        <v>2013</v>
      </c>
      <c r="H1061" t="s">
        <v>36</v>
      </c>
      <c r="I1061" t="s">
        <v>6530</v>
      </c>
      <c r="J1061" t="s">
        <v>31</v>
      </c>
      <c r="K1061" t="s">
        <v>38</v>
      </c>
      <c r="L1061" t="s">
        <v>260</v>
      </c>
      <c r="M1061" t="s">
        <v>261</v>
      </c>
      <c r="N1061" t="s">
        <v>262</v>
      </c>
      <c r="O1061" t="s">
        <v>6531</v>
      </c>
      <c r="P1061" t="s">
        <v>6532</v>
      </c>
      <c r="S1061" t="s">
        <v>6533</v>
      </c>
      <c r="T1061">
        <v>36.032598385</v>
      </c>
      <c r="U1061">
        <v>-86.637887551999995</v>
      </c>
      <c r="V1061">
        <f>SUM(W1061:X1061)+(Y1061*0.8)+(Z1061*0.4)</f>
        <v>6.3000000000000007</v>
      </c>
      <c r="W1061">
        <v>3.5</v>
      </c>
      <c r="X1061">
        <v>0</v>
      </c>
      <c r="Y1061">
        <v>3.5</v>
      </c>
      <c r="Z1061">
        <v>0</v>
      </c>
      <c r="AA1061" t="s">
        <v>43</v>
      </c>
      <c r="AB1061">
        <v>7</v>
      </c>
      <c r="AD1061" t="s">
        <v>6534</v>
      </c>
      <c r="AE1061" t="s">
        <v>6535</v>
      </c>
    </row>
    <row r="1062" spans="1:31" x14ac:dyDescent="0.25">
      <c r="A1062" t="s">
        <v>31</v>
      </c>
      <c r="C1062" t="s">
        <v>10863</v>
      </c>
      <c r="D1062" t="s">
        <v>8208</v>
      </c>
      <c r="E1062" t="s">
        <v>34</v>
      </c>
      <c r="F1062" t="s">
        <v>66</v>
      </c>
      <c r="G1062">
        <v>2010</v>
      </c>
      <c r="H1062" t="s">
        <v>36</v>
      </c>
      <c r="I1062" t="s">
        <v>10868</v>
      </c>
      <c r="J1062" t="s">
        <v>31</v>
      </c>
      <c r="K1062" t="s">
        <v>38</v>
      </c>
      <c r="L1062" t="s">
        <v>1819</v>
      </c>
      <c r="M1062" t="s">
        <v>1820</v>
      </c>
      <c r="N1062" t="s">
        <v>8210</v>
      </c>
      <c r="O1062" t="s">
        <v>8208</v>
      </c>
      <c r="P1062" t="s">
        <v>10869</v>
      </c>
      <c r="T1062">
        <v>35.424926849999999</v>
      </c>
      <c r="U1062">
        <v>-97.599748452</v>
      </c>
      <c r="V1062">
        <f>SUM(W1062:X1062)+(Y1062*0.8)+(Z1062*0.4)</f>
        <v>6.3000000000000007</v>
      </c>
      <c r="W1062">
        <v>2.5</v>
      </c>
      <c r="X1062">
        <v>0</v>
      </c>
      <c r="Y1062">
        <v>0</v>
      </c>
      <c r="Z1062">
        <v>9.5</v>
      </c>
      <c r="AA1062" t="s">
        <v>43</v>
      </c>
      <c r="AB1062">
        <v>2.5</v>
      </c>
      <c r="AD1062" t="s">
        <v>10870</v>
      </c>
      <c r="AE1062" t="s">
        <v>10871</v>
      </c>
    </row>
    <row r="1063" spans="1:31" x14ac:dyDescent="0.25">
      <c r="A1063" t="s">
        <v>31</v>
      </c>
      <c r="C1063" t="s">
        <v>7116</v>
      </c>
      <c r="D1063" t="s">
        <v>7139</v>
      </c>
      <c r="E1063" t="s">
        <v>34</v>
      </c>
      <c r="F1063" t="s">
        <v>35</v>
      </c>
      <c r="G1063">
        <v>2007</v>
      </c>
      <c r="H1063" t="s">
        <v>36</v>
      </c>
      <c r="I1063" t="s">
        <v>7140</v>
      </c>
      <c r="J1063" t="s">
        <v>31</v>
      </c>
      <c r="K1063" t="s">
        <v>38</v>
      </c>
      <c r="L1063" t="s">
        <v>3818</v>
      </c>
      <c r="M1063" t="s">
        <v>3819</v>
      </c>
      <c r="N1063" t="s">
        <v>3820</v>
      </c>
      <c r="O1063" t="s">
        <v>3823</v>
      </c>
      <c r="P1063" t="s">
        <v>3828</v>
      </c>
      <c r="T1063">
        <v>38.952291107000001</v>
      </c>
      <c r="U1063">
        <v>-94.789568356000004</v>
      </c>
      <c r="V1063">
        <f>SUM(W1063:X1063)+(Y1063*0.8)+(Z1063*0.4)</f>
        <v>6.242</v>
      </c>
      <c r="W1063">
        <v>6.242</v>
      </c>
      <c r="X1063">
        <v>0</v>
      </c>
      <c r="Y1063">
        <v>0</v>
      </c>
      <c r="Z1063">
        <v>0</v>
      </c>
      <c r="AA1063" t="s">
        <v>43</v>
      </c>
      <c r="AB1063">
        <v>0</v>
      </c>
      <c r="AD1063" t="s">
        <v>7141</v>
      </c>
      <c r="AE1063" t="s">
        <v>7142</v>
      </c>
    </row>
    <row r="1064" spans="1:31" x14ac:dyDescent="0.25">
      <c r="A1064" t="s">
        <v>31</v>
      </c>
      <c r="C1064" t="s">
        <v>8302</v>
      </c>
      <c r="D1064" t="s">
        <v>8309</v>
      </c>
      <c r="E1064" t="s">
        <v>34</v>
      </c>
      <c r="F1064" t="s">
        <v>35</v>
      </c>
      <c r="G1064">
        <v>2021</v>
      </c>
      <c r="H1064" t="s">
        <v>36</v>
      </c>
      <c r="I1064" t="s">
        <v>8310</v>
      </c>
      <c r="J1064" t="s">
        <v>31</v>
      </c>
      <c r="K1064" t="s">
        <v>38</v>
      </c>
      <c r="L1064" t="s">
        <v>172</v>
      </c>
      <c r="M1064" t="s">
        <v>173</v>
      </c>
      <c r="N1064" t="s">
        <v>8311</v>
      </c>
      <c r="O1064" t="s">
        <v>8312</v>
      </c>
      <c r="P1064" t="s">
        <v>8313</v>
      </c>
      <c r="T1064">
        <v>37.965203305000003</v>
      </c>
      <c r="U1064">
        <v>-121.36842059600001</v>
      </c>
      <c r="V1064">
        <f>SUM(W1064:X1064)+(Y1064*0.8)+(Z1064*0.4)</f>
        <v>6.2</v>
      </c>
      <c r="W1064">
        <v>3</v>
      </c>
      <c r="X1064">
        <v>0</v>
      </c>
      <c r="Y1064">
        <v>4</v>
      </c>
      <c r="Z1064">
        <v>0</v>
      </c>
      <c r="AA1064" t="s">
        <v>43</v>
      </c>
      <c r="AB1064">
        <v>3.96</v>
      </c>
      <c r="AD1064" t="s">
        <v>8314</v>
      </c>
      <c r="AE1064" t="s">
        <v>8315</v>
      </c>
    </row>
    <row r="1065" spans="1:31" x14ac:dyDescent="0.25">
      <c r="A1065" t="s">
        <v>31</v>
      </c>
      <c r="C1065" t="s">
        <v>2706</v>
      </c>
      <c r="D1065" t="s">
        <v>2761</v>
      </c>
      <c r="E1065" t="s">
        <v>34</v>
      </c>
      <c r="F1065" t="s">
        <v>66</v>
      </c>
      <c r="G1065">
        <v>2013</v>
      </c>
      <c r="H1065" t="s">
        <v>36</v>
      </c>
      <c r="I1065" t="s">
        <v>2762</v>
      </c>
      <c r="J1065" t="s">
        <v>31</v>
      </c>
      <c r="K1065" t="s">
        <v>38</v>
      </c>
      <c r="L1065" t="s">
        <v>202</v>
      </c>
      <c r="M1065" t="s">
        <v>203</v>
      </c>
      <c r="N1065" t="s">
        <v>1711</v>
      </c>
      <c r="O1065" t="s">
        <v>2763</v>
      </c>
      <c r="P1065" t="s">
        <v>2764</v>
      </c>
      <c r="T1065">
        <v>28.079484999999998</v>
      </c>
      <c r="U1065">
        <v>-81.974851000000001</v>
      </c>
      <c r="V1065">
        <f>SUM(W1065:X1065)+(Y1065*0.8)+(Z1065*0.4)</f>
        <v>6.0000000000000009</v>
      </c>
      <c r="W1065">
        <v>1.2</v>
      </c>
      <c r="X1065">
        <v>0</v>
      </c>
      <c r="Y1065">
        <v>0</v>
      </c>
      <c r="Z1065">
        <v>12</v>
      </c>
      <c r="AA1065" t="s">
        <v>43</v>
      </c>
      <c r="AB1065">
        <v>0.4</v>
      </c>
      <c r="AC1065">
        <v>1.7</v>
      </c>
      <c r="AD1065" t="s">
        <v>2765</v>
      </c>
      <c r="AE1065" t="s">
        <v>2766</v>
      </c>
    </row>
    <row r="1066" spans="1:31" x14ac:dyDescent="0.25">
      <c r="A1066" t="s">
        <v>31</v>
      </c>
      <c r="C1066" t="s">
        <v>6953</v>
      </c>
      <c r="D1066" t="s">
        <v>10695</v>
      </c>
      <c r="E1066" t="s">
        <v>34</v>
      </c>
      <c r="F1066" t="s">
        <v>66</v>
      </c>
      <c r="G1066">
        <v>2029</v>
      </c>
      <c r="H1066" t="s">
        <v>411</v>
      </c>
      <c r="I1066" t="s">
        <v>397</v>
      </c>
      <c r="J1066" t="s">
        <v>31</v>
      </c>
      <c r="K1066" t="s">
        <v>38</v>
      </c>
      <c r="L1066" t="s">
        <v>202</v>
      </c>
      <c r="M1066" t="s">
        <v>203</v>
      </c>
      <c r="N1066" t="s">
        <v>397</v>
      </c>
      <c r="T1066">
        <v>25.582307801999999</v>
      </c>
      <c r="U1066">
        <v>-80.564830017000006</v>
      </c>
      <c r="V1066">
        <f>SUM(W1066:X1066)+(Y1066*0.8)+(Z1066*0.4)</f>
        <v>6</v>
      </c>
      <c r="W1066">
        <v>0</v>
      </c>
      <c r="X1066">
        <v>0</v>
      </c>
      <c r="Y1066">
        <v>0</v>
      </c>
      <c r="Z1066">
        <v>15</v>
      </c>
      <c r="AA1066" t="s">
        <v>43</v>
      </c>
      <c r="AB1066">
        <v>0</v>
      </c>
      <c r="AD1066" t="s">
        <v>10696</v>
      </c>
      <c r="AE1066" t="s">
        <v>10697</v>
      </c>
    </row>
    <row r="1067" spans="1:31" x14ac:dyDescent="0.25">
      <c r="A1067" t="s">
        <v>31</v>
      </c>
      <c r="C1067" t="s">
        <v>5983</v>
      </c>
      <c r="D1067" t="s">
        <v>5984</v>
      </c>
      <c r="E1067" t="s">
        <v>362</v>
      </c>
      <c r="F1067" t="s">
        <v>372</v>
      </c>
      <c r="G1067">
        <v>2019</v>
      </c>
      <c r="H1067" t="s">
        <v>36</v>
      </c>
      <c r="I1067" t="s">
        <v>5985</v>
      </c>
      <c r="J1067" t="s">
        <v>31</v>
      </c>
      <c r="K1067" t="s">
        <v>38</v>
      </c>
      <c r="L1067" t="s">
        <v>1465</v>
      </c>
      <c r="M1067" t="s">
        <v>1466</v>
      </c>
      <c r="N1067" t="s">
        <v>3187</v>
      </c>
      <c r="O1067" t="s">
        <v>5984</v>
      </c>
      <c r="P1067" t="s">
        <v>5986</v>
      </c>
      <c r="Q1067" t="s">
        <v>5984</v>
      </c>
      <c r="T1067">
        <v>42.532933477</v>
      </c>
      <c r="U1067">
        <v>-96.490838910999997</v>
      </c>
      <c r="V1067">
        <f>SUM(W1067:X1067)+(Y1067*0.8)+(Z1067*0.4)</f>
        <v>6</v>
      </c>
      <c r="W1067">
        <v>6</v>
      </c>
      <c r="X1067">
        <v>0</v>
      </c>
      <c r="Y1067">
        <v>0</v>
      </c>
      <c r="Z1067">
        <v>0</v>
      </c>
      <c r="AA1067" t="s">
        <v>43</v>
      </c>
      <c r="AB1067">
        <v>6</v>
      </c>
      <c r="AD1067" t="s">
        <v>5987</v>
      </c>
      <c r="AE1067" t="s">
        <v>5988</v>
      </c>
    </row>
    <row r="1068" spans="1:31" x14ac:dyDescent="0.25">
      <c r="A1068" t="s">
        <v>31</v>
      </c>
      <c r="C1068" t="s">
        <v>5765</v>
      </c>
      <c r="D1068" t="s">
        <v>5771</v>
      </c>
      <c r="E1068" t="s">
        <v>34</v>
      </c>
      <c r="F1068" t="s">
        <v>35</v>
      </c>
      <c r="G1068">
        <v>2019</v>
      </c>
      <c r="H1068" t="s">
        <v>36</v>
      </c>
      <c r="I1068" t="s">
        <v>5772</v>
      </c>
      <c r="J1068" t="s">
        <v>31</v>
      </c>
      <c r="K1068" t="s">
        <v>38</v>
      </c>
      <c r="L1068" t="s">
        <v>185</v>
      </c>
      <c r="M1068" t="s">
        <v>186</v>
      </c>
      <c r="N1068" t="s">
        <v>187</v>
      </c>
      <c r="O1068" t="s">
        <v>183</v>
      </c>
      <c r="P1068" t="s">
        <v>188</v>
      </c>
      <c r="T1068">
        <v>34.086960738000002</v>
      </c>
      <c r="U1068">
        <v>-84.252033925999996</v>
      </c>
      <c r="V1068">
        <f>SUM(W1068:X1068)+(Y1068*0.8)+(Z1068*0.4)</f>
        <v>6</v>
      </c>
      <c r="W1068">
        <v>6</v>
      </c>
      <c r="X1068">
        <v>0</v>
      </c>
      <c r="Y1068">
        <v>0</v>
      </c>
      <c r="Z1068">
        <v>0</v>
      </c>
      <c r="AA1068" t="s">
        <v>43</v>
      </c>
      <c r="AB1068">
        <v>5</v>
      </c>
      <c r="AC1068">
        <v>1.6</v>
      </c>
      <c r="AD1068" t="s">
        <v>5773</v>
      </c>
      <c r="AE1068" t="s">
        <v>5774</v>
      </c>
    </row>
    <row r="1069" spans="1:31" x14ac:dyDescent="0.25">
      <c r="A1069" t="s">
        <v>31</v>
      </c>
      <c r="C1069" t="s">
        <v>3849</v>
      </c>
      <c r="D1069" t="s">
        <v>4316</v>
      </c>
      <c r="E1069" t="s">
        <v>34</v>
      </c>
      <c r="F1069" t="s">
        <v>66</v>
      </c>
      <c r="G1069">
        <v>2018</v>
      </c>
      <c r="H1069" t="s">
        <v>36</v>
      </c>
      <c r="I1069" t="s">
        <v>4317</v>
      </c>
      <c r="J1069" t="s">
        <v>31</v>
      </c>
      <c r="K1069" t="s">
        <v>38</v>
      </c>
      <c r="L1069" t="s">
        <v>172</v>
      </c>
      <c r="M1069" t="s">
        <v>173</v>
      </c>
      <c r="N1069" t="s">
        <v>780</v>
      </c>
      <c r="O1069" t="s">
        <v>781</v>
      </c>
      <c r="P1069" t="s">
        <v>3145</v>
      </c>
      <c r="T1069">
        <v>37.379187999999999</v>
      </c>
      <c r="U1069">
        <v>-121.95815399999999</v>
      </c>
      <c r="V1069">
        <f>SUM(W1069:X1069)+(Y1069*0.8)+(Z1069*0.4)</f>
        <v>6</v>
      </c>
      <c r="W1069">
        <v>6</v>
      </c>
      <c r="X1069">
        <v>0</v>
      </c>
      <c r="Y1069">
        <v>0</v>
      </c>
      <c r="Z1069">
        <v>0</v>
      </c>
      <c r="AA1069" t="s">
        <v>43</v>
      </c>
      <c r="AB1069">
        <v>5.9</v>
      </c>
      <c r="AD1069" t="s">
        <v>4318</v>
      </c>
      <c r="AE1069" t="s">
        <v>4319</v>
      </c>
    </row>
    <row r="1070" spans="1:31" x14ac:dyDescent="0.25">
      <c r="A1070" t="s">
        <v>31</v>
      </c>
      <c r="C1070" t="s">
        <v>3710</v>
      </c>
      <c r="D1070" t="s">
        <v>3766</v>
      </c>
      <c r="E1070" t="s">
        <v>34</v>
      </c>
      <c r="F1070" t="s">
        <v>35</v>
      </c>
      <c r="G1070">
        <v>2018</v>
      </c>
      <c r="H1070" t="s">
        <v>36</v>
      </c>
      <c r="I1070" t="s">
        <v>3767</v>
      </c>
      <c r="J1070" t="s">
        <v>31</v>
      </c>
      <c r="K1070" t="s">
        <v>38</v>
      </c>
      <c r="L1070" t="s">
        <v>185</v>
      </c>
      <c r="M1070" t="s">
        <v>186</v>
      </c>
      <c r="N1070" t="s">
        <v>187</v>
      </c>
      <c r="O1070" t="s">
        <v>1606</v>
      </c>
      <c r="P1070" t="s">
        <v>3763</v>
      </c>
      <c r="T1070">
        <v>33.734337949</v>
      </c>
      <c r="U1070">
        <v>-84.426609876000001</v>
      </c>
      <c r="V1070">
        <f>SUM(W1070:X1070)+(Y1070*0.8)+(Z1070*0.4)</f>
        <v>6</v>
      </c>
      <c r="W1070">
        <v>6</v>
      </c>
      <c r="X1070">
        <v>0</v>
      </c>
      <c r="Y1070">
        <v>0</v>
      </c>
      <c r="Z1070">
        <v>0</v>
      </c>
      <c r="AA1070" t="s">
        <v>43</v>
      </c>
      <c r="AB1070">
        <v>6</v>
      </c>
      <c r="AD1070" t="s">
        <v>3768</v>
      </c>
      <c r="AE1070" t="s">
        <v>3769</v>
      </c>
    </row>
    <row r="1071" spans="1:31" x14ac:dyDescent="0.25">
      <c r="A1071" t="s">
        <v>31</v>
      </c>
      <c r="C1071" t="s">
        <v>4801</v>
      </c>
      <c r="D1071" t="s">
        <v>4882</v>
      </c>
      <c r="E1071" t="s">
        <v>34</v>
      </c>
      <c r="F1071" t="s">
        <v>66</v>
      </c>
      <c r="G1071">
        <v>2017</v>
      </c>
      <c r="H1071" t="s">
        <v>36</v>
      </c>
      <c r="I1071" t="s">
        <v>4883</v>
      </c>
      <c r="J1071" t="s">
        <v>31</v>
      </c>
      <c r="K1071" t="s">
        <v>38</v>
      </c>
      <c r="L1071" t="s">
        <v>202</v>
      </c>
      <c r="M1071" t="s">
        <v>203</v>
      </c>
      <c r="N1071" t="s">
        <v>397</v>
      </c>
      <c r="O1071" t="s">
        <v>3122</v>
      </c>
      <c r="P1071" t="s">
        <v>4884</v>
      </c>
      <c r="T1071">
        <v>25.945464746999999</v>
      </c>
      <c r="U1071">
        <v>-80.191455856999994</v>
      </c>
      <c r="V1071">
        <f>SUM(W1071:X1071)+(Y1071*0.8)+(Z1071*0.4)</f>
        <v>6</v>
      </c>
      <c r="W1071">
        <v>6</v>
      </c>
      <c r="X1071">
        <v>0</v>
      </c>
      <c r="Y1071">
        <v>0</v>
      </c>
      <c r="Z1071">
        <v>0</v>
      </c>
      <c r="AA1071" t="s">
        <v>43</v>
      </c>
      <c r="AB1071">
        <v>6</v>
      </c>
      <c r="AD1071" t="s">
        <v>4885</v>
      </c>
      <c r="AE1071" t="s">
        <v>4886</v>
      </c>
    </row>
    <row r="1072" spans="1:31" x14ac:dyDescent="0.25">
      <c r="A1072" t="s">
        <v>31</v>
      </c>
      <c r="C1072" t="s">
        <v>169</v>
      </c>
      <c r="D1072" t="s">
        <v>227</v>
      </c>
      <c r="E1072" t="s">
        <v>34</v>
      </c>
      <c r="F1072" t="s">
        <v>35</v>
      </c>
      <c r="G1072">
        <v>2016</v>
      </c>
      <c r="H1072" t="s">
        <v>36</v>
      </c>
      <c r="I1072" t="s">
        <v>228</v>
      </c>
      <c r="J1072" t="s">
        <v>31</v>
      </c>
      <c r="K1072" t="s">
        <v>38</v>
      </c>
      <c r="L1072" t="s">
        <v>123</v>
      </c>
      <c r="M1072" t="s">
        <v>124</v>
      </c>
      <c r="N1072" t="s">
        <v>229</v>
      </c>
      <c r="O1072" t="s">
        <v>230</v>
      </c>
      <c r="P1072" t="s">
        <v>231</v>
      </c>
      <c r="T1072">
        <v>40.822776636</v>
      </c>
      <c r="U1072">
        <v>-73.291636173000001</v>
      </c>
      <c r="V1072">
        <f>SUM(W1072:X1072)+(Y1072*0.8)+(Z1072*0.4)</f>
        <v>6</v>
      </c>
      <c r="W1072">
        <v>6</v>
      </c>
      <c r="X1072">
        <v>0</v>
      </c>
      <c r="Y1072">
        <v>0</v>
      </c>
      <c r="Z1072">
        <v>0</v>
      </c>
      <c r="AA1072" t="s">
        <v>43</v>
      </c>
      <c r="AB1072">
        <v>5.8049999999999997</v>
      </c>
      <c r="AD1072" t="s">
        <v>232</v>
      </c>
      <c r="AE1072" t="s">
        <v>233</v>
      </c>
    </row>
    <row r="1073" spans="1:31" x14ac:dyDescent="0.25">
      <c r="A1073" t="s">
        <v>31</v>
      </c>
      <c r="B1073" t="s">
        <v>11350</v>
      </c>
      <c r="C1073" t="s">
        <v>647</v>
      </c>
      <c r="D1073" t="s">
        <v>1024</v>
      </c>
      <c r="E1073" t="s">
        <v>362</v>
      </c>
      <c r="F1073" t="s">
        <v>649</v>
      </c>
      <c r="G1073">
        <v>2014</v>
      </c>
      <c r="H1073" t="s">
        <v>36</v>
      </c>
      <c r="I1073" t="s">
        <v>1025</v>
      </c>
      <c r="J1073" t="s">
        <v>31</v>
      </c>
      <c r="K1073" t="s">
        <v>38</v>
      </c>
      <c r="L1073" t="s">
        <v>242</v>
      </c>
      <c r="M1073" t="s">
        <v>243</v>
      </c>
      <c r="N1073" t="s">
        <v>509</v>
      </c>
      <c r="O1073" t="s">
        <v>510</v>
      </c>
      <c r="P1073" t="s">
        <v>511</v>
      </c>
      <c r="T1073">
        <v>38.790104620000001</v>
      </c>
      <c r="U1073">
        <v>-77.547851214999994</v>
      </c>
      <c r="V1073">
        <f>SUM(W1073:X1073)+(Y1073*0.8)+(Z1073*0.4)</f>
        <v>6</v>
      </c>
      <c r="W1073">
        <v>6</v>
      </c>
      <c r="X1073">
        <v>0</v>
      </c>
      <c r="Y1073">
        <v>0</v>
      </c>
      <c r="Z1073">
        <v>0</v>
      </c>
      <c r="AA1073" t="s">
        <v>43</v>
      </c>
      <c r="AB1073">
        <v>6</v>
      </c>
      <c r="AD1073" t="s">
        <v>1026</v>
      </c>
      <c r="AE1073" t="s">
        <v>1027</v>
      </c>
    </row>
    <row r="1074" spans="1:31" x14ac:dyDescent="0.25">
      <c r="A1074" t="s">
        <v>31</v>
      </c>
      <c r="C1074" t="s">
        <v>8292</v>
      </c>
      <c r="D1074" t="s">
        <v>8293</v>
      </c>
      <c r="E1074" t="s">
        <v>362</v>
      </c>
      <c r="F1074" t="s">
        <v>630</v>
      </c>
      <c r="G1074">
        <v>2013</v>
      </c>
      <c r="H1074" t="s">
        <v>36</v>
      </c>
      <c r="I1074" t="s">
        <v>8294</v>
      </c>
      <c r="J1074" t="s">
        <v>31</v>
      </c>
      <c r="K1074" t="s">
        <v>38</v>
      </c>
      <c r="L1074" t="s">
        <v>620</v>
      </c>
      <c r="M1074" t="s">
        <v>621</v>
      </c>
      <c r="N1074" t="s">
        <v>5917</v>
      </c>
      <c r="O1074" t="s">
        <v>5074</v>
      </c>
      <c r="P1074" t="s">
        <v>8295</v>
      </c>
      <c r="T1074">
        <v>40.427235435999997</v>
      </c>
      <c r="U1074">
        <v>-111.93464570899999</v>
      </c>
      <c r="V1074">
        <f>SUM(W1074:X1074)+(Y1074*0.8)+(Z1074*0.4)</f>
        <v>6</v>
      </c>
      <c r="W1074">
        <v>6</v>
      </c>
      <c r="X1074">
        <v>0</v>
      </c>
      <c r="Y1074">
        <v>0</v>
      </c>
      <c r="Z1074">
        <v>0</v>
      </c>
      <c r="AA1074" t="s">
        <v>43</v>
      </c>
      <c r="AB1074">
        <v>6</v>
      </c>
      <c r="AD1074" t="s">
        <v>8296</v>
      </c>
      <c r="AE1074" t="s">
        <v>8297</v>
      </c>
    </row>
    <row r="1075" spans="1:31" x14ac:dyDescent="0.25">
      <c r="A1075" t="s">
        <v>31</v>
      </c>
      <c r="C1075" t="s">
        <v>9818</v>
      </c>
      <c r="D1075" t="s">
        <v>9819</v>
      </c>
      <c r="E1075" t="s">
        <v>362</v>
      </c>
      <c r="F1075" t="s">
        <v>630</v>
      </c>
      <c r="G1075">
        <v>2012</v>
      </c>
      <c r="H1075" t="s">
        <v>36</v>
      </c>
      <c r="I1075" t="s">
        <v>9820</v>
      </c>
      <c r="J1075" t="s">
        <v>31</v>
      </c>
      <c r="K1075" t="s">
        <v>38</v>
      </c>
      <c r="L1075" t="s">
        <v>448</v>
      </c>
      <c r="M1075" t="s">
        <v>449</v>
      </c>
      <c r="N1075" t="s">
        <v>564</v>
      </c>
      <c r="O1075" t="s">
        <v>9821</v>
      </c>
      <c r="T1075">
        <v>39.313333835999998</v>
      </c>
      <c r="U1075">
        <v>-77.347731300999996</v>
      </c>
      <c r="V1075">
        <f>SUM(W1075:X1075)+(Y1075*0.8)+(Z1075*0.4)</f>
        <v>6</v>
      </c>
      <c r="W1075">
        <v>6</v>
      </c>
      <c r="X1075">
        <v>0</v>
      </c>
      <c r="Y1075">
        <v>0</v>
      </c>
      <c r="Z1075">
        <v>0</v>
      </c>
      <c r="AA1075" t="s">
        <v>43</v>
      </c>
      <c r="AB1075">
        <v>6</v>
      </c>
      <c r="AD1075" t="s">
        <v>9822</v>
      </c>
      <c r="AE1075" t="s">
        <v>9823</v>
      </c>
    </row>
    <row r="1076" spans="1:31" x14ac:dyDescent="0.25">
      <c r="A1076" t="s">
        <v>31</v>
      </c>
      <c r="B1076" t="s">
        <v>11350</v>
      </c>
      <c r="C1076" t="s">
        <v>647</v>
      </c>
      <c r="D1076" t="s">
        <v>1007</v>
      </c>
      <c r="E1076" t="s">
        <v>362</v>
      </c>
      <c r="F1076" t="s">
        <v>649</v>
      </c>
      <c r="G1076">
        <v>2011</v>
      </c>
      <c r="H1076" t="s">
        <v>36</v>
      </c>
      <c r="I1076" t="s">
        <v>1008</v>
      </c>
      <c r="J1076" t="s">
        <v>31</v>
      </c>
      <c r="K1076" t="s">
        <v>38</v>
      </c>
      <c r="L1076" t="s">
        <v>242</v>
      </c>
      <c r="M1076" t="s">
        <v>243</v>
      </c>
      <c r="N1076" t="s">
        <v>405</v>
      </c>
      <c r="O1076" t="s">
        <v>526</v>
      </c>
      <c r="P1076" t="s">
        <v>527</v>
      </c>
      <c r="T1076">
        <v>39.021309195999997</v>
      </c>
      <c r="U1076">
        <v>-77.432474545999995</v>
      </c>
      <c r="V1076">
        <f>SUM(W1076:X1076)+(Y1076*0.8)+(Z1076*0.4)</f>
        <v>6</v>
      </c>
      <c r="W1076">
        <v>6</v>
      </c>
      <c r="X1076">
        <v>0</v>
      </c>
      <c r="Y1076">
        <v>0</v>
      </c>
      <c r="Z1076">
        <v>0</v>
      </c>
      <c r="AA1076" t="s">
        <v>43</v>
      </c>
      <c r="AB1076">
        <v>6</v>
      </c>
      <c r="AD1076" t="s">
        <v>1009</v>
      </c>
      <c r="AE1076" t="s">
        <v>1010</v>
      </c>
    </row>
    <row r="1077" spans="1:31" x14ac:dyDescent="0.25">
      <c r="A1077" t="s">
        <v>31</v>
      </c>
      <c r="C1077" t="s">
        <v>5499</v>
      </c>
      <c r="D1077" t="s">
        <v>5500</v>
      </c>
      <c r="E1077" t="s">
        <v>34</v>
      </c>
      <c r="F1077" t="s">
        <v>35</v>
      </c>
      <c r="G1077">
        <v>2009</v>
      </c>
      <c r="H1077" t="s">
        <v>36</v>
      </c>
      <c r="I1077" t="s">
        <v>5501</v>
      </c>
      <c r="J1077" t="s">
        <v>31</v>
      </c>
      <c r="K1077" t="s">
        <v>38</v>
      </c>
      <c r="L1077" t="s">
        <v>251</v>
      </c>
      <c r="M1077" t="s">
        <v>252</v>
      </c>
      <c r="N1077" t="s">
        <v>253</v>
      </c>
      <c r="O1077" t="s">
        <v>2016</v>
      </c>
      <c r="P1077" t="s">
        <v>1624</v>
      </c>
      <c r="Q1077" t="s">
        <v>3060</v>
      </c>
      <c r="T1077">
        <v>42.377912999999999</v>
      </c>
      <c r="U1077">
        <v>-71.080376999999999</v>
      </c>
      <c r="V1077">
        <f>SUM(W1077:X1077)+(Y1077*0.8)+(Z1077*0.4)</f>
        <v>6</v>
      </c>
      <c r="W1077">
        <v>6</v>
      </c>
      <c r="X1077">
        <v>0</v>
      </c>
      <c r="Y1077">
        <v>0</v>
      </c>
      <c r="Z1077">
        <v>0</v>
      </c>
      <c r="AA1077" t="s">
        <v>43</v>
      </c>
      <c r="AB1077">
        <v>5.88</v>
      </c>
      <c r="AC1077">
        <v>0</v>
      </c>
      <c r="AD1077" t="s">
        <v>5502</v>
      </c>
      <c r="AE1077" t="s">
        <v>5503</v>
      </c>
    </row>
    <row r="1078" spans="1:31" x14ac:dyDescent="0.25">
      <c r="A1078" t="s">
        <v>31</v>
      </c>
      <c r="C1078" t="s">
        <v>3849</v>
      </c>
      <c r="D1078" t="s">
        <v>4301</v>
      </c>
      <c r="E1078" t="s">
        <v>34</v>
      </c>
      <c r="F1078" t="s">
        <v>66</v>
      </c>
      <c r="G1078">
        <v>2008</v>
      </c>
      <c r="H1078" t="s">
        <v>36</v>
      </c>
      <c r="I1078" t="s">
        <v>4302</v>
      </c>
      <c r="J1078" t="s">
        <v>31</v>
      </c>
      <c r="K1078" t="s">
        <v>38</v>
      </c>
      <c r="L1078" t="s">
        <v>172</v>
      </c>
      <c r="M1078" t="s">
        <v>173</v>
      </c>
      <c r="N1078" t="s">
        <v>780</v>
      </c>
      <c r="O1078" t="s">
        <v>781</v>
      </c>
      <c r="P1078" t="s">
        <v>3145</v>
      </c>
      <c r="T1078">
        <v>37.376334999999997</v>
      </c>
      <c r="U1078">
        <v>-121.948584</v>
      </c>
      <c r="V1078">
        <f>SUM(W1078:X1078)+(Y1078*0.8)+(Z1078*0.4)</f>
        <v>6</v>
      </c>
      <c r="W1078">
        <v>6</v>
      </c>
      <c r="X1078">
        <v>0</v>
      </c>
      <c r="Y1078">
        <v>0</v>
      </c>
      <c r="Z1078">
        <v>0</v>
      </c>
      <c r="AA1078" t="s">
        <v>43</v>
      </c>
      <c r="AB1078">
        <v>5.95</v>
      </c>
      <c r="AD1078" t="s">
        <v>4303</v>
      </c>
      <c r="AE1078" t="s">
        <v>4304</v>
      </c>
    </row>
    <row r="1079" spans="1:31" x14ac:dyDescent="0.25">
      <c r="A1079" t="s">
        <v>31</v>
      </c>
      <c r="C1079" t="s">
        <v>1793</v>
      </c>
      <c r="D1079" t="s">
        <v>1794</v>
      </c>
      <c r="E1079" t="s">
        <v>362</v>
      </c>
      <c r="F1079" t="s">
        <v>630</v>
      </c>
      <c r="G1079">
        <v>2008</v>
      </c>
      <c r="H1079" t="s">
        <v>36</v>
      </c>
      <c r="I1079" t="s">
        <v>1795</v>
      </c>
      <c r="J1079" t="s">
        <v>31</v>
      </c>
      <c r="K1079" t="s">
        <v>38</v>
      </c>
      <c r="L1079" t="s">
        <v>242</v>
      </c>
      <c r="M1079" t="s">
        <v>243</v>
      </c>
      <c r="N1079" t="s">
        <v>1796</v>
      </c>
      <c r="O1079" t="s">
        <v>1797</v>
      </c>
      <c r="P1079" t="s">
        <v>1798</v>
      </c>
      <c r="T1079">
        <v>37.630522501000002</v>
      </c>
      <c r="U1079">
        <v>-77.464610495000002</v>
      </c>
      <c r="V1079">
        <f>SUM(W1079:X1079)+(Y1079*0.8)+(Z1079*0.4)</f>
        <v>6</v>
      </c>
      <c r="W1079">
        <v>6</v>
      </c>
      <c r="X1079">
        <v>0</v>
      </c>
      <c r="Y1079">
        <v>0</v>
      </c>
      <c r="Z1079">
        <v>0</v>
      </c>
      <c r="AA1079" t="s">
        <v>43</v>
      </c>
      <c r="AB1079">
        <v>6</v>
      </c>
      <c r="AD1079" t="s">
        <v>1799</v>
      </c>
      <c r="AE1079" t="s">
        <v>1800</v>
      </c>
    </row>
    <row r="1080" spans="1:31" x14ac:dyDescent="0.25">
      <c r="A1080" t="s">
        <v>31</v>
      </c>
      <c r="C1080" t="s">
        <v>3849</v>
      </c>
      <c r="D1080" t="s">
        <v>4208</v>
      </c>
      <c r="E1080" t="s">
        <v>34</v>
      </c>
      <c r="F1080" t="s">
        <v>66</v>
      </c>
      <c r="G1080">
        <v>2006</v>
      </c>
      <c r="H1080" t="s">
        <v>36</v>
      </c>
      <c r="I1080" t="s">
        <v>4209</v>
      </c>
      <c r="J1080" t="s">
        <v>31</v>
      </c>
      <c r="K1080" t="s">
        <v>38</v>
      </c>
      <c r="L1080" t="s">
        <v>123</v>
      </c>
      <c r="M1080" t="s">
        <v>124</v>
      </c>
      <c r="N1080" t="s">
        <v>270</v>
      </c>
      <c r="O1080" t="s">
        <v>123</v>
      </c>
      <c r="P1080" t="s">
        <v>2680</v>
      </c>
      <c r="Q1080" t="s">
        <v>2681</v>
      </c>
      <c r="S1080" t="s">
        <v>273</v>
      </c>
      <c r="T1080">
        <v>40.741444000000001</v>
      </c>
      <c r="U1080">
        <v>-74.003420000000006</v>
      </c>
      <c r="V1080">
        <f>SUM(W1080:X1080)+(Y1080*0.8)+(Z1080*0.4)</f>
        <v>6</v>
      </c>
      <c r="W1080">
        <v>6</v>
      </c>
      <c r="X1080">
        <v>0</v>
      </c>
      <c r="Y1080">
        <v>0</v>
      </c>
      <c r="Z1080">
        <v>0</v>
      </c>
      <c r="AA1080" t="s">
        <v>43</v>
      </c>
      <c r="AB1080">
        <v>5.6</v>
      </c>
      <c r="AD1080" t="s">
        <v>4210</v>
      </c>
      <c r="AE1080" t="s">
        <v>4211</v>
      </c>
    </row>
    <row r="1081" spans="1:31" x14ac:dyDescent="0.25">
      <c r="A1081" t="s">
        <v>31</v>
      </c>
      <c r="C1081" t="s">
        <v>5638</v>
      </c>
      <c r="D1081" t="s">
        <v>5639</v>
      </c>
      <c r="E1081" t="s">
        <v>362</v>
      </c>
      <c r="F1081" t="s">
        <v>4135</v>
      </c>
      <c r="G1081">
        <v>2005</v>
      </c>
      <c r="H1081" t="s">
        <v>36</v>
      </c>
      <c r="I1081" t="s">
        <v>5640</v>
      </c>
      <c r="J1081" t="s">
        <v>31</v>
      </c>
      <c r="K1081" t="s">
        <v>38</v>
      </c>
      <c r="L1081" t="s">
        <v>448</v>
      </c>
      <c r="M1081" t="s">
        <v>449</v>
      </c>
      <c r="N1081" t="s">
        <v>564</v>
      </c>
      <c r="O1081" t="s">
        <v>775</v>
      </c>
      <c r="P1081" t="s">
        <v>5641</v>
      </c>
      <c r="T1081">
        <v>39.320171449999997</v>
      </c>
      <c r="U1081">
        <v>-77.349598588000006</v>
      </c>
      <c r="V1081">
        <f>SUM(W1081:X1081)+(Y1081*0.8)+(Z1081*0.4)</f>
        <v>6</v>
      </c>
      <c r="W1081">
        <v>6</v>
      </c>
      <c r="X1081">
        <v>0</v>
      </c>
      <c r="Y1081">
        <v>0</v>
      </c>
      <c r="Z1081">
        <v>0</v>
      </c>
      <c r="AA1081" t="s">
        <v>43</v>
      </c>
      <c r="AB1081">
        <v>6</v>
      </c>
      <c r="AD1081" t="s">
        <v>5642</v>
      </c>
      <c r="AE1081" t="s">
        <v>5643</v>
      </c>
    </row>
    <row r="1082" spans="1:31" x14ac:dyDescent="0.25">
      <c r="A1082" t="s">
        <v>31</v>
      </c>
      <c r="C1082" t="s">
        <v>5181</v>
      </c>
      <c r="D1082" t="s">
        <v>5345</v>
      </c>
      <c r="E1082" t="s">
        <v>34</v>
      </c>
      <c r="F1082" t="s">
        <v>35</v>
      </c>
      <c r="G1082">
        <v>2005</v>
      </c>
      <c r="H1082" t="s">
        <v>36</v>
      </c>
      <c r="I1082" t="s">
        <v>5346</v>
      </c>
      <c r="J1082" t="s">
        <v>31</v>
      </c>
      <c r="K1082" t="s">
        <v>38</v>
      </c>
      <c r="L1082" t="s">
        <v>172</v>
      </c>
      <c r="M1082" t="s">
        <v>173</v>
      </c>
      <c r="N1082" t="s">
        <v>493</v>
      </c>
      <c r="O1082" t="s">
        <v>4273</v>
      </c>
      <c r="P1082" t="s">
        <v>4274</v>
      </c>
      <c r="S1082" t="s">
        <v>5347</v>
      </c>
      <c r="T1082">
        <v>33.921450999999998</v>
      </c>
      <c r="U1082">
        <v>-118.384063</v>
      </c>
      <c r="V1082">
        <f>SUM(W1082:X1082)+(Y1082*0.8)+(Z1082*0.4)</f>
        <v>6</v>
      </c>
      <c r="W1082">
        <v>5</v>
      </c>
      <c r="X1082">
        <v>1</v>
      </c>
      <c r="Y1082">
        <v>0</v>
      </c>
      <c r="Z1082">
        <v>0</v>
      </c>
      <c r="AA1082" t="s">
        <v>43</v>
      </c>
      <c r="AB1082">
        <v>4</v>
      </c>
      <c r="AD1082" t="s">
        <v>5348</v>
      </c>
      <c r="AE1082" t="s">
        <v>5349</v>
      </c>
    </row>
    <row r="1083" spans="1:31" x14ac:dyDescent="0.25">
      <c r="A1083" t="s">
        <v>31</v>
      </c>
      <c r="C1083" t="s">
        <v>10977</v>
      </c>
      <c r="D1083" t="s">
        <v>10989</v>
      </c>
      <c r="E1083" t="s">
        <v>362</v>
      </c>
      <c r="F1083" t="s">
        <v>1611</v>
      </c>
      <c r="G1083">
        <v>2002</v>
      </c>
      <c r="H1083" t="s">
        <v>36</v>
      </c>
      <c r="I1083" t="s">
        <v>10990</v>
      </c>
      <c r="J1083" t="s">
        <v>31</v>
      </c>
      <c r="K1083" t="s">
        <v>38</v>
      </c>
      <c r="L1083" t="s">
        <v>242</v>
      </c>
      <c r="M1083" t="s">
        <v>243</v>
      </c>
      <c r="N1083" t="s">
        <v>509</v>
      </c>
      <c r="O1083" t="s">
        <v>510</v>
      </c>
      <c r="P1083" t="s">
        <v>511</v>
      </c>
      <c r="T1083">
        <v>38.804578544999998</v>
      </c>
      <c r="U1083">
        <v>-77.511882479999997</v>
      </c>
      <c r="V1083">
        <f>SUM(W1083:X1083)+(Y1083*0.8)+(Z1083*0.4)</f>
        <v>6</v>
      </c>
      <c r="W1083">
        <v>6</v>
      </c>
      <c r="X1083">
        <v>0</v>
      </c>
      <c r="Y1083">
        <v>0</v>
      </c>
      <c r="Z1083">
        <v>0</v>
      </c>
      <c r="AA1083" t="s">
        <v>43</v>
      </c>
      <c r="AB1083">
        <v>6</v>
      </c>
      <c r="AD1083" t="s">
        <v>10991</v>
      </c>
      <c r="AE1083" t="s">
        <v>10992</v>
      </c>
    </row>
    <row r="1084" spans="1:31" x14ac:dyDescent="0.25">
      <c r="A1084" t="s">
        <v>31</v>
      </c>
      <c r="C1084" t="s">
        <v>5181</v>
      </c>
      <c r="D1084" t="s">
        <v>3153</v>
      </c>
      <c r="E1084" t="s">
        <v>34</v>
      </c>
      <c r="F1084" t="s">
        <v>35</v>
      </c>
      <c r="G1084">
        <v>2001</v>
      </c>
      <c r="H1084" t="s">
        <v>36</v>
      </c>
      <c r="I1084" t="s">
        <v>5463</v>
      </c>
      <c r="J1084" t="s">
        <v>31</v>
      </c>
      <c r="K1084" t="s">
        <v>38</v>
      </c>
      <c r="L1084" t="s">
        <v>172</v>
      </c>
      <c r="M1084" t="s">
        <v>173</v>
      </c>
      <c r="N1084" t="s">
        <v>780</v>
      </c>
      <c r="O1084" t="s">
        <v>781</v>
      </c>
      <c r="P1084" t="s">
        <v>3145</v>
      </c>
      <c r="T1084">
        <v>37.378304065999998</v>
      </c>
      <c r="U1084">
        <v>-121.95504475200001</v>
      </c>
      <c r="V1084">
        <f>SUM(W1084:X1084)+(Y1084*0.8)+(Z1084*0.4)</f>
        <v>6</v>
      </c>
      <c r="W1084">
        <v>6</v>
      </c>
      <c r="X1084">
        <v>0</v>
      </c>
      <c r="Y1084">
        <v>0</v>
      </c>
      <c r="Z1084">
        <v>0</v>
      </c>
      <c r="AA1084" t="s">
        <v>43</v>
      </c>
      <c r="AB1084">
        <v>6</v>
      </c>
      <c r="AD1084" t="s">
        <v>5464</v>
      </c>
      <c r="AE1084" t="s">
        <v>5465</v>
      </c>
    </row>
    <row r="1085" spans="1:31" x14ac:dyDescent="0.25">
      <c r="A1085" t="s">
        <v>31</v>
      </c>
      <c r="C1085" t="s">
        <v>10406</v>
      </c>
      <c r="D1085" t="s">
        <v>2116</v>
      </c>
      <c r="E1085" t="s">
        <v>34</v>
      </c>
      <c r="F1085" t="s">
        <v>35</v>
      </c>
      <c r="G1085">
        <v>2000</v>
      </c>
      <c r="H1085" t="s">
        <v>36</v>
      </c>
      <c r="I1085" t="s">
        <v>10456</v>
      </c>
      <c r="J1085" t="s">
        <v>31</v>
      </c>
      <c r="K1085" t="s">
        <v>38</v>
      </c>
      <c r="L1085" t="s">
        <v>68</v>
      </c>
      <c r="M1085" t="s">
        <v>69</v>
      </c>
      <c r="N1085" t="s">
        <v>297</v>
      </c>
      <c r="O1085" t="s">
        <v>2116</v>
      </c>
      <c r="P1085" t="s">
        <v>3176</v>
      </c>
      <c r="T1085">
        <v>32.808154360000003</v>
      </c>
      <c r="U1085">
        <v>-96.857061174999998</v>
      </c>
      <c r="V1085">
        <f>SUM(W1085:X1085)+(Y1085*0.8)+(Z1085*0.4)</f>
        <v>6</v>
      </c>
      <c r="W1085">
        <v>6</v>
      </c>
      <c r="X1085">
        <v>0</v>
      </c>
      <c r="Y1085">
        <v>0</v>
      </c>
      <c r="Z1085">
        <v>0</v>
      </c>
      <c r="AA1085" t="s">
        <v>43</v>
      </c>
      <c r="AB1085">
        <v>5</v>
      </c>
      <c r="AD1085" t="s">
        <v>10457</v>
      </c>
      <c r="AE1085" t="s">
        <v>10458</v>
      </c>
    </row>
    <row r="1086" spans="1:31" x14ac:dyDescent="0.25">
      <c r="A1086" t="s">
        <v>31</v>
      </c>
      <c r="C1086" t="s">
        <v>8316</v>
      </c>
      <c r="D1086" t="s">
        <v>8317</v>
      </c>
      <c r="E1086" t="s">
        <v>34</v>
      </c>
      <c r="F1086" t="s">
        <v>35</v>
      </c>
      <c r="G1086">
        <v>2000</v>
      </c>
      <c r="H1086" t="s">
        <v>36</v>
      </c>
      <c r="I1086" t="s">
        <v>8318</v>
      </c>
      <c r="J1086" t="s">
        <v>31</v>
      </c>
      <c r="K1086" t="s">
        <v>38</v>
      </c>
      <c r="L1086" t="s">
        <v>251</v>
      </c>
      <c r="M1086" t="s">
        <v>252</v>
      </c>
      <c r="N1086" t="s">
        <v>163</v>
      </c>
      <c r="O1086" t="s">
        <v>8319</v>
      </c>
      <c r="P1086" t="s">
        <v>8320</v>
      </c>
      <c r="T1086">
        <v>42.696723740000003</v>
      </c>
      <c r="U1086">
        <v>-71.211247377000007</v>
      </c>
      <c r="V1086">
        <f>SUM(W1086:X1086)+(Y1086*0.8)+(Z1086*0.4)</f>
        <v>6</v>
      </c>
      <c r="W1086">
        <v>6</v>
      </c>
      <c r="X1086">
        <v>0</v>
      </c>
      <c r="Y1086">
        <v>0</v>
      </c>
      <c r="Z1086">
        <v>0</v>
      </c>
      <c r="AA1086" t="s">
        <v>43</v>
      </c>
      <c r="AB1086">
        <v>5.3</v>
      </c>
      <c r="AD1086" t="s">
        <v>8321</v>
      </c>
      <c r="AE1086" t="s">
        <v>8322</v>
      </c>
    </row>
    <row r="1087" spans="1:31" x14ac:dyDescent="0.25">
      <c r="A1087" t="s">
        <v>31</v>
      </c>
      <c r="C1087" t="s">
        <v>5661</v>
      </c>
      <c r="D1087" t="s">
        <v>5662</v>
      </c>
      <c r="E1087" t="s">
        <v>34</v>
      </c>
      <c r="F1087" t="s">
        <v>35</v>
      </c>
      <c r="G1087">
        <v>2000</v>
      </c>
      <c r="H1087" t="s">
        <v>36</v>
      </c>
      <c r="I1087" t="s">
        <v>5663</v>
      </c>
      <c r="J1087" t="s">
        <v>31</v>
      </c>
      <c r="K1087" t="s">
        <v>38</v>
      </c>
      <c r="L1087" t="s">
        <v>172</v>
      </c>
      <c r="M1087" t="s">
        <v>173</v>
      </c>
      <c r="N1087" t="s">
        <v>780</v>
      </c>
      <c r="O1087" t="s">
        <v>2067</v>
      </c>
      <c r="P1087" t="s">
        <v>5533</v>
      </c>
      <c r="Q1087" t="s">
        <v>5664</v>
      </c>
      <c r="S1087" t="s">
        <v>5665</v>
      </c>
      <c r="T1087">
        <v>37.333577478000002</v>
      </c>
      <c r="U1087">
        <v>-121.904658204</v>
      </c>
      <c r="V1087">
        <f>SUM(W1087:X1087)+(Y1087*0.8)+(Z1087*0.4)</f>
        <v>6</v>
      </c>
      <c r="W1087">
        <v>6</v>
      </c>
      <c r="X1087">
        <v>0</v>
      </c>
      <c r="Y1087">
        <v>0</v>
      </c>
      <c r="Z1087">
        <v>0</v>
      </c>
      <c r="AA1087" t="s">
        <v>43</v>
      </c>
      <c r="AB1087">
        <v>5.83</v>
      </c>
      <c r="AD1087" t="s">
        <v>5666</v>
      </c>
      <c r="AE1087" t="s">
        <v>5667</v>
      </c>
    </row>
    <row r="1088" spans="1:31" x14ac:dyDescent="0.25">
      <c r="A1088" t="s">
        <v>31</v>
      </c>
      <c r="C1088" t="s">
        <v>6713</v>
      </c>
      <c r="D1088" t="s">
        <v>3122</v>
      </c>
      <c r="E1088" t="s">
        <v>34</v>
      </c>
      <c r="F1088" t="s">
        <v>35</v>
      </c>
      <c r="G1088">
        <v>1999</v>
      </c>
      <c r="H1088" t="s">
        <v>36</v>
      </c>
      <c r="I1088" t="s">
        <v>6714</v>
      </c>
      <c r="J1088" t="s">
        <v>31</v>
      </c>
      <c r="K1088" t="s">
        <v>38</v>
      </c>
      <c r="L1088" t="s">
        <v>202</v>
      </c>
      <c r="M1088" t="s">
        <v>203</v>
      </c>
      <c r="N1088" t="s">
        <v>397</v>
      </c>
      <c r="O1088" t="s">
        <v>3122</v>
      </c>
      <c r="P1088" t="s">
        <v>6715</v>
      </c>
      <c r="T1088">
        <v>25.848351999999998</v>
      </c>
      <c r="U1088">
        <v>-80.195094999999995</v>
      </c>
      <c r="V1088">
        <f>SUM(W1088:X1088)+(Y1088*0.8)+(Z1088*0.4)</f>
        <v>6</v>
      </c>
      <c r="W1088">
        <v>6</v>
      </c>
      <c r="X1088">
        <v>0</v>
      </c>
      <c r="Y1088">
        <v>0</v>
      </c>
      <c r="Z1088">
        <v>0</v>
      </c>
      <c r="AA1088" t="s">
        <v>43</v>
      </c>
      <c r="AB1088">
        <v>1.8</v>
      </c>
      <c r="AC1088">
        <v>1.3</v>
      </c>
      <c r="AD1088" t="s">
        <v>6716</v>
      </c>
      <c r="AE1088" t="s">
        <v>6717</v>
      </c>
    </row>
    <row r="1089" spans="1:31" x14ac:dyDescent="0.25">
      <c r="A1089" t="s">
        <v>31</v>
      </c>
      <c r="C1089" t="s">
        <v>7829</v>
      </c>
      <c r="D1089" t="s">
        <v>7830</v>
      </c>
      <c r="E1089" t="s">
        <v>362</v>
      </c>
      <c r="F1089" t="s">
        <v>630</v>
      </c>
      <c r="G1089">
        <v>1992</v>
      </c>
      <c r="H1089" t="s">
        <v>36</v>
      </c>
      <c r="I1089" t="s">
        <v>7831</v>
      </c>
      <c r="J1089" t="s">
        <v>31</v>
      </c>
      <c r="K1089" t="s">
        <v>38</v>
      </c>
      <c r="L1089" t="s">
        <v>123</v>
      </c>
      <c r="M1089" t="s">
        <v>124</v>
      </c>
      <c r="N1089" t="s">
        <v>7832</v>
      </c>
      <c r="O1089" t="s">
        <v>7503</v>
      </c>
      <c r="P1089" t="s">
        <v>7833</v>
      </c>
      <c r="S1089" t="s">
        <v>7834</v>
      </c>
      <c r="T1089">
        <v>42.684431081</v>
      </c>
      <c r="U1089">
        <v>-73.696623251999995</v>
      </c>
      <c r="V1089">
        <f>SUM(W1089:X1089)+(Y1089*0.8)+(Z1089*0.4)</f>
        <v>6</v>
      </c>
      <c r="W1089">
        <v>6</v>
      </c>
      <c r="X1089">
        <v>0</v>
      </c>
      <c r="Y1089">
        <v>0</v>
      </c>
      <c r="Z1089">
        <v>0</v>
      </c>
      <c r="AA1089" t="s">
        <v>43</v>
      </c>
      <c r="AB1089">
        <v>6</v>
      </c>
      <c r="AD1089" t="s">
        <v>7835</v>
      </c>
      <c r="AE1089" t="s">
        <v>7836</v>
      </c>
    </row>
    <row r="1090" spans="1:31" x14ac:dyDescent="0.25">
      <c r="A1090" t="s">
        <v>31</v>
      </c>
      <c r="C1090" t="s">
        <v>6381</v>
      </c>
      <c r="D1090" t="s">
        <v>6413</v>
      </c>
      <c r="E1090" t="s">
        <v>34</v>
      </c>
      <c r="F1090" t="s">
        <v>66</v>
      </c>
      <c r="G1090">
        <v>1990</v>
      </c>
      <c r="H1090" t="s">
        <v>36</v>
      </c>
      <c r="I1090" t="s">
        <v>6414</v>
      </c>
      <c r="J1090" t="s">
        <v>31</v>
      </c>
      <c r="K1090" t="s">
        <v>38</v>
      </c>
      <c r="L1090" t="s">
        <v>317</v>
      </c>
      <c r="M1090" t="s">
        <v>318</v>
      </c>
      <c r="N1090" t="s">
        <v>2036</v>
      </c>
      <c r="O1090" t="s">
        <v>3344</v>
      </c>
      <c r="P1090" t="s">
        <v>6410</v>
      </c>
      <c r="S1090" t="s">
        <v>6415</v>
      </c>
      <c r="T1090">
        <v>39.105750176000001</v>
      </c>
      <c r="U1090">
        <v>-84.536837629000004</v>
      </c>
      <c r="V1090">
        <f>SUM(W1090:X1090)+(Y1090*0.8)+(Z1090*0.4)</f>
        <v>6</v>
      </c>
      <c r="W1090">
        <v>6</v>
      </c>
      <c r="X1090">
        <v>0</v>
      </c>
      <c r="Y1090">
        <v>0</v>
      </c>
      <c r="Z1090">
        <v>0</v>
      </c>
      <c r="AA1090" t="s">
        <v>43</v>
      </c>
      <c r="AB1090">
        <v>4.2</v>
      </c>
      <c r="AD1090" t="s">
        <v>6416</v>
      </c>
      <c r="AE1090" t="s">
        <v>6417</v>
      </c>
    </row>
    <row r="1091" spans="1:31" x14ac:dyDescent="0.25">
      <c r="A1091" t="s">
        <v>31</v>
      </c>
      <c r="C1091" t="s">
        <v>1936</v>
      </c>
      <c r="D1091" t="s">
        <v>1936</v>
      </c>
      <c r="E1091" t="s">
        <v>362</v>
      </c>
      <c r="F1091" t="s">
        <v>363</v>
      </c>
      <c r="H1091" t="s">
        <v>411</v>
      </c>
      <c r="I1091" t="s">
        <v>1937</v>
      </c>
      <c r="J1091" t="s">
        <v>31</v>
      </c>
      <c r="K1091" t="s">
        <v>38</v>
      </c>
      <c r="L1091" t="s">
        <v>193</v>
      </c>
      <c r="M1091" t="s">
        <v>194</v>
      </c>
      <c r="N1091" t="s">
        <v>1938</v>
      </c>
      <c r="P1091" t="s">
        <v>1939</v>
      </c>
      <c r="T1091">
        <v>37.651530931000003</v>
      </c>
      <c r="U1091">
        <v>-104.802139025</v>
      </c>
      <c r="V1091">
        <f>SUM(W1091:X1091)+(Y1091*0.8)+(Z1091*0.4)</f>
        <v>6</v>
      </c>
      <c r="W1091">
        <v>0</v>
      </c>
      <c r="X1091">
        <v>0</v>
      </c>
      <c r="Y1091">
        <v>0</v>
      </c>
      <c r="Z1091">
        <v>15</v>
      </c>
      <c r="AA1091" t="s">
        <v>43</v>
      </c>
      <c r="AB1091">
        <v>0</v>
      </c>
      <c r="AD1091" t="s">
        <v>1940</v>
      </c>
      <c r="AE1091" t="s">
        <v>1941</v>
      </c>
    </row>
    <row r="1092" spans="1:31" x14ac:dyDescent="0.25">
      <c r="A1092" t="s">
        <v>31</v>
      </c>
      <c r="C1092" t="s">
        <v>5765</v>
      </c>
      <c r="D1092" t="s">
        <v>5885</v>
      </c>
      <c r="E1092" t="s">
        <v>34</v>
      </c>
      <c r="F1092" t="s">
        <v>35</v>
      </c>
      <c r="G1092">
        <v>1999</v>
      </c>
      <c r="H1092" t="s">
        <v>36</v>
      </c>
      <c r="I1092" t="s">
        <v>5886</v>
      </c>
      <c r="J1092" t="s">
        <v>31</v>
      </c>
      <c r="K1092" t="s">
        <v>38</v>
      </c>
      <c r="L1092" t="s">
        <v>133</v>
      </c>
      <c r="M1092" t="s">
        <v>134</v>
      </c>
      <c r="N1092" t="s">
        <v>419</v>
      </c>
      <c r="O1092" t="s">
        <v>420</v>
      </c>
      <c r="P1092" t="s">
        <v>421</v>
      </c>
      <c r="S1092" t="s">
        <v>4334</v>
      </c>
      <c r="T1092">
        <v>45.549810202000003</v>
      </c>
      <c r="U1092">
        <v>-122.89084327</v>
      </c>
      <c r="V1092">
        <f>SUM(W1092:X1092)+(Y1092*0.8)+(Z1092*0.4)</f>
        <v>5.95</v>
      </c>
      <c r="W1092">
        <v>5.95</v>
      </c>
      <c r="X1092">
        <v>0</v>
      </c>
      <c r="Y1092">
        <v>0</v>
      </c>
      <c r="Z1092">
        <v>0</v>
      </c>
      <c r="AA1092" t="s">
        <v>43</v>
      </c>
      <c r="AB1092">
        <v>5.8250000000000002</v>
      </c>
      <c r="AC1092">
        <v>1.4</v>
      </c>
      <c r="AD1092" t="s">
        <v>5887</v>
      </c>
      <c r="AE1092" t="s">
        <v>5888</v>
      </c>
    </row>
    <row r="1093" spans="1:31" x14ac:dyDescent="0.25">
      <c r="A1093" t="s">
        <v>31</v>
      </c>
      <c r="C1093" t="s">
        <v>3849</v>
      </c>
      <c r="D1093" t="s">
        <v>4242</v>
      </c>
      <c r="E1093" t="s">
        <v>34</v>
      </c>
      <c r="F1093" t="s">
        <v>66</v>
      </c>
      <c r="G1093">
        <v>2015</v>
      </c>
      <c r="H1093" t="s">
        <v>36</v>
      </c>
      <c r="I1093" t="s">
        <v>4243</v>
      </c>
      <c r="J1093" t="s">
        <v>31</v>
      </c>
      <c r="K1093" t="s">
        <v>38</v>
      </c>
      <c r="L1093" t="s">
        <v>39</v>
      </c>
      <c r="M1093" t="s">
        <v>40</v>
      </c>
      <c r="N1093" t="s">
        <v>3479</v>
      </c>
      <c r="O1093" t="s">
        <v>4192</v>
      </c>
      <c r="P1093" t="s">
        <v>4193</v>
      </c>
      <c r="T1093">
        <v>40.830537</v>
      </c>
      <c r="U1093">
        <v>-74.124467999999993</v>
      </c>
      <c r="V1093">
        <f>SUM(W1093:X1093)+(Y1093*0.8)+(Z1093*0.4)</f>
        <v>5.9</v>
      </c>
      <c r="W1093">
        <v>5.9</v>
      </c>
      <c r="X1093">
        <v>0</v>
      </c>
      <c r="Y1093">
        <v>0</v>
      </c>
      <c r="Z1093">
        <v>0</v>
      </c>
      <c r="AA1093" t="s">
        <v>43</v>
      </c>
      <c r="AB1093">
        <v>5.7</v>
      </c>
      <c r="AC1093">
        <v>1.5</v>
      </c>
      <c r="AD1093" t="s">
        <v>4244</v>
      </c>
      <c r="AE1093" t="s">
        <v>4245</v>
      </c>
    </row>
    <row r="1094" spans="1:31" x14ac:dyDescent="0.25">
      <c r="A1094" t="s">
        <v>31</v>
      </c>
      <c r="C1094" t="s">
        <v>2064</v>
      </c>
      <c r="D1094" t="s">
        <v>2255</v>
      </c>
      <c r="E1094" t="s">
        <v>34</v>
      </c>
      <c r="F1094" t="s">
        <v>35</v>
      </c>
      <c r="G1094">
        <v>2002</v>
      </c>
      <c r="H1094" t="s">
        <v>36</v>
      </c>
      <c r="I1094" t="s">
        <v>2256</v>
      </c>
      <c r="J1094" t="s">
        <v>31</v>
      </c>
      <c r="K1094" t="s">
        <v>38</v>
      </c>
      <c r="L1094" t="s">
        <v>202</v>
      </c>
      <c r="M1094" t="s">
        <v>203</v>
      </c>
      <c r="N1094" t="s">
        <v>309</v>
      </c>
      <c r="O1094" t="s">
        <v>310</v>
      </c>
      <c r="P1094" t="s">
        <v>2257</v>
      </c>
      <c r="T1094">
        <v>27.945319999999999</v>
      </c>
      <c r="U1094">
        <v>-82.351190000000003</v>
      </c>
      <c r="V1094">
        <f>SUM(W1094:X1094)+(Y1094*0.8)+(Z1094*0.4)</f>
        <v>5.8800000000000008</v>
      </c>
      <c r="W1094">
        <v>4.2</v>
      </c>
      <c r="X1094">
        <v>0</v>
      </c>
      <c r="Y1094">
        <v>2.1</v>
      </c>
      <c r="Z1094">
        <v>0</v>
      </c>
      <c r="AA1094" t="s">
        <v>43</v>
      </c>
      <c r="AB1094">
        <v>2.5299999999999998</v>
      </c>
      <c r="AD1094" t="s">
        <v>2258</v>
      </c>
      <c r="AE1094" t="s">
        <v>2259</v>
      </c>
    </row>
    <row r="1095" spans="1:31" x14ac:dyDescent="0.25">
      <c r="A1095" t="s">
        <v>31</v>
      </c>
      <c r="C1095" t="s">
        <v>5181</v>
      </c>
      <c r="D1095" t="s">
        <v>5196</v>
      </c>
      <c r="E1095" t="s">
        <v>34</v>
      </c>
      <c r="F1095" t="s">
        <v>43</v>
      </c>
      <c r="G1095">
        <v>2002</v>
      </c>
      <c r="H1095" t="s">
        <v>36</v>
      </c>
      <c r="I1095" t="s">
        <v>5197</v>
      </c>
      <c r="J1095" t="s">
        <v>31</v>
      </c>
      <c r="K1095" t="s">
        <v>38</v>
      </c>
      <c r="L1095" t="s">
        <v>251</v>
      </c>
      <c r="M1095" t="s">
        <v>252</v>
      </c>
      <c r="N1095" t="s">
        <v>253</v>
      </c>
      <c r="O1095" t="s">
        <v>4831</v>
      </c>
      <c r="P1095" t="s">
        <v>5198</v>
      </c>
      <c r="T1095">
        <v>42.550855675000001</v>
      </c>
      <c r="U1095">
        <v>-71.215274761000003</v>
      </c>
      <c r="V1095">
        <f>SUM(W1095:X1095)+(Y1095*0.8)+(Z1095*0.4)</f>
        <v>5.8000000000000007</v>
      </c>
      <c r="W1095">
        <v>4.2</v>
      </c>
      <c r="X1095">
        <v>0</v>
      </c>
      <c r="Y1095">
        <v>2</v>
      </c>
      <c r="Z1095">
        <v>0</v>
      </c>
      <c r="AA1095" t="s">
        <v>43</v>
      </c>
      <c r="AB1095">
        <v>3.01</v>
      </c>
      <c r="AD1095" t="s">
        <v>5199</v>
      </c>
      <c r="AE1095" t="s">
        <v>5200</v>
      </c>
    </row>
    <row r="1096" spans="1:31" x14ac:dyDescent="0.25">
      <c r="A1096" t="s">
        <v>31</v>
      </c>
      <c r="C1096" t="s">
        <v>8706</v>
      </c>
      <c r="D1096" t="s">
        <v>8707</v>
      </c>
      <c r="E1096" t="s">
        <v>34</v>
      </c>
      <c r="F1096" t="s">
        <v>35</v>
      </c>
      <c r="G1096">
        <v>2019</v>
      </c>
      <c r="H1096" t="s">
        <v>36</v>
      </c>
      <c r="I1096" t="s">
        <v>8708</v>
      </c>
      <c r="J1096" t="s">
        <v>31</v>
      </c>
      <c r="K1096" t="s">
        <v>38</v>
      </c>
      <c r="L1096" t="s">
        <v>172</v>
      </c>
      <c r="M1096" t="s">
        <v>173</v>
      </c>
      <c r="N1096" t="s">
        <v>780</v>
      </c>
      <c r="O1096" t="s">
        <v>781</v>
      </c>
      <c r="P1096" t="s">
        <v>3145</v>
      </c>
      <c r="T1096">
        <v>37.379151608000001</v>
      </c>
      <c r="U1096">
        <v>-121.956259131</v>
      </c>
      <c r="V1096">
        <f>SUM(W1096:X1096)+(Y1096*0.8)+(Z1096*0.4)</f>
        <v>5.8</v>
      </c>
      <c r="W1096">
        <v>4</v>
      </c>
      <c r="X1096">
        <v>0</v>
      </c>
      <c r="Y1096">
        <v>0</v>
      </c>
      <c r="Z1096">
        <v>4.5</v>
      </c>
      <c r="AA1096" t="s">
        <v>43</v>
      </c>
      <c r="AB1096">
        <v>3.55</v>
      </c>
      <c r="AD1096" t="s">
        <v>8709</v>
      </c>
      <c r="AE1096" t="s">
        <v>8710</v>
      </c>
    </row>
    <row r="1097" spans="1:31" x14ac:dyDescent="0.25">
      <c r="A1097" t="s">
        <v>31</v>
      </c>
      <c r="C1097" t="s">
        <v>5181</v>
      </c>
      <c r="D1097" t="s">
        <v>5404</v>
      </c>
      <c r="E1097" t="s">
        <v>34</v>
      </c>
      <c r="F1097" t="s">
        <v>35</v>
      </c>
      <c r="G1097">
        <v>2015</v>
      </c>
      <c r="H1097" t="s">
        <v>36</v>
      </c>
      <c r="I1097" t="s">
        <v>5405</v>
      </c>
      <c r="J1097" t="s">
        <v>31</v>
      </c>
      <c r="K1097" t="s">
        <v>38</v>
      </c>
      <c r="L1097" t="s">
        <v>39</v>
      </c>
      <c r="M1097" t="s">
        <v>40</v>
      </c>
      <c r="N1097" t="s">
        <v>2140</v>
      </c>
      <c r="O1097" t="s">
        <v>2161</v>
      </c>
      <c r="P1097" t="s">
        <v>2162</v>
      </c>
      <c r="Q1097" t="s">
        <v>2161</v>
      </c>
      <c r="T1097">
        <v>40.777498999999999</v>
      </c>
      <c r="U1097">
        <v>-74.072812999999996</v>
      </c>
      <c r="V1097">
        <f>SUM(W1097:X1097)+(Y1097*0.8)+(Z1097*0.4)</f>
        <v>5.8</v>
      </c>
      <c r="W1097">
        <v>5.8</v>
      </c>
      <c r="X1097">
        <v>0</v>
      </c>
      <c r="Y1097">
        <v>0</v>
      </c>
      <c r="Z1097">
        <v>0</v>
      </c>
      <c r="AA1097" t="s">
        <v>43</v>
      </c>
      <c r="AB1097">
        <v>5.36</v>
      </c>
      <c r="AD1097" t="s">
        <v>5406</v>
      </c>
      <c r="AE1097" t="s">
        <v>5407</v>
      </c>
    </row>
    <row r="1098" spans="1:31" x14ac:dyDescent="0.25">
      <c r="A1098" t="s">
        <v>31</v>
      </c>
      <c r="C1098" t="s">
        <v>5181</v>
      </c>
      <c r="D1098" t="s">
        <v>5214</v>
      </c>
      <c r="E1098" t="s">
        <v>34</v>
      </c>
      <c r="F1098" t="s">
        <v>35</v>
      </c>
      <c r="G1098">
        <v>2010</v>
      </c>
      <c r="H1098" t="s">
        <v>36</v>
      </c>
      <c r="I1098" t="s">
        <v>5215</v>
      </c>
      <c r="J1098" t="s">
        <v>31</v>
      </c>
      <c r="K1098" t="s">
        <v>38</v>
      </c>
      <c r="L1098" t="s">
        <v>242</v>
      </c>
      <c r="M1098" t="s">
        <v>243</v>
      </c>
      <c r="N1098" t="s">
        <v>748</v>
      </c>
      <c r="O1098" t="s">
        <v>3220</v>
      </c>
      <c r="P1098" t="s">
        <v>2551</v>
      </c>
      <c r="T1098">
        <v>38.455532110999997</v>
      </c>
      <c r="U1098">
        <v>-77.976243507999996</v>
      </c>
      <c r="V1098">
        <f>SUM(W1098:X1098)+(Y1098*0.8)+(Z1098*0.4)</f>
        <v>5.8</v>
      </c>
      <c r="W1098">
        <v>5.8</v>
      </c>
      <c r="X1098">
        <v>0</v>
      </c>
      <c r="Y1098">
        <v>0</v>
      </c>
      <c r="Z1098">
        <v>0</v>
      </c>
      <c r="AA1098" t="s">
        <v>43</v>
      </c>
      <c r="AB1098">
        <v>5.71</v>
      </c>
      <c r="AD1098" t="s">
        <v>5216</v>
      </c>
      <c r="AE1098" t="s">
        <v>5217</v>
      </c>
    </row>
    <row r="1099" spans="1:31" x14ac:dyDescent="0.25">
      <c r="A1099" t="s">
        <v>31</v>
      </c>
      <c r="C1099" t="s">
        <v>3849</v>
      </c>
      <c r="D1099" t="s">
        <v>4297</v>
      </c>
      <c r="E1099" t="s">
        <v>34</v>
      </c>
      <c r="F1099" t="s">
        <v>66</v>
      </c>
      <c r="G1099">
        <v>2015</v>
      </c>
      <c r="H1099" t="s">
        <v>36</v>
      </c>
      <c r="I1099" t="s">
        <v>4298</v>
      </c>
      <c r="J1099" t="s">
        <v>31</v>
      </c>
      <c r="K1099" t="s">
        <v>38</v>
      </c>
      <c r="L1099" t="s">
        <v>172</v>
      </c>
      <c r="M1099" t="s">
        <v>173</v>
      </c>
      <c r="N1099" t="s">
        <v>780</v>
      </c>
      <c r="O1099" t="s">
        <v>781</v>
      </c>
      <c r="P1099" t="s">
        <v>3145</v>
      </c>
      <c r="T1099">
        <v>37.372375202000001</v>
      </c>
      <c r="U1099">
        <v>-121.973492095</v>
      </c>
      <c r="V1099">
        <f>SUM(W1099:X1099)+(Y1099*0.8)+(Z1099*0.4)</f>
        <v>5.7</v>
      </c>
      <c r="W1099">
        <v>5.7</v>
      </c>
      <c r="X1099">
        <v>0</v>
      </c>
      <c r="Y1099">
        <v>0</v>
      </c>
      <c r="Z1099">
        <v>0</v>
      </c>
      <c r="AA1099" t="s">
        <v>43</v>
      </c>
      <c r="AB1099">
        <v>5.7</v>
      </c>
      <c r="AD1099" t="s">
        <v>4299</v>
      </c>
      <c r="AE1099" t="s">
        <v>4300</v>
      </c>
    </row>
    <row r="1100" spans="1:31" x14ac:dyDescent="0.25">
      <c r="A1100" t="s">
        <v>31</v>
      </c>
      <c r="C1100" t="s">
        <v>3710</v>
      </c>
      <c r="D1100" t="s">
        <v>3847</v>
      </c>
      <c r="E1100" t="s">
        <v>34</v>
      </c>
      <c r="F1100" t="s">
        <v>35</v>
      </c>
      <c r="G1100">
        <v>2013</v>
      </c>
      <c r="H1100" t="s">
        <v>36</v>
      </c>
      <c r="I1100" t="s">
        <v>3848</v>
      </c>
      <c r="J1100" t="s">
        <v>31</v>
      </c>
      <c r="K1100" t="s">
        <v>38</v>
      </c>
      <c r="L1100" t="s">
        <v>68</v>
      </c>
      <c r="M1100" t="s">
        <v>69</v>
      </c>
      <c r="N1100" t="s">
        <v>297</v>
      </c>
      <c r="O1100" t="s">
        <v>295</v>
      </c>
      <c r="P1100" t="s">
        <v>298</v>
      </c>
      <c r="S1100" t="s">
        <v>3849</v>
      </c>
      <c r="T1100">
        <v>32.966324088</v>
      </c>
      <c r="U1100">
        <v>-96.711174552000003</v>
      </c>
      <c r="V1100">
        <f>SUM(W1100:X1100)+(Y1100*0.8)+(Z1100*0.4)</f>
        <v>5.7</v>
      </c>
      <c r="W1100">
        <v>5.7</v>
      </c>
      <c r="X1100">
        <v>0</v>
      </c>
      <c r="Y1100">
        <v>0</v>
      </c>
      <c r="Z1100">
        <v>0</v>
      </c>
      <c r="AA1100" t="s">
        <v>43</v>
      </c>
      <c r="AB1100">
        <v>5.7</v>
      </c>
      <c r="AD1100" t="s">
        <v>3850</v>
      </c>
      <c r="AE1100" t="s">
        <v>3851</v>
      </c>
    </row>
    <row r="1101" spans="1:31" x14ac:dyDescent="0.25">
      <c r="A1101" t="s">
        <v>31</v>
      </c>
      <c r="C1101" t="s">
        <v>10208</v>
      </c>
      <c r="D1101" t="s">
        <v>10255</v>
      </c>
      <c r="E1101" t="s">
        <v>34</v>
      </c>
      <c r="F1101" t="s">
        <v>35</v>
      </c>
      <c r="G1101">
        <v>2018</v>
      </c>
      <c r="H1101" t="s">
        <v>36</v>
      </c>
      <c r="I1101" t="s">
        <v>10256</v>
      </c>
      <c r="J1101" t="s">
        <v>31</v>
      </c>
      <c r="K1101" t="s">
        <v>38</v>
      </c>
      <c r="L1101" t="s">
        <v>193</v>
      </c>
      <c r="M1101" t="s">
        <v>194</v>
      </c>
      <c r="N1101" t="s">
        <v>5949</v>
      </c>
      <c r="O1101" t="s">
        <v>8547</v>
      </c>
      <c r="P1101" t="s">
        <v>10257</v>
      </c>
      <c r="T1101">
        <v>38.786160518000003</v>
      </c>
      <c r="U1101">
        <v>-104.788668839</v>
      </c>
      <c r="V1101">
        <f>SUM(W1101:X1101)+(Y1101*0.8)+(Z1101*0.4)</f>
        <v>5.6</v>
      </c>
      <c r="W1101">
        <v>5.6</v>
      </c>
      <c r="X1101">
        <v>0</v>
      </c>
      <c r="Y1101">
        <v>0</v>
      </c>
      <c r="Z1101">
        <v>0</v>
      </c>
      <c r="AA1101" t="s">
        <v>43</v>
      </c>
      <c r="AB1101">
        <v>5.6</v>
      </c>
      <c r="AD1101" t="s">
        <v>10258</v>
      </c>
      <c r="AE1101" t="s">
        <v>10259</v>
      </c>
    </row>
    <row r="1102" spans="1:31" x14ac:dyDescent="0.25">
      <c r="A1102" t="s">
        <v>31</v>
      </c>
      <c r="C1102" t="s">
        <v>5499</v>
      </c>
      <c r="D1102" t="s">
        <v>2138</v>
      </c>
      <c r="E1102" t="s">
        <v>34</v>
      </c>
      <c r="F1102" t="s">
        <v>35</v>
      </c>
      <c r="G1102">
        <v>2014</v>
      </c>
      <c r="H1102" t="s">
        <v>36</v>
      </c>
      <c r="I1102" t="s">
        <v>5513</v>
      </c>
      <c r="J1102" t="s">
        <v>31</v>
      </c>
      <c r="K1102" t="s">
        <v>38</v>
      </c>
      <c r="L1102" t="s">
        <v>39</v>
      </c>
      <c r="M1102" t="s">
        <v>40</v>
      </c>
      <c r="N1102" t="s">
        <v>2140</v>
      </c>
      <c r="O1102" t="s">
        <v>2161</v>
      </c>
      <c r="P1102" t="s">
        <v>2162</v>
      </c>
      <c r="Q1102" t="s">
        <v>2161</v>
      </c>
      <c r="T1102">
        <v>40.787432000000003</v>
      </c>
      <c r="U1102">
        <v>-74.068237999999994</v>
      </c>
      <c r="V1102">
        <f>SUM(W1102:X1102)+(Y1102*0.8)+(Z1102*0.4)</f>
        <v>5.6</v>
      </c>
      <c r="W1102">
        <v>5.6</v>
      </c>
      <c r="X1102">
        <v>0</v>
      </c>
      <c r="Y1102">
        <v>0</v>
      </c>
      <c r="Z1102">
        <v>0</v>
      </c>
      <c r="AA1102" t="s">
        <v>43</v>
      </c>
      <c r="AB1102">
        <v>3.8</v>
      </c>
      <c r="AD1102" t="s">
        <v>5514</v>
      </c>
      <c r="AE1102" t="s">
        <v>5515</v>
      </c>
    </row>
    <row r="1103" spans="1:31" x14ac:dyDescent="0.25">
      <c r="A1103" t="s">
        <v>31</v>
      </c>
      <c r="C1103" t="s">
        <v>6945</v>
      </c>
      <c r="D1103" t="s">
        <v>6946</v>
      </c>
      <c r="E1103" t="s">
        <v>34</v>
      </c>
      <c r="F1103" t="s">
        <v>35</v>
      </c>
      <c r="G1103">
        <v>2013</v>
      </c>
      <c r="H1103" t="s">
        <v>36</v>
      </c>
      <c r="I1103" t="s">
        <v>6947</v>
      </c>
      <c r="J1103" t="s">
        <v>31</v>
      </c>
      <c r="K1103" t="s">
        <v>38</v>
      </c>
      <c r="L1103" t="s">
        <v>828</v>
      </c>
      <c r="M1103" t="s">
        <v>829</v>
      </c>
      <c r="N1103" t="s">
        <v>419</v>
      </c>
      <c r="O1103" t="s">
        <v>6948</v>
      </c>
      <c r="P1103" t="s">
        <v>6949</v>
      </c>
      <c r="Q1103" t="s">
        <v>6948</v>
      </c>
      <c r="T1103">
        <v>44.946490021999999</v>
      </c>
      <c r="U1103">
        <v>-92.953010890000002</v>
      </c>
      <c r="V1103">
        <f>SUM(W1103:X1103)+(Y1103*0.8)+(Z1103*0.4)</f>
        <v>5.6</v>
      </c>
      <c r="W1103">
        <v>4</v>
      </c>
      <c r="X1103">
        <v>0</v>
      </c>
      <c r="Y1103">
        <v>2</v>
      </c>
      <c r="Z1103">
        <v>0</v>
      </c>
      <c r="AA1103" t="s">
        <v>43</v>
      </c>
      <c r="AB1103">
        <v>2.25</v>
      </c>
      <c r="AD1103" t="s">
        <v>6950</v>
      </c>
      <c r="AE1103" t="s">
        <v>6951</v>
      </c>
    </row>
    <row r="1104" spans="1:31" x14ac:dyDescent="0.25">
      <c r="A1104" t="s">
        <v>31</v>
      </c>
      <c r="C1104" t="s">
        <v>2064</v>
      </c>
      <c r="D1104" t="s">
        <v>2249</v>
      </c>
      <c r="E1104" t="s">
        <v>34</v>
      </c>
      <c r="F1104" t="s">
        <v>66</v>
      </c>
      <c r="G1104">
        <v>2000</v>
      </c>
      <c r="H1104" t="s">
        <v>36</v>
      </c>
      <c r="I1104" t="s">
        <v>2250</v>
      </c>
      <c r="J1104" t="s">
        <v>31</v>
      </c>
      <c r="K1104" t="s">
        <v>38</v>
      </c>
      <c r="L1104" t="s">
        <v>172</v>
      </c>
      <c r="M1104" t="s">
        <v>173</v>
      </c>
      <c r="N1104" t="s">
        <v>780</v>
      </c>
      <c r="O1104" t="s">
        <v>2251</v>
      </c>
      <c r="P1104" t="s">
        <v>2252</v>
      </c>
      <c r="T1104">
        <v>37.372183075000002</v>
      </c>
      <c r="U1104">
        <v>-121.985950609</v>
      </c>
      <c r="V1104">
        <f>SUM(W1104:X1104)+(Y1104*0.8)+(Z1104*0.4)</f>
        <v>5.6</v>
      </c>
      <c r="W1104">
        <v>5.6</v>
      </c>
      <c r="X1104">
        <v>0</v>
      </c>
      <c r="Y1104">
        <v>0</v>
      </c>
      <c r="Z1104">
        <v>0</v>
      </c>
      <c r="AA1104" t="s">
        <v>43</v>
      </c>
      <c r="AB1104">
        <v>5.6</v>
      </c>
      <c r="AD1104" t="s">
        <v>2253</v>
      </c>
      <c r="AE1104" t="s">
        <v>2254</v>
      </c>
    </row>
    <row r="1105" spans="1:31" x14ac:dyDescent="0.25">
      <c r="A1105" t="s">
        <v>31</v>
      </c>
      <c r="B1105" t="s">
        <v>11350</v>
      </c>
      <c r="C1105" t="s">
        <v>647</v>
      </c>
      <c r="D1105" t="s">
        <v>1093</v>
      </c>
      <c r="E1105" t="s">
        <v>362</v>
      </c>
      <c r="F1105" t="s">
        <v>649</v>
      </c>
      <c r="G1105">
        <v>2015</v>
      </c>
      <c r="H1105" t="s">
        <v>36</v>
      </c>
      <c r="I1105" t="s">
        <v>1094</v>
      </c>
      <c r="J1105" t="s">
        <v>31</v>
      </c>
      <c r="K1105" t="s">
        <v>38</v>
      </c>
      <c r="L1105" t="s">
        <v>242</v>
      </c>
      <c r="M1105" t="s">
        <v>243</v>
      </c>
      <c r="N1105" t="s">
        <v>405</v>
      </c>
      <c r="O1105" t="s">
        <v>516</v>
      </c>
      <c r="P1105" t="s">
        <v>517</v>
      </c>
      <c r="T1105">
        <v>39.028165268999999</v>
      </c>
      <c r="U1105">
        <v>-77.456579130999998</v>
      </c>
      <c r="V1105">
        <f>SUM(W1105:X1105)+(Y1105*0.8)+(Z1105*0.4)</f>
        <v>5.5</v>
      </c>
      <c r="W1105">
        <v>5.5</v>
      </c>
      <c r="X1105">
        <v>0</v>
      </c>
      <c r="Y1105">
        <v>0</v>
      </c>
      <c r="Z1105">
        <v>0</v>
      </c>
      <c r="AA1105" t="s">
        <v>43</v>
      </c>
      <c r="AB1105">
        <v>5.5</v>
      </c>
      <c r="AD1105" t="s">
        <v>1095</v>
      </c>
      <c r="AE1105" t="s">
        <v>1096</v>
      </c>
    </row>
    <row r="1106" spans="1:31" x14ac:dyDescent="0.25">
      <c r="A1106" t="s">
        <v>31</v>
      </c>
      <c r="C1106" t="s">
        <v>4801</v>
      </c>
      <c r="D1106" t="s">
        <v>4936</v>
      </c>
      <c r="E1106" t="s">
        <v>34</v>
      </c>
      <c r="F1106" t="s">
        <v>66</v>
      </c>
      <c r="G1106">
        <v>2014</v>
      </c>
      <c r="H1106" t="s">
        <v>36</v>
      </c>
      <c r="I1106" t="s">
        <v>4937</v>
      </c>
      <c r="J1106" t="s">
        <v>31</v>
      </c>
      <c r="K1106" t="s">
        <v>38</v>
      </c>
      <c r="L1106" t="s">
        <v>843</v>
      </c>
      <c r="M1106" t="s">
        <v>1644</v>
      </c>
      <c r="N1106" t="s">
        <v>2232</v>
      </c>
      <c r="O1106" t="s">
        <v>2233</v>
      </c>
      <c r="P1106" t="s">
        <v>4938</v>
      </c>
      <c r="S1106" t="s">
        <v>4939</v>
      </c>
      <c r="T1106">
        <v>47.498226000000003</v>
      </c>
      <c r="U1106">
        <v>-122.289497</v>
      </c>
      <c r="V1106">
        <f>SUM(W1106:X1106)+(Y1106*0.8)+(Z1106*0.4)</f>
        <v>5.5</v>
      </c>
      <c r="W1106">
        <v>5.5</v>
      </c>
      <c r="X1106">
        <v>0</v>
      </c>
      <c r="Y1106">
        <v>0</v>
      </c>
      <c r="Z1106">
        <v>0</v>
      </c>
      <c r="AA1106" t="s">
        <v>43</v>
      </c>
      <c r="AB1106">
        <v>4.92</v>
      </c>
      <c r="AD1106" t="s">
        <v>4940</v>
      </c>
      <c r="AE1106" t="s">
        <v>4941</v>
      </c>
    </row>
    <row r="1107" spans="1:31" x14ac:dyDescent="0.25">
      <c r="A1107" t="s">
        <v>31</v>
      </c>
      <c r="C1107" t="s">
        <v>5181</v>
      </c>
      <c r="D1107" t="s">
        <v>5471</v>
      </c>
      <c r="E1107" t="s">
        <v>34</v>
      </c>
      <c r="F1107" t="s">
        <v>35</v>
      </c>
      <c r="G1107">
        <v>2006</v>
      </c>
      <c r="H1107" t="s">
        <v>36</v>
      </c>
      <c r="I1107" t="s">
        <v>5472</v>
      </c>
      <c r="J1107" t="s">
        <v>31</v>
      </c>
      <c r="K1107" t="s">
        <v>38</v>
      </c>
      <c r="L1107" t="s">
        <v>172</v>
      </c>
      <c r="M1107" t="s">
        <v>173</v>
      </c>
      <c r="N1107" t="s">
        <v>780</v>
      </c>
      <c r="O1107" t="s">
        <v>2251</v>
      </c>
      <c r="P1107" t="s">
        <v>5473</v>
      </c>
      <c r="T1107">
        <v>37.414805000000001</v>
      </c>
      <c r="U1107">
        <v>-122.01449599999999</v>
      </c>
      <c r="V1107">
        <f>SUM(W1107:X1107)+(Y1107*0.8)+(Z1107*0.4)</f>
        <v>5.5</v>
      </c>
      <c r="W1107">
        <v>5.5</v>
      </c>
      <c r="X1107">
        <v>0</v>
      </c>
      <c r="Y1107">
        <v>0</v>
      </c>
      <c r="Z1107">
        <v>0</v>
      </c>
      <c r="AA1107" t="s">
        <v>43</v>
      </c>
      <c r="AB1107">
        <v>5.5</v>
      </c>
      <c r="AD1107" t="s">
        <v>5474</v>
      </c>
      <c r="AE1107" t="s">
        <v>5475</v>
      </c>
    </row>
    <row r="1108" spans="1:31" x14ac:dyDescent="0.25">
      <c r="A1108" t="s">
        <v>31</v>
      </c>
      <c r="C1108" t="s">
        <v>10406</v>
      </c>
      <c r="D1108" t="s">
        <v>10493</v>
      </c>
      <c r="E1108" t="s">
        <v>34</v>
      </c>
      <c r="F1108" t="s">
        <v>35</v>
      </c>
      <c r="G1108">
        <v>2001</v>
      </c>
      <c r="H1108" t="s">
        <v>36</v>
      </c>
      <c r="I1108" t="s">
        <v>3253</v>
      </c>
      <c r="J1108" t="s">
        <v>31</v>
      </c>
      <c r="K1108" t="s">
        <v>38</v>
      </c>
      <c r="L1108" t="s">
        <v>251</v>
      </c>
      <c r="M1108" t="s">
        <v>252</v>
      </c>
      <c r="N1108" t="s">
        <v>253</v>
      </c>
      <c r="O1108" t="s">
        <v>254</v>
      </c>
      <c r="T1108">
        <v>42.313040940999997</v>
      </c>
      <c r="U1108">
        <v>-71.578967421000002</v>
      </c>
      <c r="V1108">
        <f>SUM(W1108:X1108)+(Y1108*0.8)+(Z1108*0.4)</f>
        <v>5.5</v>
      </c>
      <c r="W1108">
        <v>5.5</v>
      </c>
      <c r="X1108">
        <v>0</v>
      </c>
      <c r="Y1108">
        <v>0</v>
      </c>
      <c r="Z1108">
        <v>0</v>
      </c>
      <c r="AA1108" t="s">
        <v>43</v>
      </c>
      <c r="AB1108">
        <v>4.7</v>
      </c>
      <c r="AD1108" t="s">
        <v>10494</v>
      </c>
      <c r="AE1108" t="s">
        <v>10495</v>
      </c>
    </row>
    <row r="1109" spans="1:31" x14ac:dyDescent="0.25">
      <c r="A1109" t="s">
        <v>31</v>
      </c>
      <c r="C1109" t="s">
        <v>9415</v>
      </c>
      <c r="D1109" t="s">
        <v>9426</v>
      </c>
      <c r="E1109" t="s">
        <v>34</v>
      </c>
      <c r="F1109" t="s">
        <v>35</v>
      </c>
      <c r="G1109">
        <v>2000</v>
      </c>
      <c r="H1109" t="s">
        <v>36</v>
      </c>
      <c r="I1109" t="s">
        <v>9427</v>
      </c>
      <c r="J1109" t="s">
        <v>31</v>
      </c>
      <c r="K1109" t="s">
        <v>38</v>
      </c>
      <c r="L1109" t="s">
        <v>172</v>
      </c>
      <c r="M1109" t="s">
        <v>173</v>
      </c>
      <c r="N1109" t="s">
        <v>780</v>
      </c>
      <c r="O1109" t="s">
        <v>2067</v>
      </c>
      <c r="P1109" t="s">
        <v>3149</v>
      </c>
      <c r="Q1109" t="s">
        <v>3150</v>
      </c>
      <c r="T1109">
        <v>37.333652727</v>
      </c>
      <c r="U1109">
        <v>-121.888159442</v>
      </c>
      <c r="V1109">
        <f>SUM(W1109:X1109)+(Y1109*0.8)+(Z1109*0.4)</f>
        <v>5.4</v>
      </c>
      <c r="W1109">
        <v>5.4</v>
      </c>
      <c r="X1109">
        <v>0</v>
      </c>
      <c r="Y1109">
        <v>0</v>
      </c>
      <c r="Z1109">
        <v>0</v>
      </c>
      <c r="AA1109" t="s">
        <v>43</v>
      </c>
      <c r="AB1109">
        <v>4.84</v>
      </c>
      <c r="AD1109" t="s">
        <v>9428</v>
      </c>
      <c r="AE1109" t="s">
        <v>9429</v>
      </c>
    </row>
    <row r="1110" spans="1:31" x14ac:dyDescent="0.25">
      <c r="A1110" t="s">
        <v>31</v>
      </c>
      <c r="C1110" t="s">
        <v>4801</v>
      </c>
      <c r="D1110" t="s">
        <v>4906</v>
      </c>
      <c r="E1110" t="s">
        <v>34</v>
      </c>
      <c r="F1110" t="s">
        <v>66</v>
      </c>
      <c r="G1110">
        <v>2014</v>
      </c>
      <c r="H1110" t="s">
        <v>36</v>
      </c>
      <c r="I1110" t="s">
        <v>4907</v>
      </c>
      <c r="J1110" t="s">
        <v>31</v>
      </c>
      <c r="K1110" t="s">
        <v>38</v>
      </c>
      <c r="L1110" t="s">
        <v>326</v>
      </c>
      <c r="M1110" t="s">
        <v>327</v>
      </c>
      <c r="N1110" t="s">
        <v>328</v>
      </c>
      <c r="O1110" t="s">
        <v>4262</v>
      </c>
      <c r="P1110" t="s">
        <v>4908</v>
      </c>
      <c r="T1110">
        <v>33.395580000000002</v>
      </c>
      <c r="U1110">
        <v>-111.97011000000001</v>
      </c>
      <c r="V1110">
        <f>SUM(W1110:X1110)+(Y1110*0.8)+(Z1110*0.4)</f>
        <v>5.3</v>
      </c>
      <c r="W1110">
        <v>4.5</v>
      </c>
      <c r="X1110">
        <v>0</v>
      </c>
      <c r="Y1110">
        <v>0</v>
      </c>
      <c r="Z1110">
        <v>2</v>
      </c>
      <c r="AA1110" t="s">
        <v>43</v>
      </c>
      <c r="AB1110">
        <v>3</v>
      </c>
      <c r="AD1110" t="s">
        <v>4909</v>
      </c>
      <c r="AE1110" t="s">
        <v>4910</v>
      </c>
    </row>
    <row r="1111" spans="1:31" x14ac:dyDescent="0.25">
      <c r="A1111" t="s">
        <v>31</v>
      </c>
      <c r="C1111" t="s">
        <v>3710</v>
      </c>
      <c r="D1111" t="s">
        <v>3884</v>
      </c>
      <c r="E1111" t="s">
        <v>34</v>
      </c>
      <c r="F1111" t="s">
        <v>35</v>
      </c>
      <c r="G1111">
        <v>2008</v>
      </c>
      <c r="H1111" t="s">
        <v>36</v>
      </c>
      <c r="I1111" t="s">
        <v>3885</v>
      </c>
      <c r="J1111" t="s">
        <v>31</v>
      </c>
      <c r="K1111" t="s">
        <v>38</v>
      </c>
      <c r="L1111" t="s">
        <v>68</v>
      </c>
      <c r="M1111" t="s">
        <v>69</v>
      </c>
      <c r="N1111" t="s">
        <v>1951</v>
      </c>
      <c r="O1111" t="s">
        <v>1952</v>
      </c>
      <c r="P1111" t="s">
        <v>3886</v>
      </c>
      <c r="T1111">
        <v>29.728117000000001</v>
      </c>
      <c r="U1111">
        <v>-95.445098000000002</v>
      </c>
      <c r="V1111">
        <f>SUM(W1111:X1111)+(Y1111*0.8)+(Z1111*0.4)</f>
        <v>5.25</v>
      </c>
      <c r="W1111">
        <v>5.25</v>
      </c>
      <c r="X1111">
        <v>0</v>
      </c>
      <c r="Y1111">
        <v>0</v>
      </c>
      <c r="Z1111">
        <v>0</v>
      </c>
      <c r="AA1111" t="s">
        <v>43</v>
      </c>
      <c r="AB1111">
        <v>4.25</v>
      </c>
      <c r="AC1111">
        <v>1.3</v>
      </c>
      <c r="AD1111" t="s">
        <v>3887</v>
      </c>
      <c r="AE1111" t="s">
        <v>3888</v>
      </c>
    </row>
    <row r="1112" spans="1:31" x14ac:dyDescent="0.25">
      <c r="A1112" t="s">
        <v>31</v>
      </c>
      <c r="C1112" t="s">
        <v>3299</v>
      </c>
      <c r="D1112" t="s">
        <v>3300</v>
      </c>
      <c r="E1112" t="s">
        <v>34</v>
      </c>
      <c r="F1112" t="s">
        <v>35</v>
      </c>
      <c r="G1112">
        <v>1994</v>
      </c>
      <c r="H1112" t="s">
        <v>36</v>
      </c>
      <c r="I1112" t="s">
        <v>3301</v>
      </c>
      <c r="J1112" t="s">
        <v>31</v>
      </c>
      <c r="K1112" t="s">
        <v>38</v>
      </c>
      <c r="L1112" t="s">
        <v>202</v>
      </c>
      <c r="M1112" t="s">
        <v>203</v>
      </c>
      <c r="N1112" t="s">
        <v>2750</v>
      </c>
      <c r="O1112" t="s">
        <v>2751</v>
      </c>
      <c r="P1112" t="s">
        <v>3302</v>
      </c>
      <c r="S1112" t="s">
        <v>3303</v>
      </c>
      <c r="T1112">
        <v>30.261352434999999</v>
      </c>
      <c r="U1112">
        <v>-81.601106501999993</v>
      </c>
      <c r="V1112">
        <f>SUM(W1112:X1112)+(Y1112*0.8)+(Z1112*0.4)</f>
        <v>5.2</v>
      </c>
      <c r="W1112">
        <v>2</v>
      </c>
      <c r="X1112">
        <v>0</v>
      </c>
      <c r="Y1112">
        <v>4</v>
      </c>
      <c r="Z1112">
        <v>0</v>
      </c>
      <c r="AA1112" t="s">
        <v>43</v>
      </c>
      <c r="AB1112">
        <v>2</v>
      </c>
      <c r="AD1112" t="s">
        <v>3304</v>
      </c>
      <c r="AE1112" t="s">
        <v>3305</v>
      </c>
    </row>
    <row r="1113" spans="1:31" x14ac:dyDescent="0.25">
      <c r="A1113" t="s">
        <v>31</v>
      </c>
      <c r="C1113" t="s">
        <v>5181</v>
      </c>
      <c r="D1113" t="s">
        <v>2809</v>
      </c>
      <c r="E1113" t="s">
        <v>34</v>
      </c>
      <c r="F1113" t="s">
        <v>35</v>
      </c>
      <c r="G1113">
        <v>1999</v>
      </c>
      <c r="H1113" t="s">
        <v>36</v>
      </c>
      <c r="I1113" t="s">
        <v>5424</v>
      </c>
      <c r="J1113" t="s">
        <v>31</v>
      </c>
      <c r="K1113" t="s">
        <v>38</v>
      </c>
      <c r="L1113" t="s">
        <v>172</v>
      </c>
      <c r="M1113" t="s">
        <v>173</v>
      </c>
      <c r="N1113" t="s">
        <v>780</v>
      </c>
      <c r="O1113" t="s">
        <v>2067</v>
      </c>
      <c r="P1113" t="s">
        <v>5425</v>
      </c>
      <c r="T1113">
        <v>37.241747037000003</v>
      </c>
      <c r="U1113">
        <v>-121.78350618899999</v>
      </c>
      <c r="V1113">
        <f>SUM(W1113:X1113)+(Y1113*0.8)+(Z1113*0.4)</f>
        <v>5.0999999999999996</v>
      </c>
      <c r="W1113">
        <v>5.0999999999999996</v>
      </c>
      <c r="X1113">
        <v>0</v>
      </c>
      <c r="Y1113">
        <v>0</v>
      </c>
      <c r="Z1113">
        <v>0</v>
      </c>
      <c r="AA1113" t="s">
        <v>43</v>
      </c>
      <c r="AB1113">
        <v>5.0999999999999996</v>
      </c>
      <c r="AD1113" t="s">
        <v>5426</v>
      </c>
      <c r="AE1113" t="s">
        <v>5427</v>
      </c>
    </row>
    <row r="1114" spans="1:31" x14ac:dyDescent="0.25">
      <c r="A1114" t="s">
        <v>31</v>
      </c>
      <c r="C1114" t="s">
        <v>150</v>
      </c>
      <c r="D1114" t="s">
        <v>151</v>
      </c>
      <c r="E1114" t="s">
        <v>34</v>
      </c>
      <c r="F1114" t="s">
        <v>35</v>
      </c>
      <c r="G1114">
        <v>1990</v>
      </c>
      <c r="H1114" t="s">
        <v>36</v>
      </c>
      <c r="I1114" t="s">
        <v>152</v>
      </c>
      <c r="J1114" t="s">
        <v>31</v>
      </c>
      <c r="K1114" t="s">
        <v>38</v>
      </c>
      <c r="L1114" t="s">
        <v>153</v>
      </c>
      <c r="M1114" t="s">
        <v>154</v>
      </c>
      <c r="N1114" t="s">
        <v>155</v>
      </c>
      <c r="O1114" t="s">
        <v>156</v>
      </c>
      <c r="P1114" t="s">
        <v>157</v>
      </c>
      <c r="T1114">
        <v>41.257439300000001</v>
      </c>
      <c r="U1114">
        <v>-95.938198549000006</v>
      </c>
      <c r="V1114">
        <f>SUM(W1114:X1114)+(Y1114*0.8)+(Z1114*0.4)</f>
        <v>5.0999999999999996</v>
      </c>
      <c r="W1114">
        <v>5.0999999999999996</v>
      </c>
      <c r="X1114">
        <v>0</v>
      </c>
      <c r="Y1114">
        <v>0</v>
      </c>
      <c r="Z1114">
        <v>0</v>
      </c>
      <c r="AA1114" t="s">
        <v>43</v>
      </c>
      <c r="AB1114">
        <v>2.25</v>
      </c>
      <c r="AD1114" t="s">
        <v>158</v>
      </c>
      <c r="AE1114" t="s">
        <v>159</v>
      </c>
    </row>
    <row r="1115" spans="1:31" x14ac:dyDescent="0.25">
      <c r="A1115" t="s">
        <v>31</v>
      </c>
      <c r="C1115" t="s">
        <v>9713</v>
      </c>
      <c r="D1115" t="s">
        <v>9746</v>
      </c>
      <c r="E1115" t="s">
        <v>34</v>
      </c>
      <c r="F1115" t="s">
        <v>66</v>
      </c>
      <c r="G1115">
        <v>2007</v>
      </c>
      <c r="H1115" t="s">
        <v>36</v>
      </c>
      <c r="I1115" t="s">
        <v>9747</v>
      </c>
      <c r="J1115" t="s">
        <v>31</v>
      </c>
      <c r="K1115" t="s">
        <v>38</v>
      </c>
      <c r="L1115" t="s">
        <v>843</v>
      </c>
      <c r="M1115" t="s">
        <v>1644</v>
      </c>
      <c r="N1115" t="s">
        <v>3511</v>
      </c>
      <c r="O1115" t="s">
        <v>9748</v>
      </c>
      <c r="P1115" t="s">
        <v>9749</v>
      </c>
      <c r="T1115">
        <v>47.181489999999997</v>
      </c>
      <c r="U1115">
        <v>-119.3215</v>
      </c>
      <c r="V1115">
        <f>SUM(W1115:X1115)+(Y1115*0.8)+(Z1115*0.4)</f>
        <v>5.04</v>
      </c>
      <c r="W1115">
        <v>5.04</v>
      </c>
      <c r="X1115">
        <v>0</v>
      </c>
      <c r="Y1115">
        <v>0</v>
      </c>
      <c r="Z1115">
        <v>0</v>
      </c>
      <c r="AA1115" t="s">
        <v>43</v>
      </c>
      <c r="AB1115">
        <v>4.9400000000000004</v>
      </c>
      <c r="AC1115">
        <v>1.25</v>
      </c>
      <c r="AD1115" t="s">
        <v>9750</v>
      </c>
      <c r="AE1115" t="s">
        <v>9751</v>
      </c>
    </row>
    <row r="1116" spans="1:31" x14ac:dyDescent="0.25">
      <c r="A1116" t="s">
        <v>31</v>
      </c>
      <c r="C1116" t="s">
        <v>8711</v>
      </c>
      <c r="D1116" t="s">
        <v>8724</v>
      </c>
      <c r="E1116" t="s">
        <v>34</v>
      </c>
      <c r="F1116" t="s">
        <v>76</v>
      </c>
      <c r="G1116">
        <v>2026</v>
      </c>
      <c r="H1116" t="s">
        <v>36</v>
      </c>
      <c r="I1116" t="s">
        <v>8725</v>
      </c>
      <c r="J1116" t="s">
        <v>31</v>
      </c>
      <c r="K1116" t="s">
        <v>38</v>
      </c>
      <c r="L1116" t="s">
        <v>828</v>
      </c>
      <c r="M1116" t="s">
        <v>829</v>
      </c>
      <c r="N1116" t="s">
        <v>2277</v>
      </c>
      <c r="O1116" t="s">
        <v>2278</v>
      </c>
      <c r="P1116" t="s">
        <v>2279</v>
      </c>
      <c r="T1116">
        <v>44.827430108000001</v>
      </c>
      <c r="U1116">
        <v>-93.108364335999994</v>
      </c>
      <c r="V1116">
        <f>SUM(W1116:X1116)+(Y1116*0.8)+(Z1116*0.4)</f>
        <v>5</v>
      </c>
      <c r="W1116">
        <v>0</v>
      </c>
      <c r="X1116">
        <v>5</v>
      </c>
      <c r="Y1116">
        <v>0</v>
      </c>
      <c r="Z1116">
        <v>0</v>
      </c>
      <c r="AA1116" t="s">
        <v>43</v>
      </c>
      <c r="AB1116">
        <v>0</v>
      </c>
      <c r="AD1116" t="s">
        <v>8726</v>
      </c>
      <c r="AE1116" t="s">
        <v>8727</v>
      </c>
    </row>
    <row r="1117" spans="1:31" x14ac:dyDescent="0.25">
      <c r="A1117" t="s">
        <v>31</v>
      </c>
      <c r="C1117" t="s">
        <v>10406</v>
      </c>
      <c r="D1117" t="s">
        <v>10464</v>
      </c>
      <c r="E1117" t="s">
        <v>34</v>
      </c>
      <c r="F1117" t="s">
        <v>66</v>
      </c>
      <c r="G1117">
        <v>2024</v>
      </c>
      <c r="H1117" t="s">
        <v>36</v>
      </c>
      <c r="I1117" t="s">
        <v>10465</v>
      </c>
      <c r="J1117" t="s">
        <v>31</v>
      </c>
      <c r="K1117" t="s">
        <v>38</v>
      </c>
      <c r="L1117" t="s">
        <v>68</v>
      </c>
      <c r="M1117" t="s">
        <v>69</v>
      </c>
      <c r="N1117" t="s">
        <v>540</v>
      </c>
      <c r="O1117" t="s">
        <v>2134</v>
      </c>
      <c r="P1117" t="s">
        <v>2378</v>
      </c>
      <c r="T1117">
        <v>32.979791769999999</v>
      </c>
      <c r="U1117">
        <v>-97.252273410000001</v>
      </c>
      <c r="V1117">
        <f>SUM(W1117:X1117)+(Y1117*0.8)+(Z1117*0.4)</f>
        <v>5</v>
      </c>
      <c r="W1117">
        <v>5</v>
      </c>
      <c r="X1117">
        <v>0</v>
      </c>
      <c r="Y1117">
        <v>0</v>
      </c>
      <c r="Z1117">
        <v>0</v>
      </c>
      <c r="AA1117" t="s">
        <v>43</v>
      </c>
      <c r="AB1117">
        <v>4</v>
      </c>
      <c r="AD1117" t="s">
        <v>10466</v>
      </c>
      <c r="AE1117" t="s">
        <v>10467</v>
      </c>
    </row>
    <row r="1118" spans="1:31" x14ac:dyDescent="0.25">
      <c r="A1118" t="s">
        <v>31</v>
      </c>
      <c r="C1118" t="s">
        <v>9596</v>
      </c>
      <c r="D1118" t="s">
        <v>9597</v>
      </c>
      <c r="E1118" t="s">
        <v>362</v>
      </c>
      <c r="F1118" t="s">
        <v>372</v>
      </c>
      <c r="G1118">
        <v>2018</v>
      </c>
      <c r="H1118" t="s">
        <v>36</v>
      </c>
      <c r="I1118" t="s">
        <v>9598</v>
      </c>
      <c r="J1118" t="s">
        <v>31</v>
      </c>
      <c r="K1118" t="s">
        <v>38</v>
      </c>
      <c r="L1118" t="s">
        <v>843</v>
      </c>
      <c r="M1118" t="s">
        <v>1644</v>
      </c>
      <c r="N1118" t="s">
        <v>155</v>
      </c>
      <c r="O1118" t="s">
        <v>7925</v>
      </c>
      <c r="P1118" t="s">
        <v>7927</v>
      </c>
      <c r="T1118">
        <v>47.391817134</v>
      </c>
      <c r="U1118">
        <v>-120.21755891700001</v>
      </c>
      <c r="V1118">
        <f>SUM(W1118:X1118)+(Y1118*0.8)+(Z1118*0.4)</f>
        <v>5</v>
      </c>
      <c r="W1118">
        <v>5</v>
      </c>
      <c r="X1118">
        <v>0</v>
      </c>
      <c r="Y1118">
        <v>0</v>
      </c>
      <c r="Z1118">
        <v>0</v>
      </c>
      <c r="AA1118" t="s">
        <v>43</v>
      </c>
      <c r="AB1118">
        <v>5</v>
      </c>
      <c r="AD1118" t="s">
        <v>9599</v>
      </c>
      <c r="AE1118" t="s">
        <v>9600</v>
      </c>
    </row>
    <row r="1119" spans="1:31" x14ac:dyDescent="0.25">
      <c r="A1119" t="s">
        <v>31</v>
      </c>
      <c r="C1119" t="s">
        <v>9186</v>
      </c>
      <c r="D1119" t="s">
        <v>9187</v>
      </c>
      <c r="E1119" t="s">
        <v>34</v>
      </c>
      <c r="F1119" t="s">
        <v>35</v>
      </c>
      <c r="G1119">
        <v>2017</v>
      </c>
      <c r="H1119" t="s">
        <v>36</v>
      </c>
      <c r="I1119" t="s">
        <v>9188</v>
      </c>
      <c r="J1119" t="s">
        <v>31</v>
      </c>
      <c r="K1119" t="s">
        <v>38</v>
      </c>
      <c r="L1119" t="s">
        <v>68</v>
      </c>
      <c r="M1119" t="s">
        <v>69</v>
      </c>
      <c r="N1119" t="s">
        <v>297</v>
      </c>
      <c r="O1119" t="s">
        <v>2116</v>
      </c>
      <c r="P1119" t="s">
        <v>9189</v>
      </c>
      <c r="S1119" t="s">
        <v>3844</v>
      </c>
      <c r="T1119">
        <v>32.783700768999999</v>
      </c>
      <c r="U1119">
        <v>-96.794691311999998</v>
      </c>
      <c r="V1119">
        <f>SUM(W1119:X1119)+(Y1119*0.8)+(Z1119*0.4)</f>
        <v>5</v>
      </c>
      <c r="W1119">
        <v>5</v>
      </c>
      <c r="X1119">
        <v>0</v>
      </c>
      <c r="Y1119">
        <v>0</v>
      </c>
      <c r="Z1119">
        <v>0</v>
      </c>
      <c r="AA1119" t="s">
        <v>43</v>
      </c>
      <c r="AB1119">
        <v>4</v>
      </c>
      <c r="AD1119" t="s">
        <v>9190</v>
      </c>
      <c r="AE1119" t="s">
        <v>9191</v>
      </c>
    </row>
    <row r="1120" spans="1:31" x14ac:dyDescent="0.25">
      <c r="A1120" t="s">
        <v>31</v>
      </c>
      <c r="C1120" t="s">
        <v>10977</v>
      </c>
      <c r="D1120" t="s">
        <v>11068</v>
      </c>
      <c r="E1120" t="s">
        <v>362</v>
      </c>
      <c r="F1120" t="s">
        <v>1611</v>
      </c>
      <c r="G1120">
        <v>2015</v>
      </c>
      <c r="H1120" t="s">
        <v>36</v>
      </c>
      <c r="I1120" t="s">
        <v>11069</v>
      </c>
      <c r="J1120" t="s">
        <v>31</v>
      </c>
      <c r="K1120" t="s">
        <v>38</v>
      </c>
      <c r="L1120" t="s">
        <v>39</v>
      </c>
      <c r="M1120" t="s">
        <v>40</v>
      </c>
      <c r="N1120" t="s">
        <v>210</v>
      </c>
      <c r="O1120" t="s">
        <v>11070</v>
      </c>
      <c r="P1120" t="s">
        <v>11071</v>
      </c>
      <c r="T1120">
        <v>40.555820453999999</v>
      </c>
      <c r="U1120">
        <v>-74.705491792000004</v>
      </c>
      <c r="V1120">
        <f>SUM(W1120:X1120)+(Y1120*0.8)+(Z1120*0.4)</f>
        <v>5</v>
      </c>
      <c r="W1120">
        <v>5</v>
      </c>
      <c r="X1120">
        <v>0</v>
      </c>
      <c r="Y1120">
        <v>0</v>
      </c>
      <c r="Z1120">
        <v>0</v>
      </c>
      <c r="AA1120" t="s">
        <v>43</v>
      </c>
      <c r="AB1120">
        <v>5</v>
      </c>
      <c r="AD1120" t="s">
        <v>11072</v>
      </c>
      <c r="AE1120" t="s">
        <v>11073</v>
      </c>
    </row>
    <row r="1121" spans="1:31" x14ac:dyDescent="0.25">
      <c r="A1121" t="s">
        <v>31</v>
      </c>
      <c r="C1121" t="s">
        <v>3710</v>
      </c>
      <c r="D1121" t="s">
        <v>3722</v>
      </c>
      <c r="E1121" t="s">
        <v>34</v>
      </c>
      <c r="F1121" t="s">
        <v>35</v>
      </c>
      <c r="G1121">
        <v>2015</v>
      </c>
      <c r="H1121" t="s">
        <v>36</v>
      </c>
      <c r="I1121" t="s">
        <v>3723</v>
      </c>
      <c r="J1121" t="s">
        <v>31</v>
      </c>
      <c r="K1121" t="s">
        <v>38</v>
      </c>
      <c r="L1121" t="s">
        <v>828</v>
      </c>
      <c r="M1121" t="s">
        <v>829</v>
      </c>
      <c r="N1121" t="s">
        <v>2277</v>
      </c>
      <c r="O1121" t="s">
        <v>2278</v>
      </c>
      <c r="P1121" t="s">
        <v>3724</v>
      </c>
      <c r="Q1121" t="s">
        <v>2278</v>
      </c>
      <c r="S1121" t="s">
        <v>3725</v>
      </c>
      <c r="T1121">
        <v>44.838641768000002</v>
      </c>
      <c r="U1121">
        <v>-93.146001022999997</v>
      </c>
      <c r="V1121">
        <f>SUM(W1121:X1121)+(Y1121*0.8)+(Z1121*0.4)</f>
        <v>5</v>
      </c>
      <c r="W1121">
        <v>5</v>
      </c>
      <c r="X1121">
        <v>0</v>
      </c>
      <c r="Y1121">
        <v>0</v>
      </c>
      <c r="Z1121">
        <v>0</v>
      </c>
      <c r="AA1121" t="s">
        <v>43</v>
      </c>
      <c r="AB1121">
        <v>4.74</v>
      </c>
      <c r="AD1121" t="s">
        <v>3726</v>
      </c>
      <c r="AE1121" t="s">
        <v>3727</v>
      </c>
    </row>
    <row r="1122" spans="1:31" x14ac:dyDescent="0.25">
      <c r="A1122" t="s">
        <v>31</v>
      </c>
      <c r="B1122" t="s">
        <v>11350</v>
      </c>
      <c r="C1122" t="s">
        <v>647</v>
      </c>
      <c r="D1122" t="s">
        <v>1032</v>
      </c>
      <c r="E1122" t="s">
        <v>362</v>
      </c>
      <c r="F1122" t="s">
        <v>649</v>
      </c>
      <c r="G1122">
        <v>2014</v>
      </c>
      <c r="H1122" t="s">
        <v>36</v>
      </c>
      <c r="I1122" t="s">
        <v>1033</v>
      </c>
      <c r="J1122" t="s">
        <v>31</v>
      </c>
      <c r="K1122" t="s">
        <v>38</v>
      </c>
      <c r="L1122" t="s">
        <v>242</v>
      </c>
      <c r="M1122" t="s">
        <v>243</v>
      </c>
      <c r="N1122" t="s">
        <v>405</v>
      </c>
      <c r="O1122" t="s">
        <v>526</v>
      </c>
      <c r="P1122" t="s">
        <v>527</v>
      </c>
      <c r="T1122">
        <v>38.991743382000003</v>
      </c>
      <c r="U1122">
        <v>-77.448038714000006</v>
      </c>
      <c r="V1122">
        <f>SUM(W1122:X1122)+(Y1122*0.8)+(Z1122*0.4)</f>
        <v>5</v>
      </c>
      <c r="W1122">
        <v>5</v>
      </c>
      <c r="X1122">
        <v>0</v>
      </c>
      <c r="Y1122">
        <v>0</v>
      </c>
      <c r="Z1122">
        <v>0</v>
      </c>
      <c r="AA1122" t="s">
        <v>43</v>
      </c>
      <c r="AB1122">
        <v>5</v>
      </c>
      <c r="AD1122" t="s">
        <v>1034</v>
      </c>
      <c r="AE1122" t="s">
        <v>1035</v>
      </c>
    </row>
    <row r="1123" spans="1:31" x14ac:dyDescent="0.25">
      <c r="A1123" t="s">
        <v>31</v>
      </c>
      <c r="C1123" t="s">
        <v>1948</v>
      </c>
      <c r="D1123" t="s">
        <v>1949</v>
      </c>
      <c r="E1123" t="s">
        <v>362</v>
      </c>
      <c r="F1123" t="s">
        <v>630</v>
      </c>
      <c r="G1123">
        <v>2013</v>
      </c>
      <c r="H1123" t="s">
        <v>36</v>
      </c>
      <c r="I1123" t="s">
        <v>1950</v>
      </c>
      <c r="J1123" t="s">
        <v>31</v>
      </c>
      <c r="K1123" t="s">
        <v>38</v>
      </c>
      <c r="L1123" t="s">
        <v>68</v>
      </c>
      <c r="M1123" t="s">
        <v>69</v>
      </c>
      <c r="N1123" t="s">
        <v>1951</v>
      </c>
      <c r="O1123" t="s">
        <v>1952</v>
      </c>
      <c r="P1123" t="s">
        <v>1953</v>
      </c>
      <c r="T1123">
        <v>29.784017186</v>
      </c>
      <c r="U1123">
        <v>-95.628587815000003</v>
      </c>
      <c r="V1123">
        <f>SUM(W1123:X1123)+(Y1123*0.8)+(Z1123*0.4)</f>
        <v>5</v>
      </c>
      <c r="W1123">
        <v>5</v>
      </c>
      <c r="X1123">
        <v>0</v>
      </c>
      <c r="Y1123">
        <v>0</v>
      </c>
      <c r="Z1123">
        <v>0</v>
      </c>
      <c r="AA1123" t="s">
        <v>43</v>
      </c>
      <c r="AB1123">
        <v>5</v>
      </c>
      <c r="AD1123" t="s">
        <v>1954</v>
      </c>
      <c r="AE1123" t="s">
        <v>1955</v>
      </c>
    </row>
    <row r="1124" spans="1:31" x14ac:dyDescent="0.25">
      <c r="A1124" t="s">
        <v>31</v>
      </c>
      <c r="C1124" t="s">
        <v>1890</v>
      </c>
      <c r="D1124" t="s">
        <v>1891</v>
      </c>
      <c r="E1124" t="s">
        <v>34</v>
      </c>
      <c r="F1124" t="s">
        <v>35</v>
      </c>
      <c r="G1124">
        <v>2013</v>
      </c>
      <c r="H1124" t="s">
        <v>36</v>
      </c>
      <c r="I1124" t="s">
        <v>1892</v>
      </c>
      <c r="J1124" t="s">
        <v>31</v>
      </c>
      <c r="K1124" t="s">
        <v>38</v>
      </c>
      <c r="L1124" t="s">
        <v>1433</v>
      </c>
      <c r="M1124" t="s">
        <v>1434</v>
      </c>
      <c r="N1124" t="s">
        <v>1893</v>
      </c>
      <c r="O1124" t="s">
        <v>1894</v>
      </c>
      <c r="P1124" t="s">
        <v>1895</v>
      </c>
      <c r="T1124">
        <v>41.550325450999999</v>
      </c>
      <c r="U1124">
        <v>-90.482499535000002</v>
      </c>
      <c r="V1124">
        <f>SUM(W1124:X1124)+(Y1124*0.8)+(Z1124*0.4)</f>
        <v>5</v>
      </c>
      <c r="W1124">
        <v>5</v>
      </c>
      <c r="X1124">
        <v>0</v>
      </c>
      <c r="Y1124">
        <v>0</v>
      </c>
      <c r="Z1124">
        <v>0</v>
      </c>
      <c r="AA1124" t="s">
        <v>43</v>
      </c>
      <c r="AB1124">
        <v>2.5</v>
      </c>
      <c r="AC1124">
        <v>1.3</v>
      </c>
      <c r="AD1124" t="s">
        <v>1896</v>
      </c>
      <c r="AE1124" t="s">
        <v>1897</v>
      </c>
    </row>
    <row r="1125" spans="1:31" x14ac:dyDescent="0.25">
      <c r="A1125" t="s">
        <v>31</v>
      </c>
      <c r="B1125" t="s">
        <v>11350</v>
      </c>
      <c r="C1125" t="s">
        <v>647</v>
      </c>
      <c r="D1125" t="s">
        <v>1275</v>
      </c>
      <c r="E1125" t="s">
        <v>362</v>
      </c>
      <c r="F1125" t="s">
        <v>649</v>
      </c>
      <c r="G1125">
        <v>2013</v>
      </c>
      <c r="H1125" t="s">
        <v>36</v>
      </c>
      <c r="I1125" t="s">
        <v>1276</v>
      </c>
      <c r="J1125" t="s">
        <v>31</v>
      </c>
      <c r="K1125" t="s">
        <v>38</v>
      </c>
      <c r="L1125" t="s">
        <v>242</v>
      </c>
      <c r="M1125" t="s">
        <v>243</v>
      </c>
      <c r="N1125" t="s">
        <v>405</v>
      </c>
      <c r="O1125" t="s">
        <v>516</v>
      </c>
      <c r="P1125" t="s">
        <v>517</v>
      </c>
      <c r="T1125">
        <v>39.028768501999998</v>
      </c>
      <c r="U1125">
        <v>-77.458544602000003</v>
      </c>
      <c r="V1125">
        <f>SUM(W1125:X1125)+(Y1125*0.8)+(Z1125*0.4)</f>
        <v>5</v>
      </c>
      <c r="W1125">
        <v>5</v>
      </c>
      <c r="X1125">
        <v>0</v>
      </c>
      <c r="Y1125">
        <v>0</v>
      </c>
      <c r="Z1125">
        <v>0</v>
      </c>
      <c r="AA1125" t="s">
        <v>43</v>
      </c>
      <c r="AB1125">
        <v>5</v>
      </c>
      <c r="AD1125" t="s">
        <v>1277</v>
      </c>
      <c r="AE1125" t="s">
        <v>1278</v>
      </c>
    </row>
    <row r="1126" spans="1:31" x14ac:dyDescent="0.25">
      <c r="A1126" t="s">
        <v>31</v>
      </c>
      <c r="C1126" t="s">
        <v>8255</v>
      </c>
      <c r="D1126" t="s">
        <v>8256</v>
      </c>
      <c r="E1126" t="s">
        <v>362</v>
      </c>
      <c r="F1126" t="s">
        <v>630</v>
      </c>
      <c r="G1126">
        <v>2010</v>
      </c>
      <c r="H1126" t="s">
        <v>36</v>
      </c>
      <c r="I1126" t="s">
        <v>8257</v>
      </c>
      <c r="J1126" t="s">
        <v>31</v>
      </c>
      <c r="K1126" t="s">
        <v>38</v>
      </c>
      <c r="L1126" t="s">
        <v>39</v>
      </c>
      <c r="M1126" t="s">
        <v>40</v>
      </c>
      <c r="N1126" t="s">
        <v>210</v>
      </c>
      <c r="O1126" t="s">
        <v>533</v>
      </c>
      <c r="P1126" t="s">
        <v>3470</v>
      </c>
      <c r="T1126">
        <v>40.539774964999999</v>
      </c>
      <c r="U1126">
        <v>-74.542192303999997</v>
      </c>
      <c r="V1126">
        <f>SUM(W1126:X1126)+(Y1126*0.8)+(Z1126*0.4)</f>
        <v>5</v>
      </c>
      <c r="W1126">
        <v>5</v>
      </c>
      <c r="X1126">
        <v>0</v>
      </c>
      <c r="Y1126">
        <v>0</v>
      </c>
      <c r="Z1126">
        <v>0</v>
      </c>
      <c r="AA1126" t="s">
        <v>43</v>
      </c>
      <c r="AB1126">
        <v>5</v>
      </c>
      <c r="AD1126" t="s">
        <v>8258</v>
      </c>
      <c r="AE1126" t="s">
        <v>8259</v>
      </c>
    </row>
    <row r="1127" spans="1:31" x14ac:dyDescent="0.25">
      <c r="A1127" t="s">
        <v>31</v>
      </c>
      <c r="C1127" t="s">
        <v>5765</v>
      </c>
      <c r="D1127" t="s">
        <v>5801</v>
      </c>
      <c r="E1127" t="s">
        <v>34</v>
      </c>
      <c r="F1127" t="s">
        <v>35</v>
      </c>
      <c r="G1127">
        <v>2010</v>
      </c>
      <c r="H1127" t="s">
        <v>36</v>
      </c>
      <c r="I1127" t="s">
        <v>5802</v>
      </c>
      <c r="J1127" t="s">
        <v>31</v>
      </c>
      <c r="K1127" t="s">
        <v>38</v>
      </c>
      <c r="L1127" t="s">
        <v>326</v>
      </c>
      <c r="M1127" t="s">
        <v>327</v>
      </c>
      <c r="N1127" t="s">
        <v>328</v>
      </c>
      <c r="O1127" t="s">
        <v>590</v>
      </c>
      <c r="P1127" t="s">
        <v>591</v>
      </c>
      <c r="T1127">
        <v>33.684676156999998</v>
      </c>
      <c r="U1127">
        <v>-112.098291961</v>
      </c>
      <c r="V1127">
        <f>SUM(W1127:X1127)+(Y1127*0.8)+(Z1127*0.4)</f>
        <v>5</v>
      </c>
      <c r="W1127">
        <v>5</v>
      </c>
      <c r="X1127">
        <v>0</v>
      </c>
      <c r="Y1127">
        <v>0</v>
      </c>
      <c r="Z1127">
        <v>0</v>
      </c>
      <c r="AA1127" t="s">
        <v>43</v>
      </c>
      <c r="AB1127">
        <v>4</v>
      </c>
      <c r="AC1127">
        <v>1.6</v>
      </c>
      <c r="AD1127" t="s">
        <v>5803</v>
      </c>
      <c r="AE1127" t="s">
        <v>5804</v>
      </c>
    </row>
    <row r="1128" spans="1:31" x14ac:dyDescent="0.25">
      <c r="A1128" t="s">
        <v>31</v>
      </c>
      <c r="C1128" t="s">
        <v>9202</v>
      </c>
      <c r="D1128" t="s">
        <v>9347</v>
      </c>
      <c r="E1128" t="s">
        <v>34</v>
      </c>
      <c r="F1128" t="s">
        <v>35</v>
      </c>
      <c r="G1128">
        <v>2007</v>
      </c>
      <c r="H1128" t="s">
        <v>36</v>
      </c>
      <c r="I1128" t="s">
        <v>9348</v>
      </c>
      <c r="J1128" t="s">
        <v>31</v>
      </c>
      <c r="K1128" t="s">
        <v>38</v>
      </c>
      <c r="L1128" t="s">
        <v>172</v>
      </c>
      <c r="M1128" t="s">
        <v>173</v>
      </c>
      <c r="N1128" t="s">
        <v>174</v>
      </c>
      <c r="P1128" t="s">
        <v>8609</v>
      </c>
      <c r="T1128">
        <v>38.646332000000001</v>
      </c>
      <c r="U1128">
        <v>-121.48621199999999</v>
      </c>
      <c r="V1128">
        <f>SUM(W1128:X1128)+(Y1128*0.8)+(Z1128*0.4)</f>
        <v>5</v>
      </c>
      <c r="W1128">
        <v>5</v>
      </c>
      <c r="X1128">
        <v>0</v>
      </c>
      <c r="Y1128">
        <v>0</v>
      </c>
      <c r="Z1128">
        <v>0</v>
      </c>
      <c r="AA1128" t="s">
        <v>43</v>
      </c>
      <c r="AB1128">
        <v>5</v>
      </c>
      <c r="AD1128" t="s">
        <v>9349</v>
      </c>
      <c r="AE1128" t="s">
        <v>9350</v>
      </c>
    </row>
    <row r="1129" spans="1:31" x14ac:dyDescent="0.25">
      <c r="A1129" t="s">
        <v>31</v>
      </c>
      <c r="B1129" t="s">
        <v>11350</v>
      </c>
      <c r="C1129" t="s">
        <v>1610</v>
      </c>
      <c r="D1129" t="s">
        <v>183</v>
      </c>
      <c r="E1129" t="s">
        <v>362</v>
      </c>
      <c r="F1129" t="s">
        <v>1611</v>
      </c>
      <c r="G1129">
        <v>2007</v>
      </c>
      <c r="H1129" t="s">
        <v>36</v>
      </c>
      <c r="I1129" t="s">
        <v>1612</v>
      </c>
      <c r="J1129" t="s">
        <v>31</v>
      </c>
      <c r="K1129" t="s">
        <v>38</v>
      </c>
      <c r="L1129" t="s">
        <v>185</v>
      </c>
      <c r="M1129" t="s">
        <v>186</v>
      </c>
      <c r="N1129" t="s">
        <v>187</v>
      </c>
      <c r="O1129" t="s">
        <v>183</v>
      </c>
      <c r="P1129" t="s">
        <v>1613</v>
      </c>
      <c r="T1129">
        <v>34.082349702000002</v>
      </c>
      <c r="U1129">
        <v>-84.267700196999996</v>
      </c>
      <c r="V1129">
        <f>SUM(W1129:X1129)+(Y1129*0.8)+(Z1129*0.4)</f>
        <v>5</v>
      </c>
      <c r="W1129">
        <v>5</v>
      </c>
      <c r="X1129">
        <v>0</v>
      </c>
      <c r="Y1129">
        <v>0</v>
      </c>
      <c r="Z1129">
        <v>0</v>
      </c>
      <c r="AA1129" t="s">
        <v>43</v>
      </c>
      <c r="AB1129">
        <v>5</v>
      </c>
      <c r="AD1129" t="s">
        <v>1614</v>
      </c>
      <c r="AE1129" t="s">
        <v>1615</v>
      </c>
    </row>
    <row r="1130" spans="1:31" x14ac:dyDescent="0.25">
      <c r="A1130" t="s">
        <v>31</v>
      </c>
      <c r="C1130" t="s">
        <v>5181</v>
      </c>
      <c r="D1130" t="s">
        <v>5278</v>
      </c>
      <c r="E1130" t="s">
        <v>34</v>
      </c>
      <c r="F1130" t="s">
        <v>35</v>
      </c>
      <c r="G1130">
        <v>2004</v>
      </c>
      <c r="H1130" t="s">
        <v>36</v>
      </c>
      <c r="I1130" t="s">
        <v>5279</v>
      </c>
      <c r="J1130" t="s">
        <v>31</v>
      </c>
      <c r="K1130" t="s">
        <v>38</v>
      </c>
      <c r="L1130" t="s">
        <v>242</v>
      </c>
      <c r="M1130" t="s">
        <v>243</v>
      </c>
      <c r="N1130" t="s">
        <v>509</v>
      </c>
      <c r="O1130" t="s">
        <v>510</v>
      </c>
      <c r="P1130" t="s">
        <v>511</v>
      </c>
      <c r="T1130">
        <v>38.803493000000003</v>
      </c>
      <c r="U1130">
        <v>-77.51061</v>
      </c>
      <c r="V1130">
        <f>SUM(W1130:X1130)+(Y1130*0.8)+(Z1130*0.4)</f>
        <v>5</v>
      </c>
      <c r="W1130">
        <v>5</v>
      </c>
      <c r="X1130">
        <v>0</v>
      </c>
      <c r="Y1130">
        <v>0</v>
      </c>
      <c r="Z1130">
        <v>0</v>
      </c>
      <c r="AA1130" t="s">
        <v>43</v>
      </c>
      <c r="AB1130">
        <v>4.8</v>
      </c>
      <c r="AC1130">
        <v>1.5</v>
      </c>
      <c r="AD1130" t="s">
        <v>5280</v>
      </c>
      <c r="AE1130" t="s">
        <v>5281</v>
      </c>
    </row>
    <row r="1131" spans="1:31" x14ac:dyDescent="0.25">
      <c r="A1131" t="s">
        <v>31</v>
      </c>
      <c r="C1131" t="s">
        <v>1890</v>
      </c>
      <c r="D1131" t="s">
        <v>1898</v>
      </c>
      <c r="E1131" t="s">
        <v>34</v>
      </c>
      <c r="F1131" t="s">
        <v>35</v>
      </c>
      <c r="G1131">
        <v>2003</v>
      </c>
      <c r="H1131" t="s">
        <v>36</v>
      </c>
      <c r="I1131" t="s">
        <v>1899</v>
      </c>
      <c r="J1131" t="s">
        <v>31</v>
      </c>
      <c r="K1131" t="s">
        <v>38</v>
      </c>
      <c r="L1131" t="s">
        <v>1900</v>
      </c>
      <c r="M1131" t="s">
        <v>1901</v>
      </c>
      <c r="N1131" t="s">
        <v>1902</v>
      </c>
      <c r="O1131" t="s">
        <v>320</v>
      </c>
      <c r="P1131" t="s">
        <v>1903</v>
      </c>
      <c r="Q1131" t="s">
        <v>1904</v>
      </c>
      <c r="T1131">
        <v>37.232118999999997</v>
      </c>
      <c r="U1131">
        <v>-93.213946000000007</v>
      </c>
      <c r="V1131">
        <f>SUM(W1131:X1131)+(Y1131*0.8)+(Z1131*0.4)</f>
        <v>5</v>
      </c>
      <c r="W1131">
        <v>5</v>
      </c>
      <c r="X1131">
        <v>0</v>
      </c>
      <c r="Y1131">
        <v>0</v>
      </c>
      <c r="Z1131">
        <v>0</v>
      </c>
      <c r="AA1131" t="s">
        <v>43</v>
      </c>
      <c r="AB1131">
        <v>2.5</v>
      </c>
      <c r="AD1131" t="s">
        <v>1905</v>
      </c>
      <c r="AE1131" t="s">
        <v>1906</v>
      </c>
    </row>
    <row r="1132" spans="1:31" x14ac:dyDescent="0.25">
      <c r="A1132" t="s">
        <v>31</v>
      </c>
      <c r="C1132" t="s">
        <v>6381</v>
      </c>
      <c r="D1132" t="s">
        <v>6476</v>
      </c>
      <c r="E1132" t="s">
        <v>34</v>
      </c>
      <c r="F1132" t="s">
        <v>66</v>
      </c>
      <c r="G1132">
        <v>2000</v>
      </c>
      <c r="H1132" t="s">
        <v>36</v>
      </c>
      <c r="I1132" t="s">
        <v>6477</v>
      </c>
      <c r="J1132" t="s">
        <v>31</v>
      </c>
      <c r="K1132" t="s">
        <v>38</v>
      </c>
      <c r="L1132" t="s">
        <v>172</v>
      </c>
      <c r="M1132" t="s">
        <v>173</v>
      </c>
      <c r="N1132" t="s">
        <v>780</v>
      </c>
      <c r="O1132" t="s">
        <v>2067</v>
      </c>
      <c r="P1132" t="s">
        <v>5468</v>
      </c>
      <c r="T1132">
        <v>37.399966999999997</v>
      </c>
      <c r="U1132">
        <v>-121.895314</v>
      </c>
      <c r="V1132">
        <f>SUM(W1132:X1132)+(Y1132*0.8)+(Z1132*0.4)</f>
        <v>5</v>
      </c>
      <c r="W1132">
        <v>5</v>
      </c>
      <c r="X1132">
        <v>0</v>
      </c>
      <c r="Y1132">
        <v>0</v>
      </c>
      <c r="Z1132">
        <v>0</v>
      </c>
      <c r="AA1132" t="s">
        <v>43</v>
      </c>
      <c r="AB1132">
        <v>5</v>
      </c>
      <c r="AD1132" t="s">
        <v>6478</v>
      </c>
      <c r="AE1132" t="s">
        <v>6479</v>
      </c>
    </row>
    <row r="1133" spans="1:31" x14ac:dyDescent="0.25">
      <c r="A1133" t="s">
        <v>31</v>
      </c>
      <c r="C1133" t="s">
        <v>2260</v>
      </c>
      <c r="D1133" t="s">
        <v>2268</v>
      </c>
      <c r="E1133" t="s">
        <v>34</v>
      </c>
      <c r="F1133" t="s">
        <v>35</v>
      </c>
      <c r="G1133">
        <v>2000</v>
      </c>
      <c r="H1133" t="s">
        <v>36</v>
      </c>
      <c r="I1133" t="s">
        <v>2269</v>
      </c>
      <c r="J1133" t="s">
        <v>31</v>
      </c>
      <c r="K1133" t="s">
        <v>38</v>
      </c>
      <c r="L1133" t="s">
        <v>383</v>
      </c>
      <c r="M1133" t="s">
        <v>384</v>
      </c>
      <c r="N1133" t="s">
        <v>2270</v>
      </c>
      <c r="O1133" t="s">
        <v>2271</v>
      </c>
      <c r="P1133" t="s">
        <v>2272</v>
      </c>
      <c r="S1133" t="s">
        <v>2273</v>
      </c>
      <c r="T1133">
        <v>35.222268974999999</v>
      </c>
      <c r="U1133">
        <v>-80.836522568000007</v>
      </c>
      <c r="V1133">
        <f>SUM(W1133:X1133)+(Y1133*0.8)+(Z1133*0.4)</f>
        <v>5</v>
      </c>
      <c r="W1133">
        <v>5</v>
      </c>
      <c r="X1133">
        <v>0</v>
      </c>
      <c r="Y1133">
        <v>0</v>
      </c>
      <c r="Z1133">
        <v>0</v>
      </c>
      <c r="AA1133" t="s">
        <v>43</v>
      </c>
      <c r="AB1133">
        <v>2</v>
      </c>
      <c r="AD1133" t="s">
        <v>2274</v>
      </c>
      <c r="AE1133" t="s">
        <v>2275</v>
      </c>
    </row>
    <row r="1134" spans="1:31" x14ac:dyDescent="0.25">
      <c r="A1134" t="s">
        <v>31</v>
      </c>
      <c r="C1134" t="s">
        <v>10977</v>
      </c>
      <c r="D1134" t="s">
        <v>11064</v>
      </c>
      <c r="E1134" t="s">
        <v>362</v>
      </c>
      <c r="F1134" t="s">
        <v>1611</v>
      </c>
      <c r="G1134">
        <v>1999</v>
      </c>
      <c r="H1134" t="s">
        <v>36</v>
      </c>
      <c r="I1134" t="s">
        <v>11065</v>
      </c>
      <c r="J1134" t="s">
        <v>31</v>
      </c>
      <c r="K1134" t="s">
        <v>38</v>
      </c>
      <c r="L1134" t="s">
        <v>448</v>
      </c>
      <c r="M1134" t="s">
        <v>449</v>
      </c>
      <c r="N1134" t="s">
        <v>450</v>
      </c>
      <c r="O1134" t="s">
        <v>451</v>
      </c>
      <c r="P1134" t="s">
        <v>452</v>
      </c>
      <c r="T1134">
        <v>39.062606641000002</v>
      </c>
      <c r="U1134">
        <v>-76.890309708999993</v>
      </c>
      <c r="V1134">
        <f>SUM(W1134:X1134)+(Y1134*0.8)+(Z1134*0.4)</f>
        <v>5</v>
      </c>
      <c r="W1134">
        <v>5</v>
      </c>
      <c r="X1134">
        <v>0</v>
      </c>
      <c r="Y1134">
        <v>0</v>
      </c>
      <c r="Z1134">
        <v>0</v>
      </c>
      <c r="AA1134" t="s">
        <v>43</v>
      </c>
      <c r="AB1134">
        <v>5</v>
      </c>
      <c r="AD1134" t="s">
        <v>11066</v>
      </c>
      <c r="AE1134" t="s">
        <v>11067</v>
      </c>
    </row>
    <row r="1135" spans="1:31" x14ac:dyDescent="0.25">
      <c r="A1135" t="s">
        <v>31</v>
      </c>
      <c r="C1135" t="s">
        <v>2923</v>
      </c>
      <c r="D1135" t="s">
        <v>2924</v>
      </c>
      <c r="E1135" t="s">
        <v>34</v>
      </c>
      <c r="F1135" t="s">
        <v>35</v>
      </c>
      <c r="G1135">
        <v>1999</v>
      </c>
      <c r="H1135" t="s">
        <v>36</v>
      </c>
      <c r="I1135" t="s">
        <v>2925</v>
      </c>
      <c r="J1135" t="s">
        <v>31</v>
      </c>
      <c r="K1135" t="s">
        <v>38</v>
      </c>
      <c r="L1135" t="s">
        <v>172</v>
      </c>
      <c r="M1135" t="s">
        <v>173</v>
      </c>
      <c r="N1135" t="s">
        <v>174</v>
      </c>
      <c r="O1135" t="s">
        <v>175</v>
      </c>
      <c r="P1135" t="s">
        <v>176</v>
      </c>
      <c r="T1135">
        <v>38.587043669000003</v>
      </c>
      <c r="U1135">
        <v>-121.28224097099999</v>
      </c>
      <c r="V1135">
        <f>SUM(W1135:X1135)+(Y1135*0.8)+(Z1135*0.4)</f>
        <v>5</v>
      </c>
      <c r="W1135">
        <v>5</v>
      </c>
      <c r="X1135">
        <v>0</v>
      </c>
      <c r="Y1135">
        <v>0</v>
      </c>
      <c r="Z1135">
        <v>0</v>
      </c>
      <c r="AA1135" t="s">
        <v>43</v>
      </c>
      <c r="AB1135">
        <v>4.9000000000000004</v>
      </c>
      <c r="AD1135" t="s">
        <v>2926</v>
      </c>
      <c r="AE1135" t="s">
        <v>2927</v>
      </c>
    </row>
    <row r="1136" spans="1:31" x14ac:dyDescent="0.25">
      <c r="A1136" t="s">
        <v>31</v>
      </c>
      <c r="C1136" t="s">
        <v>7525</v>
      </c>
      <c r="D1136" t="s">
        <v>7526</v>
      </c>
      <c r="E1136" t="s">
        <v>34</v>
      </c>
      <c r="F1136" t="s">
        <v>66</v>
      </c>
      <c r="G1136">
        <v>1993</v>
      </c>
      <c r="H1136" t="s">
        <v>36</v>
      </c>
      <c r="I1136" t="s">
        <v>7527</v>
      </c>
      <c r="J1136" t="s">
        <v>31</v>
      </c>
      <c r="K1136" t="s">
        <v>38</v>
      </c>
      <c r="L1136" t="s">
        <v>185</v>
      </c>
      <c r="M1136" t="s">
        <v>186</v>
      </c>
      <c r="N1136" t="s">
        <v>187</v>
      </c>
      <c r="O1136" t="s">
        <v>183</v>
      </c>
      <c r="P1136" t="s">
        <v>7528</v>
      </c>
      <c r="T1136">
        <v>34.096818591000002</v>
      </c>
      <c r="U1136">
        <v>-84.236926748000002</v>
      </c>
      <c r="V1136">
        <f>SUM(W1136:X1136)+(Y1136*0.8)+(Z1136*0.4)</f>
        <v>5</v>
      </c>
      <c r="W1136">
        <v>5</v>
      </c>
      <c r="X1136">
        <v>0</v>
      </c>
      <c r="Y1136">
        <v>0</v>
      </c>
      <c r="Z1136">
        <v>0</v>
      </c>
      <c r="AA1136" t="s">
        <v>43</v>
      </c>
      <c r="AB1136">
        <v>2.5</v>
      </c>
      <c r="AD1136" t="s">
        <v>7529</v>
      </c>
      <c r="AE1136" t="s">
        <v>7530</v>
      </c>
    </row>
    <row r="1137" spans="1:31" x14ac:dyDescent="0.25">
      <c r="A1137" t="s">
        <v>31</v>
      </c>
      <c r="C1137" t="s">
        <v>3710</v>
      </c>
      <c r="D1137" t="s">
        <v>3931</v>
      </c>
      <c r="E1137" t="s">
        <v>34</v>
      </c>
      <c r="F1137" t="s">
        <v>35</v>
      </c>
      <c r="G1137">
        <v>1990</v>
      </c>
      <c r="H1137" t="s">
        <v>36</v>
      </c>
      <c r="I1137" t="s">
        <v>3932</v>
      </c>
      <c r="J1137" t="s">
        <v>31</v>
      </c>
      <c r="K1137" t="s">
        <v>38</v>
      </c>
      <c r="L1137" t="s">
        <v>77</v>
      </c>
      <c r="M1137" t="s">
        <v>78</v>
      </c>
      <c r="N1137" t="s">
        <v>1358</v>
      </c>
      <c r="O1137" t="s">
        <v>1518</v>
      </c>
      <c r="P1137" t="s">
        <v>3933</v>
      </c>
      <c r="S1137" t="s">
        <v>3934</v>
      </c>
      <c r="T1137">
        <v>40.451285996999999</v>
      </c>
      <c r="U1137">
        <v>-80.190131660000006</v>
      </c>
      <c r="V1137">
        <f>SUM(W1137:X1137)+(Y1137*0.8)+(Z1137*0.4)</f>
        <v>5</v>
      </c>
      <c r="W1137">
        <v>5</v>
      </c>
      <c r="X1137">
        <v>0</v>
      </c>
      <c r="Y1137">
        <v>0</v>
      </c>
      <c r="Z1137">
        <v>0</v>
      </c>
      <c r="AA1137" t="s">
        <v>43</v>
      </c>
      <c r="AB1137">
        <v>3.78</v>
      </c>
      <c r="AD1137" t="s">
        <v>3935</v>
      </c>
      <c r="AE1137" t="s">
        <v>3936</v>
      </c>
    </row>
    <row r="1138" spans="1:31" x14ac:dyDescent="0.25">
      <c r="A1138" t="s">
        <v>31</v>
      </c>
      <c r="C1138" t="s">
        <v>4035</v>
      </c>
      <c r="D1138" t="s">
        <v>4078</v>
      </c>
      <c r="E1138" t="s">
        <v>34</v>
      </c>
      <c r="F1138" t="s">
        <v>76</v>
      </c>
      <c r="H1138" t="s">
        <v>411</v>
      </c>
      <c r="J1138" t="s">
        <v>31</v>
      </c>
      <c r="K1138" t="s">
        <v>38</v>
      </c>
      <c r="L1138" t="s">
        <v>1883</v>
      </c>
      <c r="M1138" t="s">
        <v>1884</v>
      </c>
      <c r="N1138" t="s">
        <v>1144</v>
      </c>
      <c r="O1138" t="s">
        <v>4065</v>
      </c>
      <c r="P1138" t="s">
        <v>4079</v>
      </c>
      <c r="T1138">
        <v>34.692715022000002</v>
      </c>
      <c r="U1138">
        <v>-86.528554258</v>
      </c>
      <c r="V1138">
        <f>SUM(W1138:X1138)+(Y1138*0.8)+(Z1138*0.4)</f>
        <v>5</v>
      </c>
      <c r="W1138">
        <v>0</v>
      </c>
      <c r="X1138">
        <v>5</v>
      </c>
      <c r="Y1138">
        <v>0</v>
      </c>
      <c r="Z1138">
        <v>0</v>
      </c>
      <c r="AA1138" t="s">
        <v>43</v>
      </c>
      <c r="AB1138">
        <v>0</v>
      </c>
      <c r="AD1138" t="s">
        <v>4080</v>
      </c>
      <c r="AE1138" t="s">
        <v>4081</v>
      </c>
    </row>
    <row r="1139" spans="1:31" x14ac:dyDescent="0.25">
      <c r="A1139" t="s">
        <v>31</v>
      </c>
      <c r="C1139" t="s">
        <v>4035</v>
      </c>
      <c r="D1139" t="s">
        <v>4096</v>
      </c>
      <c r="E1139" t="s">
        <v>34</v>
      </c>
      <c r="F1139" t="s">
        <v>76</v>
      </c>
      <c r="H1139" t="s">
        <v>36</v>
      </c>
      <c r="I1139" t="s">
        <v>4097</v>
      </c>
      <c r="J1139" t="s">
        <v>31</v>
      </c>
      <c r="K1139" t="s">
        <v>38</v>
      </c>
      <c r="L1139" t="s">
        <v>2437</v>
      </c>
      <c r="M1139" t="s">
        <v>2438</v>
      </c>
      <c r="N1139" t="s">
        <v>4098</v>
      </c>
      <c r="O1139" t="s">
        <v>4096</v>
      </c>
      <c r="P1139" t="s">
        <v>4099</v>
      </c>
      <c r="T1139">
        <v>33.490766250999997</v>
      </c>
      <c r="U1139">
        <v>-81.924992959999997</v>
      </c>
      <c r="V1139">
        <f>SUM(W1139:X1139)+(Y1139*0.8)+(Z1139*0.4)</f>
        <v>5</v>
      </c>
      <c r="W1139">
        <v>0</v>
      </c>
      <c r="X1139">
        <v>5</v>
      </c>
      <c r="Y1139">
        <v>0</v>
      </c>
      <c r="Z1139">
        <v>0</v>
      </c>
      <c r="AA1139" t="s">
        <v>43</v>
      </c>
      <c r="AB1139">
        <v>0</v>
      </c>
      <c r="AD1139" t="s">
        <v>4100</v>
      </c>
      <c r="AE1139" t="s">
        <v>4101</v>
      </c>
    </row>
    <row r="1140" spans="1:31" x14ac:dyDescent="0.25">
      <c r="A1140" t="s">
        <v>31</v>
      </c>
      <c r="C1140" t="s">
        <v>3849</v>
      </c>
      <c r="D1140" t="s">
        <v>4230</v>
      </c>
      <c r="E1140" t="s">
        <v>34</v>
      </c>
      <c r="F1140" t="s">
        <v>35</v>
      </c>
      <c r="G1140">
        <v>2008</v>
      </c>
      <c r="H1140" t="s">
        <v>36</v>
      </c>
      <c r="I1140" t="s">
        <v>4231</v>
      </c>
      <c r="J1140" t="s">
        <v>31</v>
      </c>
      <c r="K1140" t="s">
        <v>38</v>
      </c>
      <c r="L1140" t="s">
        <v>172</v>
      </c>
      <c r="M1140" t="s">
        <v>173</v>
      </c>
      <c r="N1140" t="s">
        <v>780</v>
      </c>
      <c r="O1140" t="s">
        <v>781</v>
      </c>
      <c r="P1140" t="s">
        <v>3145</v>
      </c>
      <c r="T1140">
        <v>37.375808802000002</v>
      </c>
      <c r="U1140">
        <v>-121.955162449</v>
      </c>
      <c r="V1140">
        <f>SUM(W1140:X1140)+(Y1140*0.8)+(Z1140*0.4)</f>
        <v>4.9000000000000004</v>
      </c>
      <c r="W1140">
        <v>4.9000000000000004</v>
      </c>
      <c r="X1140">
        <v>0</v>
      </c>
      <c r="Y1140">
        <v>0</v>
      </c>
      <c r="Z1140">
        <v>0</v>
      </c>
      <c r="AA1140" t="s">
        <v>43</v>
      </c>
      <c r="AB1140">
        <v>4.9000000000000004</v>
      </c>
      <c r="AD1140" t="s">
        <v>4232</v>
      </c>
      <c r="AE1140" t="s">
        <v>4233</v>
      </c>
    </row>
    <row r="1141" spans="1:31" x14ac:dyDescent="0.25">
      <c r="A1141" t="s">
        <v>31</v>
      </c>
      <c r="C1141" t="s">
        <v>8365</v>
      </c>
      <c r="D1141" t="s">
        <v>8393</v>
      </c>
      <c r="E1141" t="s">
        <v>34</v>
      </c>
      <c r="F1141" t="s">
        <v>35</v>
      </c>
      <c r="G1141">
        <v>1999</v>
      </c>
      <c r="H1141" t="s">
        <v>36</v>
      </c>
      <c r="I1141" t="s">
        <v>8394</v>
      </c>
      <c r="J1141" t="s">
        <v>31</v>
      </c>
      <c r="K1141" t="s">
        <v>38</v>
      </c>
      <c r="L1141" t="s">
        <v>1900</v>
      </c>
      <c r="M1141" t="s">
        <v>1901</v>
      </c>
      <c r="O1141" t="s">
        <v>4786</v>
      </c>
      <c r="P1141" t="s">
        <v>8395</v>
      </c>
      <c r="Q1141" t="s">
        <v>138</v>
      </c>
      <c r="T1141">
        <v>38.629338576999999</v>
      </c>
      <c r="U1141">
        <v>-90.197102676</v>
      </c>
      <c r="V1141">
        <f>SUM(W1141:X1141)+(Y1141*0.8)+(Z1141*0.4)</f>
        <v>4.8599999999999994</v>
      </c>
      <c r="W1141">
        <v>3.9</v>
      </c>
      <c r="X1141">
        <v>0</v>
      </c>
      <c r="Y1141">
        <v>1.2</v>
      </c>
      <c r="Z1141">
        <v>0</v>
      </c>
      <c r="AA1141" t="s">
        <v>43</v>
      </c>
      <c r="AB1141">
        <v>2.98</v>
      </c>
      <c r="AD1141" t="s">
        <v>8396</v>
      </c>
      <c r="AE1141" t="s">
        <v>8397</v>
      </c>
    </row>
    <row r="1142" spans="1:31" x14ac:dyDescent="0.25">
      <c r="A1142" t="s">
        <v>31</v>
      </c>
      <c r="C1142" t="s">
        <v>9430</v>
      </c>
      <c r="D1142" t="s">
        <v>9439</v>
      </c>
      <c r="E1142" t="s">
        <v>34</v>
      </c>
      <c r="F1142" t="s">
        <v>35</v>
      </c>
      <c r="G1142">
        <v>2026</v>
      </c>
      <c r="H1142" t="s">
        <v>36</v>
      </c>
      <c r="I1142" t="s">
        <v>9440</v>
      </c>
      <c r="J1142" t="s">
        <v>31</v>
      </c>
      <c r="K1142" t="s">
        <v>38</v>
      </c>
      <c r="L1142" t="s">
        <v>260</v>
      </c>
      <c r="M1142" t="s">
        <v>261</v>
      </c>
      <c r="N1142" t="s">
        <v>262</v>
      </c>
      <c r="O1142" t="s">
        <v>263</v>
      </c>
      <c r="P1142" t="s">
        <v>9441</v>
      </c>
      <c r="S1142" t="s">
        <v>9442</v>
      </c>
      <c r="T1142">
        <v>36.222337181999997</v>
      </c>
      <c r="U1142">
        <v>-86.783398558000002</v>
      </c>
      <c r="V1142">
        <f>SUM(W1142:X1142)+(Y1142*0.8)+(Z1142*0.4)</f>
        <v>4.8000000000000007</v>
      </c>
      <c r="W1142">
        <v>0</v>
      </c>
      <c r="X1142">
        <v>0</v>
      </c>
      <c r="Y1142">
        <v>6</v>
      </c>
      <c r="Z1142">
        <v>0</v>
      </c>
      <c r="AA1142" t="s">
        <v>43</v>
      </c>
      <c r="AB1142">
        <v>0</v>
      </c>
      <c r="AD1142" t="s">
        <v>9443</v>
      </c>
      <c r="AE1142" t="s">
        <v>9444</v>
      </c>
    </row>
    <row r="1143" spans="1:31" x14ac:dyDescent="0.25">
      <c r="A1143" t="s">
        <v>31</v>
      </c>
      <c r="C1143" t="s">
        <v>3849</v>
      </c>
      <c r="D1143" t="s">
        <v>4360</v>
      </c>
      <c r="E1143" t="s">
        <v>34</v>
      </c>
      <c r="F1143" t="s">
        <v>66</v>
      </c>
      <c r="H1143" t="s">
        <v>36</v>
      </c>
      <c r="I1143" t="s">
        <v>4361</v>
      </c>
      <c r="J1143" t="s">
        <v>31</v>
      </c>
      <c r="K1143" t="s">
        <v>38</v>
      </c>
      <c r="L1143" t="s">
        <v>383</v>
      </c>
      <c r="M1143" t="s">
        <v>384</v>
      </c>
      <c r="N1143" t="s">
        <v>2270</v>
      </c>
      <c r="O1143" t="s">
        <v>2271</v>
      </c>
      <c r="P1143" t="s">
        <v>2272</v>
      </c>
      <c r="S1143" t="s">
        <v>2273</v>
      </c>
      <c r="T1143">
        <v>35.221809082</v>
      </c>
      <c r="U1143">
        <v>-80.836178513999997</v>
      </c>
      <c r="V1143">
        <f>SUM(W1143:X1143)+(Y1143*0.8)+(Z1143*0.4)</f>
        <v>4.8000000000000007</v>
      </c>
      <c r="W1143">
        <v>0</v>
      </c>
      <c r="X1143">
        <v>0</v>
      </c>
      <c r="Y1143">
        <v>0</v>
      </c>
      <c r="Z1143">
        <v>12</v>
      </c>
      <c r="AA1143" t="s">
        <v>43</v>
      </c>
      <c r="AB1143">
        <v>0</v>
      </c>
      <c r="AD1143" t="s">
        <v>4362</v>
      </c>
      <c r="AE1143" t="s">
        <v>4363</v>
      </c>
    </row>
    <row r="1144" spans="1:31" x14ac:dyDescent="0.25">
      <c r="A1144" t="s">
        <v>31</v>
      </c>
      <c r="C1144" t="s">
        <v>5543</v>
      </c>
      <c r="D1144" t="s">
        <v>5565</v>
      </c>
      <c r="E1144" t="s">
        <v>34</v>
      </c>
      <c r="F1144" t="s">
        <v>35</v>
      </c>
      <c r="G1144">
        <v>2015</v>
      </c>
      <c r="H1144" t="s">
        <v>36</v>
      </c>
      <c r="I1144" t="s">
        <v>5566</v>
      </c>
      <c r="J1144" t="s">
        <v>31</v>
      </c>
      <c r="K1144" t="s">
        <v>38</v>
      </c>
      <c r="L1144" t="s">
        <v>317</v>
      </c>
      <c r="M1144" t="s">
        <v>318</v>
      </c>
      <c r="N1144" t="s">
        <v>665</v>
      </c>
      <c r="O1144" t="s">
        <v>841</v>
      </c>
      <c r="P1144" t="s">
        <v>842</v>
      </c>
      <c r="T1144">
        <v>40.091850999999998</v>
      </c>
      <c r="U1144">
        <v>-83.143612000000005</v>
      </c>
      <c r="V1144">
        <f>SUM(W1144:X1144)+(Y1144*0.8)+(Z1144*0.4)</f>
        <v>4.8</v>
      </c>
      <c r="W1144">
        <v>4.8</v>
      </c>
      <c r="X1144">
        <v>0</v>
      </c>
      <c r="Y1144">
        <v>0</v>
      </c>
      <c r="Z1144">
        <v>0</v>
      </c>
      <c r="AA1144" t="s">
        <v>43</v>
      </c>
      <c r="AB1144">
        <v>2.4</v>
      </c>
      <c r="AD1144" t="s">
        <v>5567</v>
      </c>
      <c r="AE1144" t="s">
        <v>5568</v>
      </c>
    </row>
    <row r="1145" spans="1:31" x14ac:dyDescent="0.25">
      <c r="A1145" t="s">
        <v>31</v>
      </c>
      <c r="C1145" t="s">
        <v>2064</v>
      </c>
      <c r="D1145" t="s">
        <v>2185</v>
      </c>
      <c r="E1145" t="s">
        <v>34</v>
      </c>
      <c r="F1145" t="s">
        <v>35</v>
      </c>
      <c r="G1145">
        <v>2002</v>
      </c>
      <c r="H1145" t="s">
        <v>36</v>
      </c>
      <c r="I1145" t="s">
        <v>2186</v>
      </c>
      <c r="J1145" t="s">
        <v>31</v>
      </c>
      <c r="K1145" t="s">
        <v>38</v>
      </c>
      <c r="L1145" t="s">
        <v>242</v>
      </c>
      <c r="M1145" t="s">
        <v>243</v>
      </c>
      <c r="N1145" t="s">
        <v>405</v>
      </c>
      <c r="O1145" t="s">
        <v>526</v>
      </c>
      <c r="P1145" t="s">
        <v>527</v>
      </c>
      <c r="T1145">
        <v>38.980943881000002</v>
      </c>
      <c r="U1145">
        <v>-77.444160865000001</v>
      </c>
      <c r="V1145">
        <f>SUM(W1145:X1145)+(Y1145*0.8)+(Z1145*0.4)</f>
        <v>4.8</v>
      </c>
      <c r="W1145">
        <v>4.8</v>
      </c>
      <c r="X1145">
        <v>0</v>
      </c>
      <c r="Y1145">
        <v>0</v>
      </c>
      <c r="Z1145">
        <v>0</v>
      </c>
      <c r="AA1145" t="s">
        <v>43</v>
      </c>
      <c r="AB1145">
        <v>4.5999999999999996</v>
      </c>
      <c r="AD1145" t="s">
        <v>2187</v>
      </c>
      <c r="AE1145" t="s">
        <v>2188</v>
      </c>
    </row>
    <row r="1146" spans="1:31" x14ac:dyDescent="0.25">
      <c r="A1146" t="s">
        <v>31</v>
      </c>
      <c r="C1146" t="s">
        <v>10977</v>
      </c>
      <c r="D1146" t="s">
        <v>11001</v>
      </c>
      <c r="E1146" t="s">
        <v>362</v>
      </c>
      <c r="F1146" t="s">
        <v>1611</v>
      </c>
      <c r="G1146">
        <v>2025</v>
      </c>
      <c r="H1146" t="s">
        <v>36</v>
      </c>
      <c r="I1146" t="s">
        <v>11002</v>
      </c>
      <c r="J1146" t="s">
        <v>31</v>
      </c>
      <c r="K1146" t="s">
        <v>38</v>
      </c>
      <c r="L1146" t="s">
        <v>185</v>
      </c>
      <c r="M1146" t="s">
        <v>186</v>
      </c>
      <c r="N1146" t="s">
        <v>187</v>
      </c>
      <c r="O1146" t="s">
        <v>11003</v>
      </c>
      <c r="P1146" t="s">
        <v>11004</v>
      </c>
      <c r="T1146">
        <v>34.030388735999999</v>
      </c>
      <c r="U1146">
        <v>-84.290778497999995</v>
      </c>
      <c r="V1146">
        <f>SUM(W1146:X1146)+(Y1146*0.8)+(Z1146*0.4)</f>
        <v>4.7</v>
      </c>
      <c r="W1146">
        <v>4.7</v>
      </c>
      <c r="X1146">
        <v>0</v>
      </c>
      <c r="Y1146">
        <v>0</v>
      </c>
      <c r="Z1146">
        <v>0</v>
      </c>
      <c r="AA1146" t="s">
        <v>43</v>
      </c>
      <c r="AB1146">
        <v>4.7</v>
      </c>
      <c r="AD1146" t="s">
        <v>11005</v>
      </c>
      <c r="AE1146" t="s">
        <v>11006</v>
      </c>
    </row>
    <row r="1147" spans="1:31" x14ac:dyDescent="0.25">
      <c r="A1147" t="s">
        <v>31</v>
      </c>
      <c r="C1147" t="s">
        <v>3980</v>
      </c>
      <c r="D1147" t="s">
        <v>3981</v>
      </c>
      <c r="E1147" t="s">
        <v>34</v>
      </c>
      <c r="F1147" t="s">
        <v>35</v>
      </c>
      <c r="G1147">
        <v>2011</v>
      </c>
      <c r="H1147" t="s">
        <v>36</v>
      </c>
      <c r="I1147" t="s">
        <v>3982</v>
      </c>
      <c r="J1147" t="s">
        <v>31</v>
      </c>
      <c r="K1147" t="s">
        <v>38</v>
      </c>
      <c r="L1147" t="s">
        <v>448</v>
      </c>
      <c r="M1147" t="s">
        <v>449</v>
      </c>
      <c r="N1147" t="s">
        <v>3641</v>
      </c>
      <c r="O1147" t="s">
        <v>3983</v>
      </c>
      <c r="P1147" t="s">
        <v>3984</v>
      </c>
      <c r="Q1147" t="s">
        <v>3985</v>
      </c>
      <c r="T1147">
        <v>39.059144517999997</v>
      </c>
      <c r="U1147">
        <v>-76.964423146000001</v>
      </c>
      <c r="V1147">
        <f>SUM(W1147:X1147)+(Y1147*0.8)+(Z1147*0.4)</f>
        <v>4.7</v>
      </c>
      <c r="W1147">
        <v>4.7</v>
      </c>
      <c r="X1147">
        <v>0</v>
      </c>
      <c r="Y1147">
        <v>0</v>
      </c>
      <c r="Z1147">
        <v>0</v>
      </c>
      <c r="AA1147" t="s">
        <v>43</v>
      </c>
      <c r="AB1147">
        <v>4.5999999999999996</v>
      </c>
      <c r="AD1147" t="s">
        <v>3986</v>
      </c>
      <c r="AE1147" t="s">
        <v>3987</v>
      </c>
    </row>
    <row r="1148" spans="1:31" x14ac:dyDescent="0.25">
      <c r="A1148" t="s">
        <v>31</v>
      </c>
      <c r="C1148" t="s">
        <v>7044</v>
      </c>
      <c r="D1148" t="s">
        <v>7053</v>
      </c>
      <c r="E1148" t="s">
        <v>34</v>
      </c>
      <c r="F1148" t="s">
        <v>35</v>
      </c>
      <c r="G1148">
        <v>1990</v>
      </c>
      <c r="H1148" t="s">
        <v>36</v>
      </c>
      <c r="I1148" t="s">
        <v>7054</v>
      </c>
      <c r="J1148" t="s">
        <v>31</v>
      </c>
      <c r="K1148" t="s">
        <v>38</v>
      </c>
      <c r="L1148" t="s">
        <v>123</v>
      </c>
      <c r="M1148" t="s">
        <v>124</v>
      </c>
      <c r="N1148" t="s">
        <v>1269</v>
      </c>
      <c r="O1148" t="s">
        <v>123</v>
      </c>
      <c r="P1148" t="s">
        <v>7055</v>
      </c>
      <c r="Q1148" t="s">
        <v>7056</v>
      </c>
      <c r="S1148" t="s">
        <v>7057</v>
      </c>
      <c r="T1148">
        <v>40.606873999999998</v>
      </c>
      <c r="U1148">
        <v>-74.174959999999999</v>
      </c>
      <c r="V1148">
        <f>SUM(W1148:X1148)+(Y1148*0.8)+(Z1148*0.4)</f>
        <v>4.7</v>
      </c>
      <c r="W1148">
        <v>4.7</v>
      </c>
      <c r="X1148">
        <v>0</v>
      </c>
      <c r="Y1148">
        <v>0</v>
      </c>
      <c r="Z1148">
        <v>0</v>
      </c>
      <c r="AA1148" t="s">
        <v>43</v>
      </c>
      <c r="AB1148">
        <v>2.9</v>
      </c>
      <c r="AD1148" t="s">
        <v>7058</v>
      </c>
      <c r="AE1148" t="s">
        <v>7059</v>
      </c>
    </row>
    <row r="1149" spans="1:31" x14ac:dyDescent="0.25">
      <c r="A1149" t="s">
        <v>31</v>
      </c>
      <c r="C1149" t="s">
        <v>1767</v>
      </c>
      <c r="D1149" t="s">
        <v>1768</v>
      </c>
      <c r="E1149" t="s">
        <v>34</v>
      </c>
      <c r="F1149" t="s">
        <v>35</v>
      </c>
      <c r="G1149">
        <v>2024</v>
      </c>
      <c r="H1149" t="s">
        <v>36</v>
      </c>
      <c r="I1149" t="s">
        <v>1769</v>
      </c>
      <c r="J1149" t="s">
        <v>31</v>
      </c>
      <c r="K1149" t="s">
        <v>38</v>
      </c>
      <c r="L1149" t="s">
        <v>112</v>
      </c>
      <c r="M1149" t="s">
        <v>113</v>
      </c>
      <c r="N1149" t="s">
        <v>1770</v>
      </c>
      <c r="O1149" t="s">
        <v>1771</v>
      </c>
      <c r="P1149" t="s">
        <v>1772</v>
      </c>
      <c r="S1149" t="s">
        <v>1773</v>
      </c>
      <c r="T1149">
        <v>44.632744442000003</v>
      </c>
      <c r="U1149">
        <v>-90.168642961000003</v>
      </c>
      <c r="V1149">
        <f>SUM(W1149:X1149)+(Y1149*0.8)+(Z1149*0.4)</f>
        <v>4.6459999999999999</v>
      </c>
      <c r="W1149">
        <v>4.6459999999999999</v>
      </c>
      <c r="X1149">
        <v>0</v>
      </c>
      <c r="Y1149">
        <v>0</v>
      </c>
      <c r="Z1149">
        <v>0</v>
      </c>
      <c r="AA1149" t="s">
        <v>43</v>
      </c>
      <c r="AB1149">
        <v>0</v>
      </c>
      <c r="AD1149" t="s">
        <v>1774</v>
      </c>
      <c r="AE1149" t="s">
        <v>1775</v>
      </c>
    </row>
    <row r="1150" spans="1:31" x14ac:dyDescent="0.25">
      <c r="A1150" t="s">
        <v>31</v>
      </c>
      <c r="C1150" t="s">
        <v>9655</v>
      </c>
      <c r="D1150" t="s">
        <v>9685</v>
      </c>
      <c r="E1150" t="s">
        <v>34</v>
      </c>
      <c r="F1150" t="s">
        <v>35</v>
      </c>
      <c r="G1150">
        <v>2015</v>
      </c>
      <c r="H1150" t="s">
        <v>36</v>
      </c>
      <c r="I1150" t="s">
        <v>9686</v>
      </c>
      <c r="J1150" t="s">
        <v>31</v>
      </c>
      <c r="K1150" t="s">
        <v>38</v>
      </c>
      <c r="L1150" t="s">
        <v>383</v>
      </c>
      <c r="M1150" t="s">
        <v>384</v>
      </c>
      <c r="N1150" t="s">
        <v>9687</v>
      </c>
      <c r="O1150" t="s">
        <v>9685</v>
      </c>
      <c r="P1150" t="s">
        <v>9688</v>
      </c>
      <c r="T1150">
        <v>35.505267332999999</v>
      </c>
      <c r="U1150">
        <v>-80.622843934000002</v>
      </c>
      <c r="V1150">
        <f>SUM(W1150:X1150)+(Y1150*0.8)+(Z1150*0.4)</f>
        <v>4.5999999999999996</v>
      </c>
      <c r="W1150">
        <v>3</v>
      </c>
      <c r="X1150">
        <v>0</v>
      </c>
      <c r="Y1150">
        <v>2</v>
      </c>
      <c r="Z1150">
        <v>0</v>
      </c>
      <c r="AA1150" t="s">
        <v>43</v>
      </c>
      <c r="AB1150">
        <v>2.1</v>
      </c>
      <c r="AD1150" t="s">
        <v>9689</v>
      </c>
      <c r="AE1150" t="s">
        <v>9690</v>
      </c>
    </row>
    <row r="1151" spans="1:31" x14ac:dyDescent="0.25">
      <c r="A1151" t="s">
        <v>31</v>
      </c>
      <c r="C1151" t="s">
        <v>5181</v>
      </c>
      <c r="D1151" t="s">
        <v>5466</v>
      </c>
      <c r="E1151" t="s">
        <v>34</v>
      </c>
      <c r="F1151" t="s">
        <v>35</v>
      </c>
      <c r="G1151">
        <v>2002</v>
      </c>
      <c r="H1151" t="s">
        <v>36</v>
      </c>
      <c r="I1151" t="s">
        <v>5467</v>
      </c>
      <c r="J1151" t="s">
        <v>31</v>
      </c>
      <c r="K1151" t="s">
        <v>38</v>
      </c>
      <c r="L1151" t="s">
        <v>172</v>
      </c>
      <c r="M1151" t="s">
        <v>173</v>
      </c>
      <c r="N1151" t="s">
        <v>780</v>
      </c>
      <c r="O1151" t="s">
        <v>2067</v>
      </c>
      <c r="P1151" t="s">
        <v>5468</v>
      </c>
      <c r="T1151">
        <v>37.388383857999997</v>
      </c>
      <c r="U1151">
        <v>-121.888457202</v>
      </c>
      <c r="V1151">
        <f>SUM(W1151:X1151)+(Y1151*0.8)+(Z1151*0.4)</f>
        <v>4.5999999999999996</v>
      </c>
      <c r="W1151">
        <v>4.5999999999999996</v>
      </c>
      <c r="X1151">
        <v>0</v>
      </c>
      <c r="Y1151">
        <v>0</v>
      </c>
      <c r="Z1151">
        <v>0</v>
      </c>
      <c r="AA1151" t="s">
        <v>43</v>
      </c>
      <c r="AB1151">
        <v>4.5999999999999996</v>
      </c>
      <c r="AD1151" t="s">
        <v>5469</v>
      </c>
      <c r="AE1151" t="s">
        <v>5470</v>
      </c>
    </row>
    <row r="1152" spans="1:31" x14ac:dyDescent="0.25">
      <c r="A1152" t="s">
        <v>31</v>
      </c>
      <c r="C1152" t="s">
        <v>5161</v>
      </c>
      <c r="D1152" t="s">
        <v>5162</v>
      </c>
      <c r="E1152" t="s">
        <v>362</v>
      </c>
      <c r="F1152" t="s">
        <v>381</v>
      </c>
      <c r="G1152">
        <v>2002</v>
      </c>
      <c r="H1152" t="s">
        <v>36</v>
      </c>
      <c r="I1152" t="s">
        <v>5163</v>
      </c>
      <c r="J1152" t="s">
        <v>31</v>
      </c>
      <c r="K1152" t="s">
        <v>38</v>
      </c>
      <c r="L1152" t="s">
        <v>86</v>
      </c>
      <c r="M1152" t="s">
        <v>87</v>
      </c>
      <c r="N1152" t="s">
        <v>2215</v>
      </c>
      <c r="O1152" t="s">
        <v>5164</v>
      </c>
      <c r="P1152" t="s">
        <v>5165</v>
      </c>
      <c r="Q1152" t="s">
        <v>5166</v>
      </c>
      <c r="T1152">
        <v>41.827537974999998</v>
      </c>
      <c r="U1152">
        <v>-88.024657618000006</v>
      </c>
      <c r="V1152">
        <f>SUM(W1152:X1152)+(Y1152*0.8)+(Z1152*0.4)</f>
        <v>4.5999999999999996</v>
      </c>
      <c r="W1152">
        <v>4.5999999999999996</v>
      </c>
      <c r="X1152">
        <v>0</v>
      </c>
      <c r="Y1152">
        <v>0</v>
      </c>
      <c r="Z1152">
        <v>0</v>
      </c>
      <c r="AA1152" t="s">
        <v>43</v>
      </c>
      <c r="AB1152">
        <v>4.5999999999999996</v>
      </c>
      <c r="AD1152" t="s">
        <v>5167</v>
      </c>
      <c r="AE1152" t="s">
        <v>5168</v>
      </c>
    </row>
    <row r="1153" spans="1:31" x14ac:dyDescent="0.25">
      <c r="A1153" t="s">
        <v>31</v>
      </c>
      <c r="C1153" t="s">
        <v>394</v>
      </c>
      <c r="D1153" t="s">
        <v>395</v>
      </c>
      <c r="E1153" t="s">
        <v>34</v>
      </c>
      <c r="F1153" t="s">
        <v>76</v>
      </c>
      <c r="G1153">
        <v>2001</v>
      </c>
      <c r="H1153" t="s">
        <v>36</v>
      </c>
      <c r="I1153" t="s">
        <v>396</v>
      </c>
      <c r="J1153" t="s">
        <v>31</v>
      </c>
      <c r="K1153" t="s">
        <v>38</v>
      </c>
      <c r="L1153" t="s">
        <v>202</v>
      </c>
      <c r="M1153" t="s">
        <v>203</v>
      </c>
      <c r="N1153" t="s">
        <v>397</v>
      </c>
      <c r="P1153" t="s">
        <v>398</v>
      </c>
      <c r="S1153" t="s">
        <v>399</v>
      </c>
      <c r="T1153">
        <v>25.796175783999999</v>
      </c>
      <c r="U1153">
        <v>-80.379798747999999</v>
      </c>
      <c r="V1153">
        <f>SUM(W1153:X1153)+(Y1153*0.8)+(Z1153*0.4)</f>
        <v>4.5980000000000008</v>
      </c>
      <c r="W1153">
        <v>3.2</v>
      </c>
      <c r="X1153">
        <v>0</v>
      </c>
      <c r="Y1153">
        <v>0</v>
      </c>
      <c r="Z1153">
        <v>3.4950000000000001</v>
      </c>
      <c r="AA1153" t="s">
        <v>43</v>
      </c>
      <c r="AB1153">
        <v>2.4</v>
      </c>
      <c r="AD1153" t="s">
        <v>400</v>
      </c>
      <c r="AE1153" t="s">
        <v>401</v>
      </c>
    </row>
    <row r="1154" spans="1:31" x14ac:dyDescent="0.25">
      <c r="A1154" t="s">
        <v>31</v>
      </c>
      <c r="C1154" t="s">
        <v>3849</v>
      </c>
      <c r="D1154" t="s">
        <v>4332</v>
      </c>
      <c r="E1154" t="s">
        <v>34</v>
      </c>
      <c r="F1154" t="s">
        <v>35</v>
      </c>
      <c r="G1154">
        <v>2014</v>
      </c>
      <c r="H1154" t="s">
        <v>36</v>
      </c>
      <c r="I1154" t="s">
        <v>4333</v>
      </c>
      <c r="J1154" t="s">
        <v>31</v>
      </c>
      <c r="K1154" t="s">
        <v>38</v>
      </c>
      <c r="L1154" t="s">
        <v>133</v>
      </c>
      <c r="M1154" t="s">
        <v>134</v>
      </c>
      <c r="N1154" t="s">
        <v>419</v>
      </c>
      <c r="O1154" t="s">
        <v>420</v>
      </c>
      <c r="P1154" t="s">
        <v>421</v>
      </c>
      <c r="S1154" t="s">
        <v>4334</v>
      </c>
      <c r="T1154">
        <v>45.547728218000003</v>
      </c>
      <c r="U1154">
        <v>-122.89194147000001</v>
      </c>
      <c r="V1154">
        <f>SUM(W1154:X1154)+(Y1154*0.8)+(Z1154*0.4)</f>
        <v>4.5</v>
      </c>
      <c r="W1154">
        <v>4.5</v>
      </c>
      <c r="X1154">
        <v>0</v>
      </c>
      <c r="Y1154">
        <v>0</v>
      </c>
      <c r="Z1154">
        <v>0</v>
      </c>
      <c r="AA1154" t="s">
        <v>43</v>
      </c>
      <c r="AB1154">
        <v>4.2080000000000002</v>
      </c>
      <c r="AC1154">
        <v>1.3</v>
      </c>
      <c r="AD1154" t="s">
        <v>4335</v>
      </c>
      <c r="AE1154" t="s">
        <v>4336</v>
      </c>
    </row>
    <row r="1155" spans="1:31" x14ac:dyDescent="0.25">
      <c r="A1155" t="s">
        <v>31</v>
      </c>
      <c r="C1155" t="s">
        <v>2706</v>
      </c>
      <c r="D1155" t="s">
        <v>2801</v>
      </c>
      <c r="E1155" t="s">
        <v>34</v>
      </c>
      <c r="F1155" t="s">
        <v>35</v>
      </c>
      <c r="G1155">
        <v>2014</v>
      </c>
      <c r="H1155" t="s">
        <v>36</v>
      </c>
      <c r="I1155" t="s">
        <v>2802</v>
      </c>
      <c r="J1155" t="s">
        <v>31</v>
      </c>
      <c r="K1155" t="s">
        <v>38</v>
      </c>
      <c r="L1155" t="s">
        <v>39</v>
      </c>
      <c r="M1155" t="s">
        <v>40</v>
      </c>
      <c r="N1155" t="s">
        <v>2789</v>
      </c>
      <c r="O1155" t="s">
        <v>2790</v>
      </c>
      <c r="P1155" t="s">
        <v>2791</v>
      </c>
      <c r="T1155">
        <v>40.857362985999998</v>
      </c>
      <c r="U1155">
        <v>-74.418740443999994</v>
      </c>
      <c r="V1155">
        <f>SUM(W1155:X1155)+(Y1155*0.8)+(Z1155*0.4)</f>
        <v>4.5</v>
      </c>
      <c r="W1155">
        <v>4.5</v>
      </c>
      <c r="X1155">
        <v>0</v>
      </c>
      <c r="Y1155">
        <v>0</v>
      </c>
      <c r="Z1155">
        <v>0</v>
      </c>
      <c r="AA1155" t="s">
        <v>43</v>
      </c>
      <c r="AB1155">
        <v>4.33</v>
      </c>
      <c r="AD1155" t="s">
        <v>2803</v>
      </c>
      <c r="AE1155" t="s">
        <v>2804</v>
      </c>
    </row>
    <row r="1156" spans="1:31" x14ac:dyDescent="0.25">
      <c r="A1156" t="s">
        <v>31</v>
      </c>
      <c r="C1156" t="s">
        <v>3849</v>
      </c>
      <c r="D1156" t="s">
        <v>4312</v>
      </c>
      <c r="E1156" t="s">
        <v>34</v>
      </c>
      <c r="F1156" t="s">
        <v>66</v>
      </c>
      <c r="G1156">
        <v>2011</v>
      </c>
      <c r="H1156" t="s">
        <v>36</v>
      </c>
      <c r="I1156" t="s">
        <v>4313</v>
      </c>
      <c r="J1156" t="s">
        <v>31</v>
      </c>
      <c r="K1156" t="s">
        <v>38</v>
      </c>
      <c r="L1156" t="s">
        <v>172</v>
      </c>
      <c r="M1156" t="s">
        <v>173</v>
      </c>
      <c r="N1156" t="s">
        <v>780</v>
      </c>
      <c r="O1156" t="s">
        <v>781</v>
      </c>
      <c r="P1156" t="s">
        <v>3145</v>
      </c>
      <c r="T1156">
        <v>37.378278000000002</v>
      </c>
      <c r="U1156">
        <v>-121.958155</v>
      </c>
      <c r="V1156">
        <f>SUM(W1156:X1156)+(Y1156*0.8)+(Z1156*0.4)</f>
        <v>4.5</v>
      </c>
      <c r="W1156">
        <v>4.5</v>
      </c>
      <c r="X1156">
        <v>0</v>
      </c>
      <c r="Y1156">
        <v>0</v>
      </c>
      <c r="Z1156">
        <v>0</v>
      </c>
      <c r="AA1156" t="s">
        <v>43</v>
      </c>
      <c r="AB1156">
        <v>4.4400000000000004</v>
      </c>
      <c r="AD1156" t="s">
        <v>4314</v>
      </c>
      <c r="AE1156" t="s">
        <v>4315</v>
      </c>
    </row>
    <row r="1157" spans="1:31" x14ac:dyDescent="0.25">
      <c r="A1157" t="s">
        <v>31</v>
      </c>
      <c r="C1157" t="s">
        <v>3849</v>
      </c>
      <c r="D1157" t="s">
        <v>4234</v>
      </c>
      <c r="E1157" t="s">
        <v>34</v>
      </c>
      <c r="F1157" t="s">
        <v>66</v>
      </c>
      <c r="G1157">
        <v>2009</v>
      </c>
      <c r="H1157" t="s">
        <v>36</v>
      </c>
      <c r="I1157" t="s">
        <v>4235</v>
      </c>
      <c r="J1157" t="s">
        <v>31</v>
      </c>
      <c r="K1157" t="s">
        <v>38</v>
      </c>
      <c r="L1157" t="s">
        <v>172</v>
      </c>
      <c r="M1157" t="s">
        <v>173</v>
      </c>
      <c r="N1157" t="s">
        <v>780</v>
      </c>
      <c r="O1157" t="s">
        <v>781</v>
      </c>
      <c r="P1157" t="s">
        <v>3145</v>
      </c>
      <c r="T1157">
        <v>37.375068575999997</v>
      </c>
      <c r="U1157">
        <v>-121.956096257</v>
      </c>
      <c r="V1157">
        <f>SUM(W1157:X1157)+(Y1157*0.8)+(Z1157*0.4)</f>
        <v>4.5</v>
      </c>
      <c r="W1157">
        <v>4.5</v>
      </c>
      <c r="X1157">
        <v>0</v>
      </c>
      <c r="Y1157">
        <v>0</v>
      </c>
      <c r="Z1157">
        <v>0</v>
      </c>
      <c r="AA1157" t="s">
        <v>43</v>
      </c>
      <c r="AB1157">
        <v>4.4400000000000004</v>
      </c>
      <c r="AD1157" t="s">
        <v>4236</v>
      </c>
      <c r="AE1157" t="s">
        <v>4237</v>
      </c>
    </row>
    <row r="1158" spans="1:31" x14ac:dyDescent="0.25">
      <c r="A1158" t="s">
        <v>31</v>
      </c>
      <c r="C1158" t="s">
        <v>5106</v>
      </c>
      <c r="D1158" t="s">
        <v>5107</v>
      </c>
      <c r="E1158" t="s">
        <v>362</v>
      </c>
      <c r="F1158" t="s">
        <v>1302</v>
      </c>
      <c r="G1158">
        <v>2008</v>
      </c>
      <c r="H1158" t="s">
        <v>36</v>
      </c>
      <c r="I1158" t="s">
        <v>5108</v>
      </c>
      <c r="J1158" t="s">
        <v>31</v>
      </c>
      <c r="K1158" t="s">
        <v>38</v>
      </c>
      <c r="L1158" t="s">
        <v>242</v>
      </c>
      <c r="M1158" t="s">
        <v>243</v>
      </c>
      <c r="N1158" t="s">
        <v>5109</v>
      </c>
      <c r="O1158" t="s">
        <v>5110</v>
      </c>
      <c r="P1158" t="s">
        <v>5111</v>
      </c>
      <c r="T1158">
        <v>38.462181475999998</v>
      </c>
      <c r="U1158">
        <v>-78.856483529000002</v>
      </c>
      <c r="V1158">
        <f>SUM(W1158:X1158)+(Y1158*0.8)+(Z1158*0.4)</f>
        <v>4.5</v>
      </c>
      <c r="W1158">
        <v>4.5</v>
      </c>
      <c r="X1158">
        <v>0</v>
      </c>
      <c r="Y1158">
        <v>0</v>
      </c>
      <c r="Z1158">
        <v>0</v>
      </c>
      <c r="AA1158" t="s">
        <v>43</v>
      </c>
      <c r="AB1158">
        <v>4.5</v>
      </c>
      <c r="AD1158" t="s">
        <v>5112</v>
      </c>
      <c r="AE1158" t="s">
        <v>5113</v>
      </c>
    </row>
    <row r="1159" spans="1:31" x14ac:dyDescent="0.25">
      <c r="A1159" t="s">
        <v>31</v>
      </c>
      <c r="C1159" t="s">
        <v>7218</v>
      </c>
      <c r="D1159" t="s">
        <v>7409</v>
      </c>
      <c r="E1159" t="s">
        <v>34</v>
      </c>
      <c r="F1159" t="s">
        <v>35</v>
      </c>
      <c r="G1159">
        <v>2004</v>
      </c>
      <c r="H1159" t="s">
        <v>36</v>
      </c>
      <c r="I1159" t="s">
        <v>7410</v>
      </c>
      <c r="J1159" t="s">
        <v>31</v>
      </c>
      <c r="K1159" t="s">
        <v>38</v>
      </c>
      <c r="L1159" t="s">
        <v>123</v>
      </c>
      <c r="M1159" t="s">
        <v>124</v>
      </c>
      <c r="N1159" t="s">
        <v>270</v>
      </c>
      <c r="O1159" t="s">
        <v>123</v>
      </c>
      <c r="P1159" t="s">
        <v>2680</v>
      </c>
      <c r="Q1159" t="s">
        <v>2681</v>
      </c>
      <c r="S1159" t="s">
        <v>273</v>
      </c>
      <c r="T1159">
        <v>40.741542000000003</v>
      </c>
      <c r="U1159">
        <v>-74.003529</v>
      </c>
      <c r="V1159">
        <f>SUM(W1159:X1159)+(Y1159*0.8)+(Z1159*0.4)</f>
        <v>4.5</v>
      </c>
      <c r="W1159">
        <v>4.5</v>
      </c>
      <c r="X1159">
        <v>0</v>
      </c>
      <c r="Y1159">
        <v>0</v>
      </c>
      <c r="Z1159">
        <v>0</v>
      </c>
      <c r="AA1159" t="s">
        <v>43</v>
      </c>
      <c r="AB1159">
        <v>4.4000000000000004</v>
      </c>
      <c r="AD1159" t="s">
        <v>7411</v>
      </c>
      <c r="AE1159" t="s">
        <v>7412</v>
      </c>
    </row>
    <row r="1160" spans="1:31" x14ac:dyDescent="0.25">
      <c r="A1160" t="s">
        <v>31</v>
      </c>
      <c r="C1160" t="s">
        <v>3849</v>
      </c>
      <c r="D1160" t="s">
        <v>4469</v>
      </c>
      <c r="E1160" t="s">
        <v>34</v>
      </c>
      <c r="F1160" t="s">
        <v>66</v>
      </c>
      <c r="G1160">
        <v>2004</v>
      </c>
      <c r="H1160" t="s">
        <v>36</v>
      </c>
      <c r="I1160" t="s">
        <v>4470</v>
      </c>
      <c r="J1160" t="s">
        <v>31</v>
      </c>
      <c r="K1160" t="s">
        <v>38</v>
      </c>
      <c r="L1160" t="s">
        <v>68</v>
      </c>
      <c r="M1160" t="s">
        <v>69</v>
      </c>
      <c r="N1160" t="s">
        <v>297</v>
      </c>
      <c r="O1160" t="s">
        <v>4471</v>
      </c>
      <c r="P1160" t="s">
        <v>4472</v>
      </c>
      <c r="T1160">
        <v>32.934102000000003</v>
      </c>
      <c r="U1160">
        <v>-96.827926000000005</v>
      </c>
      <c r="V1160">
        <f>SUM(W1160:X1160)+(Y1160*0.8)+(Z1160*0.4)</f>
        <v>4.5</v>
      </c>
      <c r="W1160">
        <v>4.5</v>
      </c>
      <c r="X1160">
        <v>0</v>
      </c>
      <c r="Y1160">
        <v>0</v>
      </c>
      <c r="Z1160">
        <v>0</v>
      </c>
      <c r="AA1160" t="s">
        <v>43</v>
      </c>
      <c r="AB1160">
        <v>4.5</v>
      </c>
      <c r="AC1160">
        <v>1.5</v>
      </c>
      <c r="AD1160" t="s">
        <v>4473</v>
      </c>
      <c r="AE1160" t="s">
        <v>4474</v>
      </c>
    </row>
    <row r="1161" spans="1:31" x14ac:dyDescent="0.25">
      <c r="A1161" t="s">
        <v>31</v>
      </c>
      <c r="B1161" t="s">
        <v>11350</v>
      </c>
      <c r="C1161" t="s">
        <v>647</v>
      </c>
      <c r="D1161" t="s">
        <v>689</v>
      </c>
      <c r="E1161" t="s">
        <v>362</v>
      </c>
      <c r="F1161" t="s">
        <v>649</v>
      </c>
      <c r="G1161">
        <v>1992</v>
      </c>
      <c r="H1161" t="s">
        <v>36</v>
      </c>
      <c r="I1161" t="s">
        <v>690</v>
      </c>
      <c r="J1161" t="s">
        <v>31</v>
      </c>
      <c r="K1161" t="s">
        <v>38</v>
      </c>
      <c r="L1161" t="s">
        <v>251</v>
      </c>
      <c r="M1161" t="s">
        <v>252</v>
      </c>
      <c r="N1161" t="s">
        <v>691</v>
      </c>
      <c r="O1161" t="s">
        <v>692</v>
      </c>
      <c r="P1161" t="s">
        <v>693</v>
      </c>
      <c r="T1161">
        <v>42.280864413000003</v>
      </c>
      <c r="U1161">
        <v>-71.579938323999997</v>
      </c>
      <c r="V1161">
        <f>SUM(W1161:X1161)+(Y1161*0.8)+(Z1161*0.4)</f>
        <v>4.5</v>
      </c>
      <c r="W1161">
        <v>4.5</v>
      </c>
      <c r="X1161">
        <v>0</v>
      </c>
      <c r="Y1161">
        <v>0</v>
      </c>
      <c r="Z1161">
        <v>0</v>
      </c>
      <c r="AA1161" t="s">
        <v>43</v>
      </c>
      <c r="AB1161">
        <v>4.5</v>
      </c>
      <c r="AD1161" t="s">
        <v>694</v>
      </c>
      <c r="AE1161" t="s">
        <v>695</v>
      </c>
    </row>
    <row r="1162" spans="1:31" x14ac:dyDescent="0.25">
      <c r="A1162" t="s">
        <v>31</v>
      </c>
      <c r="C1162" t="s">
        <v>169</v>
      </c>
      <c r="D1162" t="s">
        <v>295</v>
      </c>
      <c r="E1162" t="s">
        <v>34</v>
      </c>
      <c r="F1162" t="s">
        <v>35</v>
      </c>
      <c r="G1162">
        <v>2003</v>
      </c>
      <c r="H1162" t="s">
        <v>36</v>
      </c>
      <c r="I1162" t="s">
        <v>296</v>
      </c>
      <c r="J1162" t="s">
        <v>31</v>
      </c>
      <c r="K1162" t="s">
        <v>38</v>
      </c>
      <c r="L1162" t="s">
        <v>68</v>
      </c>
      <c r="M1162" t="s">
        <v>69</v>
      </c>
      <c r="N1162" t="s">
        <v>297</v>
      </c>
      <c r="O1162" t="s">
        <v>295</v>
      </c>
      <c r="P1162" t="s">
        <v>298</v>
      </c>
      <c r="T1162">
        <v>32.976163352</v>
      </c>
      <c r="U1162">
        <v>-96.707330744999993</v>
      </c>
      <c r="V1162">
        <f>SUM(W1162:X1162)+(Y1162*0.8)+(Z1162*0.4)</f>
        <v>4.45</v>
      </c>
      <c r="W1162">
        <v>3.25</v>
      </c>
      <c r="X1162">
        <v>0</v>
      </c>
      <c r="Y1162">
        <v>0</v>
      </c>
      <c r="Z1162">
        <v>3</v>
      </c>
      <c r="AA1162" t="s">
        <v>43</v>
      </c>
      <c r="AB1162">
        <v>3.15</v>
      </c>
      <c r="AD1162" t="s">
        <v>299</v>
      </c>
      <c r="AE1162" t="s">
        <v>300</v>
      </c>
    </row>
    <row r="1163" spans="1:31" x14ac:dyDescent="0.25">
      <c r="A1163" t="s">
        <v>31</v>
      </c>
      <c r="C1163" t="s">
        <v>5543</v>
      </c>
      <c r="D1163" t="s">
        <v>5569</v>
      </c>
      <c r="E1163" t="s">
        <v>34</v>
      </c>
      <c r="F1163" t="s">
        <v>35</v>
      </c>
      <c r="G1163">
        <v>2024</v>
      </c>
      <c r="H1163" t="s">
        <v>36</v>
      </c>
      <c r="I1163" t="s">
        <v>5570</v>
      </c>
      <c r="J1163" t="s">
        <v>31</v>
      </c>
      <c r="K1163" t="s">
        <v>38</v>
      </c>
      <c r="L1163" t="s">
        <v>317</v>
      </c>
      <c r="M1163" t="s">
        <v>318</v>
      </c>
      <c r="N1163" t="s">
        <v>918</v>
      </c>
      <c r="O1163" t="s">
        <v>2109</v>
      </c>
      <c r="P1163" t="s">
        <v>2110</v>
      </c>
      <c r="Q1163" t="s">
        <v>2111</v>
      </c>
      <c r="T1163">
        <v>40.154754302000001</v>
      </c>
      <c r="U1163">
        <v>-83.014154364000007</v>
      </c>
      <c r="V1163">
        <f>SUM(W1163:X1163)+(Y1163*0.8)+(Z1163*0.4)</f>
        <v>4.4000000000000004</v>
      </c>
      <c r="W1163">
        <v>3</v>
      </c>
      <c r="X1163">
        <v>0</v>
      </c>
      <c r="Y1163">
        <v>0</v>
      </c>
      <c r="Z1163">
        <v>3.5</v>
      </c>
      <c r="AA1163" t="s">
        <v>43</v>
      </c>
      <c r="AB1163">
        <v>3</v>
      </c>
      <c r="AD1163" t="s">
        <v>5571</v>
      </c>
      <c r="AE1163" t="s">
        <v>5572</v>
      </c>
    </row>
    <row r="1164" spans="1:31" x14ac:dyDescent="0.25">
      <c r="A1164" t="s">
        <v>31</v>
      </c>
      <c r="C1164" t="s">
        <v>5543</v>
      </c>
      <c r="D1164" t="s">
        <v>5595</v>
      </c>
      <c r="E1164" t="s">
        <v>34</v>
      </c>
      <c r="F1164" t="s">
        <v>35</v>
      </c>
      <c r="G1164">
        <v>2001</v>
      </c>
      <c r="H1164" t="s">
        <v>36</v>
      </c>
      <c r="I1164" t="s">
        <v>5596</v>
      </c>
      <c r="J1164" t="s">
        <v>31</v>
      </c>
      <c r="K1164" t="s">
        <v>38</v>
      </c>
      <c r="L1164" t="s">
        <v>143</v>
      </c>
      <c r="M1164" t="s">
        <v>144</v>
      </c>
      <c r="N1164" t="s">
        <v>2036</v>
      </c>
      <c r="O1164" t="s">
        <v>5597</v>
      </c>
      <c r="P1164" t="s">
        <v>5598</v>
      </c>
      <c r="Q1164" t="s">
        <v>5599</v>
      </c>
      <c r="T1164">
        <v>39.963227212</v>
      </c>
      <c r="U1164">
        <v>-86.145308185000005</v>
      </c>
      <c r="V1164">
        <f>SUM(W1164:X1164)+(Y1164*0.8)+(Z1164*0.4)</f>
        <v>4.4000000000000004</v>
      </c>
      <c r="W1164">
        <v>4.4000000000000004</v>
      </c>
      <c r="X1164">
        <v>0</v>
      </c>
      <c r="Y1164">
        <v>0</v>
      </c>
      <c r="Z1164">
        <v>0</v>
      </c>
      <c r="AA1164" t="s">
        <v>43</v>
      </c>
      <c r="AB1164">
        <v>4</v>
      </c>
      <c r="AD1164" t="s">
        <v>5600</v>
      </c>
      <c r="AE1164" t="s">
        <v>5601</v>
      </c>
    </row>
    <row r="1165" spans="1:31" x14ac:dyDescent="0.25">
      <c r="A1165" t="s">
        <v>31</v>
      </c>
      <c r="C1165" t="s">
        <v>3849</v>
      </c>
      <c r="D1165" t="s">
        <v>4459</v>
      </c>
      <c r="E1165" t="s">
        <v>34</v>
      </c>
      <c r="F1165" t="s">
        <v>66</v>
      </c>
      <c r="G1165">
        <v>2000</v>
      </c>
      <c r="H1165" t="s">
        <v>36</v>
      </c>
      <c r="I1165" t="s">
        <v>4460</v>
      </c>
      <c r="J1165" t="s">
        <v>31</v>
      </c>
      <c r="K1165" t="s">
        <v>38</v>
      </c>
      <c r="L1165" t="s">
        <v>68</v>
      </c>
      <c r="M1165" t="s">
        <v>69</v>
      </c>
      <c r="N1165" t="s">
        <v>297</v>
      </c>
      <c r="O1165" t="s">
        <v>3410</v>
      </c>
      <c r="P1165" t="s">
        <v>4461</v>
      </c>
      <c r="S1165" t="s">
        <v>4462</v>
      </c>
      <c r="T1165">
        <v>33.021509000000002</v>
      </c>
      <c r="U1165">
        <v>-96.844988999999998</v>
      </c>
      <c r="V1165">
        <f>SUM(W1165:X1165)+(Y1165*0.8)+(Z1165*0.4)</f>
        <v>4.4000000000000004</v>
      </c>
      <c r="W1165">
        <v>4.4000000000000004</v>
      </c>
      <c r="X1165">
        <v>0</v>
      </c>
      <c r="Y1165">
        <v>0</v>
      </c>
      <c r="Z1165">
        <v>0</v>
      </c>
      <c r="AA1165" t="s">
        <v>43</v>
      </c>
      <c r="AB1165">
        <v>4.4000000000000004</v>
      </c>
      <c r="AC1165">
        <v>1.5</v>
      </c>
      <c r="AD1165" t="s">
        <v>4463</v>
      </c>
      <c r="AE1165" t="s">
        <v>4464</v>
      </c>
    </row>
    <row r="1166" spans="1:31" x14ac:dyDescent="0.25">
      <c r="A1166" t="s">
        <v>31</v>
      </c>
      <c r="C1166" t="s">
        <v>10406</v>
      </c>
      <c r="D1166" t="s">
        <v>10452</v>
      </c>
      <c r="E1166" t="s">
        <v>34</v>
      </c>
      <c r="F1166" t="s">
        <v>35</v>
      </c>
      <c r="G1166">
        <v>2001</v>
      </c>
      <c r="H1166" t="s">
        <v>36</v>
      </c>
      <c r="I1166" t="s">
        <v>10453</v>
      </c>
      <c r="J1166" t="s">
        <v>31</v>
      </c>
      <c r="K1166" t="s">
        <v>38</v>
      </c>
      <c r="L1166" t="s">
        <v>86</v>
      </c>
      <c r="M1166" t="s">
        <v>87</v>
      </c>
      <c r="N1166" t="s">
        <v>88</v>
      </c>
      <c r="O1166" t="s">
        <v>89</v>
      </c>
      <c r="P1166" t="s">
        <v>96</v>
      </c>
      <c r="S1166" t="s">
        <v>3070</v>
      </c>
      <c r="T1166">
        <v>41.871640876000001</v>
      </c>
      <c r="U1166">
        <v>-87.643019030999994</v>
      </c>
      <c r="V1166">
        <f>SUM(W1166:X1166)+(Y1166*0.8)+(Z1166*0.4)</f>
        <v>4.38</v>
      </c>
      <c r="W1166">
        <v>2.2999999999999998</v>
      </c>
      <c r="X1166">
        <v>0</v>
      </c>
      <c r="Y1166">
        <v>2.6</v>
      </c>
      <c r="Z1166">
        <v>0</v>
      </c>
      <c r="AA1166" t="s">
        <v>43</v>
      </c>
      <c r="AB1166">
        <v>3.11</v>
      </c>
      <c r="AD1166" t="s">
        <v>10454</v>
      </c>
      <c r="AE1166" t="s">
        <v>10455</v>
      </c>
    </row>
    <row r="1167" spans="1:31" x14ac:dyDescent="0.25">
      <c r="A1167" t="s">
        <v>31</v>
      </c>
      <c r="C1167" t="s">
        <v>2862</v>
      </c>
      <c r="D1167" t="s">
        <v>2892</v>
      </c>
      <c r="E1167" t="s">
        <v>34</v>
      </c>
      <c r="F1167" t="s">
        <v>35</v>
      </c>
      <c r="G1167">
        <v>2013</v>
      </c>
      <c r="H1167" t="s">
        <v>36</v>
      </c>
      <c r="I1167" t="s">
        <v>2893</v>
      </c>
      <c r="J1167" t="s">
        <v>31</v>
      </c>
      <c r="K1167" t="s">
        <v>38</v>
      </c>
      <c r="L1167" t="s">
        <v>260</v>
      </c>
      <c r="M1167" t="s">
        <v>261</v>
      </c>
      <c r="N1167" t="s">
        <v>956</v>
      </c>
      <c r="O1167" t="s">
        <v>2894</v>
      </c>
      <c r="P1167" t="s">
        <v>2895</v>
      </c>
      <c r="T1167">
        <v>35.924435467999999</v>
      </c>
      <c r="U1167">
        <v>-86.855208352000005</v>
      </c>
      <c r="V1167">
        <f>SUM(W1167:X1167)+(Y1167*0.8)+(Z1167*0.4)</f>
        <v>4.32</v>
      </c>
      <c r="W1167">
        <v>2.4</v>
      </c>
      <c r="X1167">
        <v>0</v>
      </c>
      <c r="Y1167">
        <v>0</v>
      </c>
      <c r="Z1167">
        <v>4.8</v>
      </c>
      <c r="AA1167" t="s">
        <v>43</v>
      </c>
      <c r="AB1167">
        <v>2.4</v>
      </c>
      <c r="AD1167" t="s">
        <v>2896</v>
      </c>
      <c r="AE1167" t="s">
        <v>2897</v>
      </c>
    </row>
    <row r="1168" spans="1:31" x14ac:dyDescent="0.25">
      <c r="A1168" t="s">
        <v>31</v>
      </c>
      <c r="C1168" t="s">
        <v>3849</v>
      </c>
      <c r="D1168" t="s">
        <v>4425</v>
      </c>
      <c r="E1168" t="s">
        <v>34</v>
      </c>
      <c r="F1168" t="s">
        <v>66</v>
      </c>
      <c r="G1168">
        <v>2014</v>
      </c>
      <c r="H1168" t="s">
        <v>36</v>
      </c>
      <c r="I1168" t="s">
        <v>4426</v>
      </c>
      <c r="J1168" t="s">
        <v>31</v>
      </c>
      <c r="K1168" t="s">
        <v>38</v>
      </c>
      <c r="L1168" t="s">
        <v>68</v>
      </c>
      <c r="M1168" t="s">
        <v>69</v>
      </c>
      <c r="N1168" t="s">
        <v>1350</v>
      </c>
      <c r="O1168" t="s">
        <v>1351</v>
      </c>
      <c r="P1168" t="s">
        <v>2590</v>
      </c>
      <c r="Q1168" t="s">
        <v>2591</v>
      </c>
      <c r="T1168">
        <v>30.212511495000001</v>
      </c>
      <c r="U1168">
        <v>-97.695702926999999</v>
      </c>
      <c r="V1168">
        <f>SUM(W1168:X1168)+(Y1168*0.8)+(Z1168*0.4)</f>
        <v>4.3</v>
      </c>
      <c r="W1168">
        <v>4.3</v>
      </c>
      <c r="X1168">
        <v>0</v>
      </c>
      <c r="Y1168">
        <v>0</v>
      </c>
      <c r="Z1168">
        <v>0</v>
      </c>
      <c r="AA1168" t="s">
        <v>43</v>
      </c>
      <c r="AB1168">
        <v>2.41</v>
      </c>
      <c r="AC1168">
        <v>1.4</v>
      </c>
      <c r="AD1168" t="s">
        <v>4427</v>
      </c>
      <c r="AE1168" t="s">
        <v>4428</v>
      </c>
    </row>
    <row r="1169" spans="1:31" x14ac:dyDescent="0.25">
      <c r="A1169" t="s">
        <v>31</v>
      </c>
      <c r="C1169" t="s">
        <v>7044</v>
      </c>
      <c r="D1169" t="s">
        <v>7049</v>
      </c>
      <c r="E1169" t="s">
        <v>34</v>
      </c>
      <c r="F1169" t="s">
        <v>35</v>
      </c>
      <c r="G1169">
        <v>2011</v>
      </c>
      <c r="H1169" t="s">
        <v>36</v>
      </c>
      <c r="I1169" t="s">
        <v>7050</v>
      </c>
      <c r="J1169" t="s">
        <v>31</v>
      </c>
      <c r="K1169" t="s">
        <v>38</v>
      </c>
      <c r="L1169" t="s">
        <v>123</v>
      </c>
      <c r="M1169" t="s">
        <v>124</v>
      </c>
      <c r="N1169" t="s">
        <v>270</v>
      </c>
      <c r="O1169" t="s">
        <v>123</v>
      </c>
      <c r="P1169" t="s">
        <v>2680</v>
      </c>
      <c r="Q1169" t="s">
        <v>2681</v>
      </c>
      <c r="S1169" t="s">
        <v>273</v>
      </c>
      <c r="T1169">
        <v>40.743492572999997</v>
      </c>
      <c r="U1169">
        <v>-74.007953659999998</v>
      </c>
      <c r="V1169">
        <f>SUM(W1169:X1169)+(Y1169*0.8)+(Z1169*0.4)</f>
        <v>4.3</v>
      </c>
      <c r="W1169">
        <v>4.3</v>
      </c>
      <c r="X1169">
        <v>0</v>
      </c>
      <c r="Y1169">
        <v>0</v>
      </c>
      <c r="Z1169">
        <v>0</v>
      </c>
      <c r="AA1169" t="s">
        <v>43</v>
      </c>
      <c r="AB1169">
        <v>4.2030000000000003</v>
      </c>
      <c r="AC1169">
        <v>1.69</v>
      </c>
      <c r="AD1169" t="s">
        <v>7051</v>
      </c>
      <c r="AE1169" t="s">
        <v>7052</v>
      </c>
    </row>
    <row r="1170" spans="1:31" x14ac:dyDescent="0.25">
      <c r="A1170" t="s">
        <v>31</v>
      </c>
      <c r="C1170" t="s">
        <v>169</v>
      </c>
      <c r="D1170" t="s">
        <v>183</v>
      </c>
      <c r="E1170" t="s">
        <v>34</v>
      </c>
      <c r="F1170" t="s">
        <v>35</v>
      </c>
      <c r="G1170">
        <v>2007</v>
      </c>
      <c r="H1170" t="s">
        <v>36</v>
      </c>
      <c r="I1170" t="s">
        <v>184</v>
      </c>
      <c r="J1170" t="s">
        <v>31</v>
      </c>
      <c r="K1170" t="s">
        <v>38</v>
      </c>
      <c r="L1170" t="s">
        <v>185</v>
      </c>
      <c r="M1170" t="s">
        <v>186</v>
      </c>
      <c r="N1170" t="s">
        <v>187</v>
      </c>
      <c r="O1170" t="s">
        <v>183</v>
      </c>
      <c r="P1170" t="s">
        <v>188</v>
      </c>
      <c r="T1170">
        <v>34.063408907000003</v>
      </c>
      <c r="U1170">
        <v>-84.272716733999999</v>
      </c>
      <c r="V1170">
        <f>SUM(W1170:X1170)+(Y1170*0.8)+(Z1170*0.4)</f>
        <v>4.3</v>
      </c>
      <c r="W1170">
        <v>4.3</v>
      </c>
      <c r="X1170">
        <v>0</v>
      </c>
      <c r="Y1170">
        <v>0</v>
      </c>
      <c r="Z1170">
        <v>0</v>
      </c>
      <c r="AA1170" t="s">
        <v>43</v>
      </c>
      <c r="AB1170">
        <v>0</v>
      </c>
      <c r="AD1170" t="s">
        <v>189</v>
      </c>
      <c r="AE1170" t="s">
        <v>190</v>
      </c>
    </row>
    <row r="1171" spans="1:31" x14ac:dyDescent="0.25">
      <c r="A1171" t="s">
        <v>31</v>
      </c>
      <c r="C1171" t="s">
        <v>5765</v>
      </c>
      <c r="D1171" t="s">
        <v>1373</v>
      </c>
      <c r="E1171" t="s">
        <v>34</v>
      </c>
      <c r="F1171" t="s">
        <v>35</v>
      </c>
      <c r="G1171">
        <v>2006</v>
      </c>
      <c r="H1171" t="s">
        <v>36</v>
      </c>
      <c r="I1171" t="s">
        <v>5901</v>
      </c>
      <c r="J1171" t="s">
        <v>31</v>
      </c>
      <c r="K1171" t="s">
        <v>38</v>
      </c>
      <c r="L1171" t="s">
        <v>383</v>
      </c>
      <c r="M1171" t="s">
        <v>384</v>
      </c>
      <c r="N1171" t="s">
        <v>1372</v>
      </c>
      <c r="O1171" t="s">
        <v>2467</v>
      </c>
      <c r="P1171" t="s">
        <v>2468</v>
      </c>
      <c r="T1171">
        <v>35.850406466000003</v>
      </c>
      <c r="U1171">
        <v>-78.829042203</v>
      </c>
      <c r="V1171">
        <f>SUM(W1171:X1171)+(Y1171*0.8)+(Z1171*0.4)</f>
        <v>4.3</v>
      </c>
      <c r="W1171">
        <v>4.3</v>
      </c>
      <c r="X1171">
        <v>0</v>
      </c>
      <c r="Y1171">
        <v>0</v>
      </c>
      <c r="Z1171">
        <v>0</v>
      </c>
      <c r="AA1171" t="s">
        <v>43</v>
      </c>
      <c r="AB1171">
        <v>4.3</v>
      </c>
      <c r="AC1171">
        <v>1.4</v>
      </c>
      <c r="AD1171" t="s">
        <v>5902</v>
      </c>
      <c r="AE1171" t="s">
        <v>5903</v>
      </c>
    </row>
    <row r="1172" spans="1:31" x14ac:dyDescent="0.25">
      <c r="A1172" t="s">
        <v>31</v>
      </c>
      <c r="C1172" t="s">
        <v>8365</v>
      </c>
      <c r="D1172" t="s">
        <v>8370</v>
      </c>
      <c r="E1172" t="s">
        <v>34</v>
      </c>
      <c r="F1172" t="s">
        <v>35</v>
      </c>
      <c r="G1172">
        <v>1998</v>
      </c>
      <c r="H1172" t="s">
        <v>36</v>
      </c>
      <c r="I1172" t="s">
        <v>8371</v>
      </c>
      <c r="J1172" t="s">
        <v>31</v>
      </c>
      <c r="K1172" t="s">
        <v>38</v>
      </c>
      <c r="L1172" t="s">
        <v>86</v>
      </c>
      <c r="M1172" t="s">
        <v>87</v>
      </c>
      <c r="N1172" t="s">
        <v>88</v>
      </c>
      <c r="O1172" t="s">
        <v>89</v>
      </c>
      <c r="P1172" t="s">
        <v>96</v>
      </c>
      <c r="Q1172" t="s">
        <v>97</v>
      </c>
      <c r="S1172" t="s">
        <v>98</v>
      </c>
      <c r="T1172">
        <v>41.872976035999997</v>
      </c>
      <c r="U1172">
        <v>-87.633310366000003</v>
      </c>
      <c r="V1172">
        <f>SUM(W1172:X1172)+(Y1172*0.8)+(Z1172*0.4)</f>
        <v>4.26</v>
      </c>
      <c r="W1172">
        <v>3.3</v>
      </c>
      <c r="X1172">
        <v>0</v>
      </c>
      <c r="Y1172">
        <v>1.2</v>
      </c>
      <c r="Z1172">
        <v>0</v>
      </c>
      <c r="AA1172" t="s">
        <v>43</v>
      </c>
      <c r="AB1172">
        <v>2.5</v>
      </c>
      <c r="AD1172" t="s">
        <v>8372</v>
      </c>
      <c r="AE1172" t="s">
        <v>8373</v>
      </c>
    </row>
    <row r="1173" spans="1:31" x14ac:dyDescent="0.25">
      <c r="A1173" t="s">
        <v>31</v>
      </c>
      <c r="C1173" t="s">
        <v>2818</v>
      </c>
      <c r="D1173" t="s">
        <v>2826</v>
      </c>
      <c r="E1173" t="s">
        <v>34</v>
      </c>
      <c r="F1173" t="s">
        <v>35</v>
      </c>
      <c r="G1173">
        <v>2014</v>
      </c>
      <c r="H1173" t="s">
        <v>36</v>
      </c>
      <c r="I1173" t="s">
        <v>2827</v>
      </c>
      <c r="J1173" t="s">
        <v>31</v>
      </c>
      <c r="K1173" t="s">
        <v>38</v>
      </c>
      <c r="L1173" t="s">
        <v>172</v>
      </c>
      <c r="M1173" t="s">
        <v>173</v>
      </c>
      <c r="N1173" t="s">
        <v>780</v>
      </c>
      <c r="O1173" t="s">
        <v>781</v>
      </c>
      <c r="P1173" t="s">
        <v>2828</v>
      </c>
      <c r="T1173">
        <v>37.376800848000002</v>
      </c>
      <c r="U1173">
        <v>-121.95326464199999</v>
      </c>
      <c r="V1173">
        <f>SUM(W1173:X1173)+(Y1173*0.8)+(Z1173*0.4)</f>
        <v>4.2</v>
      </c>
      <c r="W1173">
        <v>4.2</v>
      </c>
      <c r="X1173">
        <v>0</v>
      </c>
      <c r="Y1173">
        <v>0</v>
      </c>
      <c r="Z1173">
        <v>0</v>
      </c>
      <c r="AA1173" t="s">
        <v>43</v>
      </c>
      <c r="AB1173">
        <v>3.91</v>
      </c>
      <c r="AC1173">
        <v>1.1000000000000001</v>
      </c>
      <c r="AD1173" t="s">
        <v>2829</v>
      </c>
      <c r="AE1173" t="s">
        <v>2830</v>
      </c>
    </row>
    <row r="1174" spans="1:31" x14ac:dyDescent="0.25">
      <c r="A1174" t="s">
        <v>31</v>
      </c>
      <c r="C1174" t="s">
        <v>5543</v>
      </c>
      <c r="D1174" t="s">
        <v>5615</v>
      </c>
      <c r="E1174" t="s">
        <v>34</v>
      </c>
      <c r="F1174" t="s">
        <v>35</v>
      </c>
      <c r="G1174">
        <v>2008</v>
      </c>
      <c r="H1174" t="s">
        <v>36</v>
      </c>
      <c r="I1174" t="s">
        <v>3926</v>
      </c>
      <c r="J1174" t="s">
        <v>31</v>
      </c>
      <c r="K1174" t="s">
        <v>38</v>
      </c>
      <c r="L1174" t="s">
        <v>77</v>
      </c>
      <c r="M1174" t="s">
        <v>78</v>
      </c>
      <c r="N1174" t="s">
        <v>1358</v>
      </c>
      <c r="O1174" t="s">
        <v>1518</v>
      </c>
      <c r="P1174" t="s">
        <v>3927</v>
      </c>
      <c r="Q1174" t="s">
        <v>3928</v>
      </c>
      <c r="S1174" t="s">
        <v>3928</v>
      </c>
      <c r="T1174">
        <v>40.451644387999998</v>
      </c>
      <c r="U1174">
        <v>-80.004758460000005</v>
      </c>
      <c r="V1174">
        <f>SUM(W1174:X1174)+(Y1174*0.8)+(Z1174*0.4)</f>
        <v>4.2</v>
      </c>
      <c r="W1174">
        <v>4.2</v>
      </c>
      <c r="X1174">
        <v>0</v>
      </c>
      <c r="Y1174">
        <v>0</v>
      </c>
      <c r="Z1174">
        <v>0</v>
      </c>
      <c r="AA1174" t="s">
        <v>43</v>
      </c>
      <c r="AB1174">
        <v>4.13</v>
      </c>
      <c r="AC1174">
        <v>0</v>
      </c>
      <c r="AD1174" t="s">
        <v>5616</v>
      </c>
      <c r="AE1174" t="s">
        <v>5617</v>
      </c>
    </row>
    <row r="1175" spans="1:31" x14ac:dyDescent="0.25">
      <c r="A1175" t="s">
        <v>31</v>
      </c>
      <c r="C1175" t="s">
        <v>5181</v>
      </c>
      <c r="D1175" t="s">
        <v>5210</v>
      </c>
      <c r="E1175" t="s">
        <v>34</v>
      </c>
      <c r="F1175" t="s">
        <v>35</v>
      </c>
      <c r="G1175">
        <v>2008</v>
      </c>
      <c r="H1175" t="s">
        <v>36</v>
      </c>
      <c r="I1175" t="s">
        <v>5211</v>
      </c>
      <c r="J1175" t="s">
        <v>31</v>
      </c>
      <c r="K1175" t="s">
        <v>38</v>
      </c>
      <c r="L1175" t="s">
        <v>242</v>
      </c>
      <c r="M1175" t="s">
        <v>243</v>
      </c>
      <c r="N1175" t="s">
        <v>748</v>
      </c>
      <c r="O1175" t="s">
        <v>3220</v>
      </c>
      <c r="P1175" t="s">
        <v>2551</v>
      </c>
      <c r="T1175">
        <v>38.455985798999997</v>
      </c>
      <c r="U1175">
        <v>-77.977262746999997</v>
      </c>
      <c r="V1175">
        <f>SUM(W1175:X1175)+(Y1175*0.8)+(Z1175*0.4)</f>
        <v>4.2</v>
      </c>
      <c r="W1175">
        <v>4.2</v>
      </c>
      <c r="X1175">
        <v>0</v>
      </c>
      <c r="Y1175">
        <v>0</v>
      </c>
      <c r="Z1175">
        <v>0</v>
      </c>
      <c r="AA1175" t="s">
        <v>43</v>
      </c>
      <c r="AB1175">
        <v>4.18</v>
      </c>
      <c r="AD1175" t="s">
        <v>5212</v>
      </c>
      <c r="AE1175" t="s">
        <v>5213</v>
      </c>
    </row>
    <row r="1176" spans="1:31" x14ac:dyDescent="0.25">
      <c r="A1176" t="s">
        <v>31</v>
      </c>
      <c r="C1176" t="s">
        <v>4027</v>
      </c>
      <c r="D1176" t="s">
        <v>4028</v>
      </c>
      <c r="E1176" t="s">
        <v>34</v>
      </c>
      <c r="F1176" t="s">
        <v>35</v>
      </c>
      <c r="G1176">
        <v>2003</v>
      </c>
      <c r="H1176" t="s">
        <v>36</v>
      </c>
      <c r="I1176" t="s">
        <v>4029</v>
      </c>
      <c r="J1176" t="s">
        <v>31</v>
      </c>
      <c r="K1176" t="s">
        <v>38</v>
      </c>
      <c r="L1176" t="s">
        <v>123</v>
      </c>
      <c r="M1176" t="s">
        <v>124</v>
      </c>
      <c r="N1176" t="s">
        <v>4030</v>
      </c>
      <c r="O1176" t="s">
        <v>123</v>
      </c>
      <c r="P1176" t="s">
        <v>4031</v>
      </c>
      <c r="Q1176" t="s">
        <v>4032</v>
      </c>
      <c r="S1176" t="s">
        <v>4030</v>
      </c>
      <c r="T1176">
        <v>40.657901486</v>
      </c>
      <c r="U1176">
        <v>-74.004991117000003</v>
      </c>
      <c r="V1176">
        <f>SUM(W1176:X1176)+(Y1176*0.8)+(Z1176*0.4)</f>
        <v>4.2</v>
      </c>
      <c r="W1176">
        <v>3</v>
      </c>
      <c r="X1176">
        <v>0</v>
      </c>
      <c r="Y1176">
        <v>0</v>
      </c>
      <c r="Z1176">
        <v>3</v>
      </c>
      <c r="AA1176" t="s">
        <v>43</v>
      </c>
      <c r="AB1176">
        <v>2</v>
      </c>
      <c r="AD1176" t="s">
        <v>4033</v>
      </c>
      <c r="AE1176" t="s">
        <v>4034</v>
      </c>
    </row>
    <row r="1177" spans="1:31" x14ac:dyDescent="0.25">
      <c r="A1177" t="s">
        <v>31</v>
      </c>
      <c r="C1177" t="s">
        <v>1844</v>
      </c>
      <c r="D1177" t="s">
        <v>7156</v>
      </c>
      <c r="E1177" t="s">
        <v>34</v>
      </c>
      <c r="F1177" t="s">
        <v>35</v>
      </c>
      <c r="G1177">
        <v>2007</v>
      </c>
      <c r="H1177" t="s">
        <v>36</v>
      </c>
      <c r="I1177" t="s">
        <v>7157</v>
      </c>
      <c r="J1177" t="s">
        <v>31</v>
      </c>
      <c r="K1177" t="s">
        <v>38</v>
      </c>
      <c r="L1177" t="s">
        <v>86</v>
      </c>
      <c r="M1177" t="s">
        <v>87</v>
      </c>
      <c r="N1177" t="s">
        <v>1805</v>
      </c>
      <c r="O1177" t="s">
        <v>196</v>
      </c>
      <c r="P1177" t="s">
        <v>7158</v>
      </c>
      <c r="Q1177" t="s">
        <v>3329</v>
      </c>
      <c r="T1177">
        <v>41.772142453000001</v>
      </c>
      <c r="U1177">
        <v>-88.217052594999998</v>
      </c>
      <c r="V1177">
        <f>SUM(W1177:X1177)+(Y1177*0.8)+(Z1177*0.4)</f>
        <v>4.1400000000000006</v>
      </c>
      <c r="W1177">
        <v>2.7</v>
      </c>
      <c r="X1177">
        <v>0</v>
      </c>
      <c r="Y1177">
        <v>1.8</v>
      </c>
      <c r="Z1177">
        <v>0</v>
      </c>
      <c r="AA1177" t="s">
        <v>43</v>
      </c>
      <c r="AB1177">
        <v>1.35</v>
      </c>
      <c r="AD1177" t="s">
        <v>7159</v>
      </c>
      <c r="AE1177" t="s">
        <v>7160</v>
      </c>
    </row>
    <row r="1178" spans="1:31" x14ac:dyDescent="0.25">
      <c r="A1178" t="s">
        <v>31</v>
      </c>
      <c r="C1178" t="s">
        <v>7212</v>
      </c>
      <c r="D1178" t="s">
        <v>7213</v>
      </c>
      <c r="E1178" t="s">
        <v>34</v>
      </c>
      <c r="F1178" t="s">
        <v>43</v>
      </c>
      <c r="G1178">
        <v>2026</v>
      </c>
      <c r="H1178" t="s">
        <v>36</v>
      </c>
      <c r="I1178" t="s">
        <v>7214</v>
      </c>
      <c r="J1178" t="s">
        <v>31</v>
      </c>
      <c r="K1178" t="s">
        <v>38</v>
      </c>
      <c r="L1178" t="s">
        <v>2263</v>
      </c>
      <c r="M1178" t="s">
        <v>2264</v>
      </c>
      <c r="N1178" t="s">
        <v>5494</v>
      </c>
      <c r="O1178" t="s">
        <v>5495</v>
      </c>
      <c r="P1178" t="s">
        <v>7215</v>
      </c>
      <c r="T1178">
        <v>46.943932347999997</v>
      </c>
      <c r="U1178">
        <v>-67.898882048999994</v>
      </c>
      <c r="V1178">
        <f>SUM(W1178:X1178)+(Y1178*0.8)+(Z1178*0.4)</f>
        <v>4</v>
      </c>
      <c r="W1178">
        <v>0</v>
      </c>
      <c r="X1178">
        <v>0</v>
      </c>
      <c r="Y1178">
        <v>5</v>
      </c>
      <c r="Z1178">
        <v>0</v>
      </c>
      <c r="AA1178" t="s">
        <v>43</v>
      </c>
      <c r="AB1178">
        <v>0</v>
      </c>
      <c r="AD1178" t="s">
        <v>7216</v>
      </c>
      <c r="AE1178" t="s">
        <v>7217</v>
      </c>
    </row>
    <row r="1179" spans="1:31" x14ac:dyDescent="0.25">
      <c r="A1179" t="s">
        <v>31</v>
      </c>
      <c r="C1179" t="s">
        <v>1332</v>
      </c>
      <c r="D1179" t="s">
        <v>1370</v>
      </c>
      <c r="E1179" t="s">
        <v>34</v>
      </c>
      <c r="F1179" t="s">
        <v>35</v>
      </c>
      <c r="G1179">
        <v>2025</v>
      </c>
      <c r="H1179" t="s">
        <v>36</v>
      </c>
      <c r="I1179" t="s">
        <v>1371</v>
      </c>
      <c r="J1179" t="s">
        <v>31</v>
      </c>
      <c r="K1179" t="s">
        <v>38</v>
      </c>
      <c r="L1179" t="s">
        <v>383</v>
      </c>
      <c r="M1179" t="s">
        <v>384</v>
      </c>
      <c r="N1179" t="s">
        <v>1372</v>
      </c>
      <c r="O1179" t="s">
        <v>1373</v>
      </c>
      <c r="P1179" t="s">
        <v>1374</v>
      </c>
      <c r="T1179">
        <v>35.78815419</v>
      </c>
      <c r="U1179">
        <v>-78.726566676999994</v>
      </c>
      <c r="V1179">
        <f>SUM(W1179:X1179)+(Y1179*0.8)+(Z1179*0.4)</f>
        <v>4</v>
      </c>
      <c r="W1179">
        <v>4</v>
      </c>
      <c r="X1179">
        <v>0</v>
      </c>
      <c r="Y1179">
        <v>0</v>
      </c>
      <c r="Z1179">
        <v>0</v>
      </c>
      <c r="AA1179" t="s">
        <v>43</v>
      </c>
      <c r="AB1179">
        <v>2</v>
      </c>
      <c r="AD1179" t="s">
        <v>1375</v>
      </c>
      <c r="AE1179" t="s">
        <v>1376</v>
      </c>
    </row>
    <row r="1180" spans="1:31" x14ac:dyDescent="0.25">
      <c r="A1180" t="s">
        <v>31</v>
      </c>
      <c r="C1180" t="s">
        <v>6687</v>
      </c>
      <c r="D1180" t="s">
        <v>6695</v>
      </c>
      <c r="E1180" t="s">
        <v>362</v>
      </c>
      <c r="F1180" t="s">
        <v>43</v>
      </c>
      <c r="G1180">
        <v>2019</v>
      </c>
      <c r="H1180" t="s">
        <v>36</v>
      </c>
      <c r="I1180" t="s">
        <v>6696</v>
      </c>
      <c r="J1180" t="s">
        <v>31</v>
      </c>
      <c r="K1180" t="s">
        <v>38</v>
      </c>
      <c r="L1180" t="s">
        <v>1540</v>
      </c>
      <c r="M1180" t="s">
        <v>1541</v>
      </c>
      <c r="N1180" t="s">
        <v>6690</v>
      </c>
      <c r="O1180" t="s">
        <v>6691</v>
      </c>
      <c r="P1180" t="s">
        <v>6692</v>
      </c>
      <c r="S1180" t="s">
        <v>6687</v>
      </c>
      <c r="T1180">
        <v>43.519810208000003</v>
      </c>
      <c r="U1180">
        <v>-112.049018915</v>
      </c>
      <c r="V1180">
        <f>SUM(W1180:X1180)+(Y1180*0.8)+(Z1180*0.4)</f>
        <v>4</v>
      </c>
      <c r="W1180">
        <v>4</v>
      </c>
      <c r="X1180">
        <v>0</v>
      </c>
      <c r="Y1180">
        <v>0</v>
      </c>
      <c r="Z1180">
        <v>0</v>
      </c>
      <c r="AA1180" t="s">
        <v>43</v>
      </c>
      <c r="AB1180">
        <v>4</v>
      </c>
      <c r="AD1180" t="s">
        <v>6697</v>
      </c>
      <c r="AE1180" t="s">
        <v>6698</v>
      </c>
    </row>
    <row r="1181" spans="1:31" x14ac:dyDescent="0.25">
      <c r="A1181" t="s">
        <v>31</v>
      </c>
      <c r="C1181" t="s">
        <v>10308</v>
      </c>
      <c r="D1181" t="s">
        <v>10309</v>
      </c>
      <c r="E1181" t="s">
        <v>362</v>
      </c>
      <c r="F1181" t="s">
        <v>1611</v>
      </c>
      <c r="G1181">
        <v>2018</v>
      </c>
      <c r="H1181" t="s">
        <v>36</v>
      </c>
      <c r="I1181" t="s">
        <v>10310</v>
      </c>
      <c r="J1181" t="s">
        <v>31</v>
      </c>
      <c r="K1181" t="s">
        <v>38</v>
      </c>
      <c r="L1181" t="s">
        <v>242</v>
      </c>
      <c r="M1181" t="s">
        <v>243</v>
      </c>
      <c r="N1181" t="s">
        <v>6106</v>
      </c>
      <c r="O1181" t="s">
        <v>6107</v>
      </c>
      <c r="P1181" t="s">
        <v>6108</v>
      </c>
      <c r="T1181">
        <v>36.777593811999999</v>
      </c>
      <c r="U1181">
        <v>-76.007162262999998</v>
      </c>
      <c r="V1181">
        <f>SUM(W1181:X1181)+(Y1181*0.8)+(Z1181*0.4)</f>
        <v>4</v>
      </c>
      <c r="W1181">
        <v>4</v>
      </c>
      <c r="X1181">
        <v>0</v>
      </c>
      <c r="Y1181">
        <v>0</v>
      </c>
      <c r="Z1181">
        <v>0</v>
      </c>
      <c r="AA1181" t="s">
        <v>43</v>
      </c>
      <c r="AB1181">
        <v>4</v>
      </c>
      <c r="AD1181" t="s">
        <v>10311</v>
      </c>
      <c r="AE1181" t="s">
        <v>10312</v>
      </c>
    </row>
    <row r="1182" spans="1:31" x14ac:dyDescent="0.25">
      <c r="A1182" t="s">
        <v>31</v>
      </c>
      <c r="C1182" t="s">
        <v>7468</v>
      </c>
      <c r="D1182" t="s">
        <v>7476</v>
      </c>
      <c r="E1182" t="s">
        <v>34</v>
      </c>
      <c r="F1182" t="s">
        <v>35</v>
      </c>
      <c r="G1182">
        <v>2014</v>
      </c>
      <c r="H1182" t="s">
        <v>36</v>
      </c>
      <c r="I1182" t="s">
        <v>7477</v>
      </c>
      <c r="J1182" t="s">
        <v>31</v>
      </c>
      <c r="K1182" t="s">
        <v>38</v>
      </c>
      <c r="L1182" t="s">
        <v>3288</v>
      </c>
      <c r="M1182" t="s">
        <v>3289</v>
      </c>
      <c r="N1182" t="s">
        <v>7478</v>
      </c>
      <c r="O1182" t="s">
        <v>7479</v>
      </c>
      <c r="P1182" t="s">
        <v>7480</v>
      </c>
      <c r="T1182">
        <v>41.129660450000003</v>
      </c>
      <c r="U1182">
        <v>-104.741541332</v>
      </c>
      <c r="V1182">
        <f>SUM(W1182:X1182)+(Y1182*0.8)+(Z1182*0.4)</f>
        <v>4</v>
      </c>
      <c r="W1182">
        <v>4</v>
      </c>
      <c r="X1182">
        <v>0</v>
      </c>
      <c r="Y1182">
        <v>0</v>
      </c>
      <c r="Z1182">
        <v>0</v>
      </c>
      <c r="AA1182" t="s">
        <v>43</v>
      </c>
      <c r="AB1182">
        <v>3.56</v>
      </c>
      <c r="AC1182">
        <v>1.17</v>
      </c>
      <c r="AD1182" t="s">
        <v>7481</v>
      </c>
      <c r="AE1182" t="s">
        <v>7482</v>
      </c>
    </row>
    <row r="1183" spans="1:31" x14ac:dyDescent="0.25">
      <c r="A1183" t="s">
        <v>31</v>
      </c>
      <c r="C1183" t="s">
        <v>7082</v>
      </c>
      <c r="D1183" t="s">
        <v>7083</v>
      </c>
      <c r="E1183" t="s">
        <v>34</v>
      </c>
      <c r="F1183" t="s">
        <v>35</v>
      </c>
      <c r="G1183">
        <v>2014</v>
      </c>
      <c r="H1183" t="s">
        <v>36</v>
      </c>
      <c r="I1183" t="s">
        <v>7084</v>
      </c>
      <c r="J1183" t="s">
        <v>31</v>
      </c>
      <c r="K1183" t="s">
        <v>38</v>
      </c>
      <c r="L1183" t="s">
        <v>39</v>
      </c>
      <c r="M1183" t="s">
        <v>40</v>
      </c>
      <c r="N1183" t="s">
        <v>2140</v>
      </c>
      <c r="O1183" t="s">
        <v>2141</v>
      </c>
      <c r="P1183" t="s">
        <v>7085</v>
      </c>
      <c r="Q1183" t="s">
        <v>7086</v>
      </c>
      <c r="T1183">
        <v>40.726902623000001</v>
      </c>
      <c r="U1183">
        <v>-74.033567353999999</v>
      </c>
      <c r="V1183">
        <f>SUM(W1183:X1183)+(Y1183*0.8)+(Z1183*0.4)</f>
        <v>4</v>
      </c>
      <c r="W1183">
        <v>4</v>
      </c>
      <c r="X1183">
        <v>0</v>
      </c>
      <c r="Y1183">
        <v>0</v>
      </c>
      <c r="Z1183">
        <v>0</v>
      </c>
      <c r="AA1183" t="s">
        <v>43</v>
      </c>
      <c r="AB1183">
        <v>3.1</v>
      </c>
      <c r="AD1183" t="s">
        <v>7087</v>
      </c>
      <c r="AE1183" t="s">
        <v>7088</v>
      </c>
    </row>
    <row r="1184" spans="1:31" x14ac:dyDescent="0.25">
      <c r="A1184" t="s">
        <v>31</v>
      </c>
      <c r="C1184" t="s">
        <v>8461</v>
      </c>
      <c r="D1184" t="s">
        <v>8462</v>
      </c>
      <c r="E1184" t="s">
        <v>34</v>
      </c>
      <c r="F1184" t="s">
        <v>35</v>
      </c>
      <c r="G1184">
        <v>2012</v>
      </c>
      <c r="H1184" t="s">
        <v>36</v>
      </c>
      <c r="I1184" t="s">
        <v>8463</v>
      </c>
      <c r="J1184" t="s">
        <v>31</v>
      </c>
      <c r="K1184" t="s">
        <v>38</v>
      </c>
      <c r="L1184" t="s">
        <v>172</v>
      </c>
      <c r="M1184" t="s">
        <v>173</v>
      </c>
      <c r="N1184" t="s">
        <v>2023</v>
      </c>
      <c r="O1184" t="s">
        <v>2021</v>
      </c>
      <c r="P1184" t="s">
        <v>2024</v>
      </c>
      <c r="S1184" t="s">
        <v>2025</v>
      </c>
      <c r="T1184">
        <v>32.827943945000001</v>
      </c>
      <c r="U1184">
        <v>-117.130110277</v>
      </c>
      <c r="V1184">
        <f>SUM(W1184:X1184)+(Y1184*0.8)+(Z1184*0.4)</f>
        <v>4</v>
      </c>
      <c r="W1184">
        <v>4</v>
      </c>
      <c r="X1184">
        <v>0</v>
      </c>
      <c r="Y1184">
        <v>0</v>
      </c>
      <c r="Z1184">
        <v>0</v>
      </c>
      <c r="AA1184" t="s">
        <v>43</v>
      </c>
      <c r="AB1184">
        <v>3.8</v>
      </c>
      <c r="AD1184" t="s">
        <v>8464</v>
      </c>
      <c r="AE1184" t="s">
        <v>8465</v>
      </c>
    </row>
    <row r="1185" spans="1:31" x14ac:dyDescent="0.25">
      <c r="A1185" t="s">
        <v>31</v>
      </c>
      <c r="C1185" t="s">
        <v>445</v>
      </c>
      <c r="D1185" t="s">
        <v>455</v>
      </c>
      <c r="E1185" t="s">
        <v>34</v>
      </c>
      <c r="F1185" t="s">
        <v>35</v>
      </c>
      <c r="G1185">
        <v>2012</v>
      </c>
      <c r="H1185" t="s">
        <v>36</v>
      </c>
      <c r="I1185" t="s">
        <v>456</v>
      </c>
      <c r="J1185" t="s">
        <v>31</v>
      </c>
      <c r="K1185" t="s">
        <v>38</v>
      </c>
      <c r="L1185" t="s">
        <v>448</v>
      </c>
      <c r="M1185" t="s">
        <v>449</v>
      </c>
      <c r="N1185" t="s">
        <v>457</v>
      </c>
      <c r="O1185" t="s">
        <v>458</v>
      </c>
      <c r="P1185" t="s">
        <v>459</v>
      </c>
      <c r="T1185">
        <v>39.140293020000001</v>
      </c>
      <c r="U1185">
        <v>-76.606484533</v>
      </c>
      <c r="V1185">
        <f>SUM(W1185:X1185)+(Y1185*0.8)+(Z1185*0.4)</f>
        <v>4</v>
      </c>
      <c r="W1185">
        <v>4</v>
      </c>
      <c r="X1185">
        <v>0</v>
      </c>
      <c r="Y1185">
        <v>0</v>
      </c>
      <c r="Z1185">
        <v>0</v>
      </c>
      <c r="AA1185" t="s">
        <v>43</v>
      </c>
      <c r="AB1185">
        <v>0.5</v>
      </c>
      <c r="AD1185" t="s">
        <v>460</v>
      </c>
      <c r="AE1185" t="s">
        <v>461</v>
      </c>
    </row>
    <row r="1186" spans="1:31" x14ac:dyDescent="0.25">
      <c r="A1186" t="s">
        <v>31</v>
      </c>
      <c r="C1186" t="s">
        <v>5977</v>
      </c>
      <c r="D1186" t="s">
        <v>5978</v>
      </c>
      <c r="E1186" t="s">
        <v>34</v>
      </c>
      <c r="F1186" t="s">
        <v>35</v>
      </c>
      <c r="G1186">
        <v>2011</v>
      </c>
      <c r="H1186" t="s">
        <v>36</v>
      </c>
      <c r="I1186" t="s">
        <v>5979</v>
      </c>
      <c r="J1186" t="s">
        <v>31</v>
      </c>
      <c r="K1186" t="s">
        <v>38</v>
      </c>
      <c r="L1186" t="s">
        <v>172</v>
      </c>
      <c r="M1186" t="s">
        <v>173</v>
      </c>
      <c r="O1186" t="s">
        <v>3662</v>
      </c>
      <c r="P1186" t="s">
        <v>4328</v>
      </c>
      <c r="Q1186" t="s">
        <v>5980</v>
      </c>
      <c r="T1186">
        <v>37.782632034000002</v>
      </c>
      <c r="U1186">
        <v>-122.39186436200001</v>
      </c>
      <c r="V1186">
        <f>SUM(W1186:X1186)+(Y1186*0.8)+(Z1186*0.4)</f>
        <v>4</v>
      </c>
      <c r="W1186">
        <v>4</v>
      </c>
      <c r="X1186">
        <v>0</v>
      </c>
      <c r="Y1186">
        <v>0</v>
      </c>
      <c r="Z1186">
        <v>0</v>
      </c>
      <c r="AA1186" t="s">
        <v>43</v>
      </c>
      <c r="AB1186">
        <v>3.88</v>
      </c>
      <c r="AD1186" t="s">
        <v>5981</v>
      </c>
      <c r="AE1186" t="s">
        <v>5982</v>
      </c>
    </row>
    <row r="1187" spans="1:31" x14ac:dyDescent="0.25">
      <c r="A1187" t="s">
        <v>31</v>
      </c>
      <c r="C1187" t="s">
        <v>5181</v>
      </c>
      <c r="D1187" t="s">
        <v>5446</v>
      </c>
      <c r="E1187" t="s">
        <v>34</v>
      </c>
      <c r="F1187" t="s">
        <v>35</v>
      </c>
      <c r="G1187">
        <v>2010</v>
      </c>
      <c r="H1187" t="s">
        <v>36</v>
      </c>
      <c r="I1187" t="s">
        <v>5447</v>
      </c>
      <c r="J1187" t="s">
        <v>31</v>
      </c>
      <c r="K1187" t="s">
        <v>38</v>
      </c>
      <c r="L1187" t="s">
        <v>172</v>
      </c>
      <c r="M1187" t="s">
        <v>173</v>
      </c>
      <c r="N1187" t="s">
        <v>780</v>
      </c>
      <c r="O1187" t="s">
        <v>781</v>
      </c>
      <c r="P1187" t="s">
        <v>5443</v>
      </c>
      <c r="T1187">
        <v>37.374941999999997</v>
      </c>
      <c r="U1187">
        <v>-121.988311</v>
      </c>
      <c r="V1187">
        <f>SUM(W1187:X1187)+(Y1187*0.8)+(Z1187*0.4)</f>
        <v>4</v>
      </c>
      <c r="W1187">
        <v>4</v>
      </c>
      <c r="X1187">
        <v>0</v>
      </c>
      <c r="Y1187">
        <v>0</v>
      </c>
      <c r="Z1187">
        <v>0</v>
      </c>
      <c r="AA1187" t="s">
        <v>43</v>
      </c>
      <c r="AB1187">
        <v>3.81</v>
      </c>
      <c r="AD1187" t="s">
        <v>5448</v>
      </c>
      <c r="AE1187" t="s">
        <v>5449</v>
      </c>
    </row>
    <row r="1188" spans="1:31" x14ac:dyDescent="0.25">
      <c r="A1188" t="s">
        <v>31</v>
      </c>
      <c r="C1188" t="s">
        <v>3849</v>
      </c>
      <c r="D1188" t="s">
        <v>4190</v>
      </c>
      <c r="E1188" t="s">
        <v>34</v>
      </c>
      <c r="F1188" t="s">
        <v>66</v>
      </c>
      <c r="G1188">
        <v>2010</v>
      </c>
      <c r="H1188" t="s">
        <v>36</v>
      </c>
      <c r="I1188" t="s">
        <v>4191</v>
      </c>
      <c r="J1188" t="s">
        <v>31</v>
      </c>
      <c r="K1188" t="s">
        <v>38</v>
      </c>
      <c r="L1188" t="s">
        <v>39</v>
      </c>
      <c r="M1188" t="s">
        <v>40</v>
      </c>
      <c r="N1188" t="s">
        <v>3479</v>
      </c>
      <c r="O1188" t="s">
        <v>4192</v>
      </c>
      <c r="P1188" t="s">
        <v>4193</v>
      </c>
      <c r="Q1188" t="s">
        <v>4192</v>
      </c>
      <c r="T1188">
        <v>40.829923000000001</v>
      </c>
      <c r="U1188">
        <v>-74.126795000000001</v>
      </c>
      <c r="V1188">
        <f>SUM(W1188:X1188)+(Y1188*0.8)+(Z1188*0.4)</f>
        <v>4</v>
      </c>
      <c r="W1188">
        <v>4</v>
      </c>
      <c r="X1188">
        <v>0</v>
      </c>
      <c r="Y1188">
        <v>0</v>
      </c>
      <c r="Z1188">
        <v>0</v>
      </c>
      <c r="AA1188" t="s">
        <v>43</v>
      </c>
      <c r="AB1188">
        <v>3.8</v>
      </c>
      <c r="AD1188" t="s">
        <v>4194</v>
      </c>
      <c r="AE1188" t="s">
        <v>4195</v>
      </c>
    </row>
    <row r="1189" spans="1:31" x14ac:dyDescent="0.25">
      <c r="A1189" t="s">
        <v>31</v>
      </c>
      <c r="B1189" t="s">
        <v>11350</v>
      </c>
      <c r="C1189" t="s">
        <v>647</v>
      </c>
      <c r="D1189" t="s">
        <v>1109</v>
      </c>
      <c r="E1189" t="s">
        <v>362</v>
      </c>
      <c r="F1189" t="s">
        <v>649</v>
      </c>
      <c r="G1189">
        <v>2010</v>
      </c>
      <c r="H1189" t="s">
        <v>36</v>
      </c>
      <c r="I1189" t="s">
        <v>1110</v>
      </c>
      <c r="J1189" t="s">
        <v>31</v>
      </c>
      <c r="K1189" t="s">
        <v>38</v>
      </c>
      <c r="L1189" t="s">
        <v>242</v>
      </c>
      <c r="M1189" t="s">
        <v>243</v>
      </c>
      <c r="N1189" t="s">
        <v>244</v>
      </c>
      <c r="O1189" t="s">
        <v>719</v>
      </c>
      <c r="P1189" t="s">
        <v>1111</v>
      </c>
      <c r="T1189">
        <v>38.899794573999998</v>
      </c>
      <c r="U1189">
        <v>-77.453229171999993</v>
      </c>
      <c r="V1189">
        <f>SUM(W1189:X1189)+(Y1189*0.8)+(Z1189*0.4)</f>
        <v>4</v>
      </c>
      <c r="W1189">
        <v>4</v>
      </c>
      <c r="X1189">
        <v>0</v>
      </c>
      <c r="Y1189">
        <v>0</v>
      </c>
      <c r="Z1189">
        <v>0</v>
      </c>
      <c r="AA1189" t="s">
        <v>43</v>
      </c>
      <c r="AB1189">
        <v>4</v>
      </c>
      <c r="AD1189" t="s">
        <v>1112</v>
      </c>
      <c r="AE1189" t="s">
        <v>1113</v>
      </c>
    </row>
    <row r="1190" spans="1:31" x14ac:dyDescent="0.25">
      <c r="A1190" t="s">
        <v>31</v>
      </c>
      <c r="C1190" t="s">
        <v>169</v>
      </c>
      <c r="D1190" t="s">
        <v>301</v>
      </c>
      <c r="E1190" t="s">
        <v>34</v>
      </c>
      <c r="F1190" t="s">
        <v>35</v>
      </c>
      <c r="G1190">
        <v>2010</v>
      </c>
      <c r="H1190" t="s">
        <v>36</v>
      </c>
      <c r="I1190" t="s">
        <v>302</v>
      </c>
      <c r="J1190" t="s">
        <v>31</v>
      </c>
      <c r="K1190" t="s">
        <v>38</v>
      </c>
      <c r="L1190" t="s">
        <v>185</v>
      </c>
      <c r="M1190" t="s">
        <v>186</v>
      </c>
      <c r="N1190" t="s">
        <v>303</v>
      </c>
      <c r="O1190" t="s">
        <v>301</v>
      </c>
      <c r="P1190" t="s">
        <v>304</v>
      </c>
      <c r="T1190">
        <v>33.840991197999998</v>
      </c>
      <c r="U1190">
        <v>-84.522430979999996</v>
      </c>
      <c r="V1190">
        <f>SUM(W1190:X1190)+(Y1190*0.8)+(Z1190*0.4)</f>
        <v>4</v>
      </c>
      <c r="W1190">
        <v>4</v>
      </c>
      <c r="X1190">
        <v>0</v>
      </c>
      <c r="Y1190">
        <v>0</v>
      </c>
      <c r="Z1190">
        <v>0</v>
      </c>
      <c r="AA1190" t="s">
        <v>43</v>
      </c>
      <c r="AB1190">
        <v>1</v>
      </c>
      <c r="AD1190" t="s">
        <v>305</v>
      </c>
      <c r="AE1190" t="s">
        <v>306</v>
      </c>
    </row>
    <row r="1191" spans="1:31" x14ac:dyDescent="0.25">
      <c r="A1191" t="s">
        <v>31</v>
      </c>
      <c r="C1191" t="s">
        <v>7108</v>
      </c>
      <c r="D1191" t="s">
        <v>770</v>
      </c>
      <c r="E1191" t="s">
        <v>34</v>
      </c>
      <c r="F1191" t="s">
        <v>35</v>
      </c>
      <c r="G1191">
        <v>2009</v>
      </c>
      <c r="H1191" t="s">
        <v>36</v>
      </c>
      <c r="I1191" t="s">
        <v>7109</v>
      </c>
      <c r="J1191" t="s">
        <v>31</v>
      </c>
      <c r="K1191" t="s">
        <v>38</v>
      </c>
      <c r="L1191" t="s">
        <v>143</v>
      </c>
      <c r="M1191" t="s">
        <v>144</v>
      </c>
      <c r="N1191" t="s">
        <v>3891</v>
      </c>
      <c r="O1191" t="s">
        <v>2037</v>
      </c>
      <c r="P1191" t="s">
        <v>7110</v>
      </c>
      <c r="T1191">
        <v>39.775866069000003</v>
      </c>
      <c r="U1191">
        <v>-86.042910933000002</v>
      </c>
      <c r="V1191">
        <f>SUM(W1191:X1191)+(Y1191*0.8)+(Z1191*0.4)</f>
        <v>4</v>
      </c>
      <c r="W1191">
        <v>4</v>
      </c>
      <c r="X1191">
        <v>0</v>
      </c>
      <c r="Y1191">
        <v>0</v>
      </c>
      <c r="Z1191">
        <v>0</v>
      </c>
      <c r="AA1191" t="s">
        <v>43</v>
      </c>
      <c r="AB1191">
        <v>3.85</v>
      </c>
      <c r="AD1191" t="s">
        <v>7111</v>
      </c>
      <c r="AE1191" t="s">
        <v>7112</v>
      </c>
    </row>
    <row r="1192" spans="1:31" x14ac:dyDescent="0.25">
      <c r="A1192" t="s">
        <v>31</v>
      </c>
      <c r="C1192" t="s">
        <v>5676</v>
      </c>
      <c r="D1192" t="s">
        <v>2467</v>
      </c>
      <c r="E1192" t="s">
        <v>362</v>
      </c>
      <c r="F1192" t="s">
        <v>630</v>
      </c>
      <c r="G1192">
        <v>2007</v>
      </c>
      <c r="H1192" t="s">
        <v>36</v>
      </c>
      <c r="I1192" t="s">
        <v>5677</v>
      </c>
      <c r="J1192" t="s">
        <v>31</v>
      </c>
      <c r="K1192" t="s">
        <v>38</v>
      </c>
      <c r="L1192" t="s">
        <v>383</v>
      </c>
      <c r="M1192" t="s">
        <v>384</v>
      </c>
      <c r="N1192" t="s">
        <v>1372</v>
      </c>
      <c r="O1192" t="s">
        <v>2467</v>
      </c>
      <c r="P1192" t="s">
        <v>2468</v>
      </c>
      <c r="T1192">
        <v>35.866699517000001</v>
      </c>
      <c r="U1192">
        <v>-78.886439590999998</v>
      </c>
      <c r="V1192">
        <f>SUM(W1192:X1192)+(Y1192*0.8)+(Z1192*0.4)</f>
        <v>4</v>
      </c>
      <c r="W1192">
        <v>4</v>
      </c>
      <c r="X1192">
        <v>0</v>
      </c>
      <c r="Y1192">
        <v>0</v>
      </c>
      <c r="Z1192">
        <v>0</v>
      </c>
      <c r="AA1192" t="s">
        <v>43</v>
      </c>
      <c r="AB1192">
        <v>4</v>
      </c>
      <c r="AD1192" t="s">
        <v>5678</v>
      </c>
      <c r="AE1192" t="s">
        <v>5679</v>
      </c>
    </row>
    <row r="1193" spans="1:31" x14ac:dyDescent="0.25">
      <c r="A1193" t="s">
        <v>31</v>
      </c>
      <c r="C1193" t="s">
        <v>3710</v>
      </c>
      <c r="D1193" t="s">
        <v>3761</v>
      </c>
      <c r="E1193" t="s">
        <v>34</v>
      </c>
      <c r="F1193" t="s">
        <v>35</v>
      </c>
      <c r="G1193">
        <v>2007</v>
      </c>
      <c r="H1193" t="s">
        <v>36</v>
      </c>
      <c r="I1193" t="s">
        <v>3762</v>
      </c>
      <c r="J1193" t="s">
        <v>31</v>
      </c>
      <c r="K1193" t="s">
        <v>38</v>
      </c>
      <c r="L1193" t="s">
        <v>185</v>
      </c>
      <c r="M1193" t="s">
        <v>186</v>
      </c>
      <c r="N1193" t="s">
        <v>187</v>
      </c>
      <c r="O1193" t="s">
        <v>1606</v>
      </c>
      <c r="P1193" t="s">
        <v>3763</v>
      </c>
      <c r="Q1193" t="s">
        <v>3347</v>
      </c>
      <c r="T1193">
        <v>33.733883943000002</v>
      </c>
      <c r="U1193">
        <v>-84.425740488000002</v>
      </c>
      <c r="V1193">
        <f>SUM(W1193:X1193)+(Y1193*0.8)+(Z1193*0.4)</f>
        <v>4</v>
      </c>
      <c r="W1193">
        <v>4</v>
      </c>
      <c r="X1193">
        <v>0</v>
      </c>
      <c r="Y1193">
        <v>0</v>
      </c>
      <c r="Z1193">
        <v>0</v>
      </c>
      <c r="AA1193" t="s">
        <v>43</v>
      </c>
      <c r="AB1193">
        <v>4</v>
      </c>
      <c r="AD1193" t="s">
        <v>3764</v>
      </c>
      <c r="AE1193" t="s">
        <v>3765</v>
      </c>
    </row>
    <row r="1194" spans="1:31" x14ac:dyDescent="0.25">
      <c r="A1194" t="s">
        <v>31</v>
      </c>
      <c r="C1194" t="s">
        <v>3312</v>
      </c>
      <c r="D1194" t="s">
        <v>3473</v>
      </c>
      <c r="E1194" t="s">
        <v>34</v>
      </c>
      <c r="F1194" t="s">
        <v>66</v>
      </c>
      <c r="G1194">
        <v>2007</v>
      </c>
      <c r="H1194" t="s">
        <v>36</v>
      </c>
      <c r="I1194" t="s">
        <v>3474</v>
      </c>
      <c r="J1194" t="s">
        <v>31</v>
      </c>
      <c r="K1194" t="s">
        <v>38</v>
      </c>
      <c r="L1194" t="s">
        <v>1380</v>
      </c>
      <c r="M1194" t="s">
        <v>1381</v>
      </c>
      <c r="N1194" t="s">
        <v>1382</v>
      </c>
      <c r="O1194" t="s">
        <v>1383</v>
      </c>
      <c r="P1194" t="s">
        <v>1384</v>
      </c>
      <c r="T1194">
        <v>41.084055792000001</v>
      </c>
      <c r="U1194">
        <v>-73.518051099000004</v>
      </c>
      <c r="V1194">
        <f>SUM(W1194:X1194)+(Y1194*0.8)+(Z1194*0.4)</f>
        <v>4</v>
      </c>
      <c r="W1194">
        <v>4</v>
      </c>
      <c r="X1194">
        <v>0</v>
      </c>
      <c r="Y1194">
        <v>0</v>
      </c>
      <c r="Z1194">
        <v>0</v>
      </c>
      <c r="AA1194" t="s">
        <v>43</v>
      </c>
      <c r="AB1194">
        <v>3.4</v>
      </c>
      <c r="AD1194" t="s">
        <v>3475</v>
      </c>
      <c r="AE1194" t="s">
        <v>3476</v>
      </c>
    </row>
    <row r="1195" spans="1:31" x14ac:dyDescent="0.25">
      <c r="A1195" t="s">
        <v>31</v>
      </c>
      <c r="C1195" t="s">
        <v>5181</v>
      </c>
      <c r="D1195" t="s">
        <v>5186</v>
      </c>
      <c r="E1195" t="s">
        <v>34</v>
      </c>
      <c r="F1195" t="s">
        <v>35</v>
      </c>
      <c r="G1195">
        <v>2005</v>
      </c>
      <c r="H1195" t="s">
        <v>36</v>
      </c>
      <c r="I1195" t="s">
        <v>5187</v>
      </c>
      <c r="J1195" t="s">
        <v>31</v>
      </c>
      <c r="K1195" t="s">
        <v>38</v>
      </c>
      <c r="L1195" t="s">
        <v>185</v>
      </c>
      <c r="M1195" t="s">
        <v>186</v>
      </c>
      <c r="N1195" t="s">
        <v>303</v>
      </c>
      <c r="O1195" t="s">
        <v>1606</v>
      </c>
      <c r="P1195" t="s">
        <v>1607</v>
      </c>
      <c r="Q1195" t="s">
        <v>5188</v>
      </c>
      <c r="T1195">
        <v>33.895420000000001</v>
      </c>
      <c r="U1195">
        <v>-84.453638999999995</v>
      </c>
      <c r="V1195">
        <f>SUM(W1195:X1195)+(Y1195*0.8)+(Z1195*0.4)</f>
        <v>4</v>
      </c>
      <c r="W1195">
        <v>4</v>
      </c>
      <c r="X1195">
        <v>0</v>
      </c>
      <c r="Y1195">
        <v>0</v>
      </c>
      <c r="Z1195">
        <v>0</v>
      </c>
      <c r="AA1195" t="s">
        <v>43</v>
      </c>
      <c r="AB1195">
        <v>3</v>
      </c>
      <c r="AC1195">
        <v>1.3</v>
      </c>
      <c r="AD1195" t="s">
        <v>5189</v>
      </c>
      <c r="AE1195" t="s">
        <v>5190</v>
      </c>
    </row>
    <row r="1196" spans="1:31" x14ac:dyDescent="0.25">
      <c r="A1196" t="s">
        <v>31</v>
      </c>
      <c r="C1196" t="s">
        <v>2840</v>
      </c>
      <c r="D1196" t="s">
        <v>2841</v>
      </c>
      <c r="E1196" t="s">
        <v>362</v>
      </c>
      <c r="F1196" t="s">
        <v>1611</v>
      </c>
      <c r="G1196">
        <v>2004</v>
      </c>
      <c r="H1196" t="s">
        <v>36</v>
      </c>
      <c r="I1196" t="s">
        <v>2842</v>
      </c>
      <c r="J1196" t="s">
        <v>31</v>
      </c>
      <c r="K1196" t="s">
        <v>38</v>
      </c>
      <c r="L1196" t="s">
        <v>77</v>
      </c>
      <c r="M1196" t="s">
        <v>78</v>
      </c>
      <c r="N1196" t="s">
        <v>79</v>
      </c>
      <c r="O1196" t="s">
        <v>2843</v>
      </c>
      <c r="P1196" t="s">
        <v>2844</v>
      </c>
      <c r="Q1196" t="s">
        <v>2845</v>
      </c>
      <c r="T1196">
        <v>39.998650937000001</v>
      </c>
      <c r="U1196">
        <v>-75.574069033000001</v>
      </c>
      <c r="V1196">
        <f>SUM(W1196:X1196)+(Y1196*0.8)+(Z1196*0.4)</f>
        <v>4</v>
      </c>
      <c r="W1196">
        <v>4</v>
      </c>
      <c r="X1196">
        <v>0</v>
      </c>
      <c r="Y1196">
        <v>0</v>
      </c>
      <c r="Z1196">
        <v>0</v>
      </c>
      <c r="AA1196" t="s">
        <v>43</v>
      </c>
      <c r="AB1196">
        <v>4</v>
      </c>
      <c r="AD1196" t="s">
        <v>2846</v>
      </c>
      <c r="AE1196" t="s">
        <v>2847</v>
      </c>
    </row>
    <row r="1197" spans="1:31" x14ac:dyDescent="0.25">
      <c r="A1197" t="s">
        <v>31</v>
      </c>
      <c r="C1197" t="s">
        <v>7672</v>
      </c>
      <c r="D1197" t="s">
        <v>7673</v>
      </c>
      <c r="E1197" t="s">
        <v>362</v>
      </c>
      <c r="F1197" t="s">
        <v>630</v>
      </c>
      <c r="G1197">
        <v>2002</v>
      </c>
      <c r="H1197" t="s">
        <v>36</v>
      </c>
      <c r="I1197" t="s">
        <v>7674</v>
      </c>
      <c r="J1197" t="s">
        <v>31</v>
      </c>
      <c r="K1197" t="s">
        <v>38</v>
      </c>
      <c r="L1197" t="s">
        <v>123</v>
      </c>
      <c r="M1197" t="s">
        <v>124</v>
      </c>
      <c r="O1197" t="s">
        <v>123</v>
      </c>
      <c r="P1197" t="s">
        <v>7055</v>
      </c>
      <c r="Q1197" t="s">
        <v>1654</v>
      </c>
      <c r="S1197" t="s">
        <v>7056</v>
      </c>
      <c r="T1197">
        <v>40.607365727999998</v>
      </c>
      <c r="U1197">
        <v>-74.172962933999997</v>
      </c>
      <c r="V1197">
        <f>SUM(W1197:X1197)+(Y1197*0.8)+(Z1197*0.4)</f>
        <v>4</v>
      </c>
      <c r="W1197">
        <v>4</v>
      </c>
      <c r="X1197">
        <v>0</v>
      </c>
      <c r="Y1197">
        <v>0</v>
      </c>
      <c r="Z1197">
        <v>0</v>
      </c>
      <c r="AA1197" t="s">
        <v>43</v>
      </c>
      <c r="AB1197">
        <v>4</v>
      </c>
      <c r="AD1197" t="s">
        <v>7675</v>
      </c>
      <c r="AE1197" t="s">
        <v>7676</v>
      </c>
    </row>
    <row r="1198" spans="1:31" x14ac:dyDescent="0.25">
      <c r="A1198" t="s">
        <v>31</v>
      </c>
      <c r="C1198" t="s">
        <v>7511</v>
      </c>
      <c r="D1198" t="s">
        <v>7519</v>
      </c>
      <c r="E1198" t="s">
        <v>34</v>
      </c>
      <c r="F1198" t="s">
        <v>35</v>
      </c>
      <c r="G1198">
        <v>2002</v>
      </c>
      <c r="H1198" t="s">
        <v>36</v>
      </c>
      <c r="I1198" t="s">
        <v>7520</v>
      </c>
      <c r="J1198" t="s">
        <v>31</v>
      </c>
      <c r="K1198" t="s">
        <v>38</v>
      </c>
      <c r="L1198" t="s">
        <v>77</v>
      </c>
      <c r="M1198" t="s">
        <v>78</v>
      </c>
      <c r="N1198" t="s">
        <v>1358</v>
      </c>
      <c r="O1198" t="s">
        <v>7521</v>
      </c>
      <c r="P1198" t="s">
        <v>7522</v>
      </c>
      <c r="T1198">
        <v>40.601607285999997</v>
      </c>
      <c r="U1198">
        <v>-79.819547714999999</v>
      </c>
      <c r="V1198">
        <f>SUM(W1198:X1198)+(Y1198*0.8)+(Z1198*0.4)</f>
        <v>4</v>
      </c>
      <c r="W1198">
        <v>4</v>
      </c>
      <c r="X1198">
        <v>0</v>
      </c>
      <c r="Y1198">
        <v>0</v>
      </c>
      <c r="Z1198">
        <v>0</v>
      </c>
      <c r="AA1198" t="s">
        <v>43</v>
      </c>
      <c r="AB1198">
        <v>3.8</v>
      </c>
      <c r="AD1198" t="s">
        <v>7523</v>
      </c>
      <c r="AE1198" t="s">
        <v>7524</v>
      </c>
    </row>
    <row r="1199" spans="1:31" x14ac:dyDescent="0.25">
      <c r="A1199" t="s">
        <v>31</v>
      </c>
      <c r="C1199" t="s">
        <v>2064</v>
      </c>
      <c r="D1199" t="s">
        <v>2107</v>
      </c>
      <c r="E1199" t="s">
        <v>34</v>
      </c>
      <c r="F1199" t="s">
        <v>35</v>
      </c>
      <c r="G1199">
        <v>2002</v>
      </c>
      <c r="H1199" t="s">
        <v>36</v>
      </c>
      <c r="I1199" t="s">
        <v>2108</v>
      </c>
      <c r="J1199" t="s">
        <v>31</v>
      </c>
      <c r="K1199" t="s">
        <v>38</v>
      </c>
      <c r="L1199" t="s">
        <v>317</v>
      </c>
      <c r="M1199" t="s">
        <v>318</v>
      </c>
      <c r="N1199" t="s">
        <v>918</v>
      </c>
      <c r="O1199" t="s">
        <v>2109</v>
      </c>
      <c r="P1199" t="s">
        <v>2110</v>
      </c>
      <c r="Q1199" t="s">
        <v>2111</v>
      </c>
      <c r="T1199">
        <v>40.168840000000003</v>
      </c>
      <c r="U1199">
        <v>-83.01079</v>
      </c>
      <c r="V1199">
        <f>SUM(W1199:X1199)+(Y1199*0.8)+(Z1199*0.4)</f>
        <v>4</v>
      </c>
      <c r="W1199">
        <v>4</v>
      </c>
      <c r="X1199">
        <v>0</v>
      </c>
      <c r="Y1199">
        <v>0</v>
      </c>
      <c r="Z1199">
        <v>0</v>
      </c>
      <c r="AA1199" t="s">
        <v>43</v>
      </c>
      <c r="AB1199">
        <v>2.298</v>
      </c>
      <c r="AD1199" t="s">
        <v>2112</v>
      </c>
      <c r="AE1199" t="s">
        <v>2113</v>
      </c>
    </row>
    <row r="1200" spans="1:31" x14ac:dyDescent="0.25">
      <c r="A1200" t="s">
        <v>31</v>
      </c>
      <c r="C1200" t="s">
        <v>2064</v>
      </c>
      <c r="D1200" t="s">
        <v>2237</v>
      </c>
      <c r="E1200" t="s">
        <v>34</v>
      </c>
      <c r="F1200" t="s">
        <v>43</v>
      </c>
      <c r="G1200">
        <v>2002</v>
      </c>
      <c r="H1200" t="s">
        <v>36</v>
      </c>
      <c r="I1200" t="s">
        <v>2238</v>
      </c>
      <c r="J1200" t="s">
        <v>31</v>
      </c>
      <c r="K1200" t="s">
        <v>38</v>
      </c>
      <c r="L1200" t="s">
        <v>843</v>
      </c>
      <c r="M1200" t="s">
        <v>1644</v>
      </c>
      <c r="N1200" t="s">
        <v>2239</v>
      </c>
      <c r="O1200" t="s">
        <v>2240</v>
      </c>
      <c r="P1200" t="s">
        <v>2241</v>
      </c>
      <c r="T1200">
        <v>47.841898</v>
      </c>
      <c r="U1200">
        <v>-122.30163</v>
      </c>
      <c r="V1200">
        <f>SUM(W1200:X1200)+(Y1200*0.8)+(Z1200*0.4)</f>
        <v>4</v>
      </c>
      <c r="W1200">
        <v>4</v>
      </c>
      <c r="X1200">
        <v>0</v>
      </c>
      <c r="Y1200">
        <v>0</v>
      </c>
      <c r="Z1200">
        <v>0</v>
      </c>
      <c r="AA1200" t="s">
        <v>43</v>
      </c>
      <c r="AB1200">
        <v>3.98</v>
      </c>
      <c r="AD1200" t="s">
        <v>2242</v>
      </c>
      <c r="AE1200" t="s">
        <v>2243</v>
      </c>
    </row>
    <row r="1201" spans="1:31" x14ac:dyDescent="0.25">
      <c r="A1201" t="s">
        <v>31</v>
      </c>
      <c r="C1201" t="s">
        <v>5086</v>
      </c>
      <c r="D1201" t="s">
        <v>5093</v>
      </c>
      <c r="E1201" t="s">
        <v>34</v>
      </c>
      <c r="F1201" t="s">
        <v>35</v>
      </c>
      <c r="G1201">
        <v>2001</v>
      </c>
      <c r="H1201" t="s">
        <v>36</v>
      </c>
      <c r="I1201" t="s">
        <v>5094</v>
      </c>
      <c r="J1201" t="s">
        <v>31</v>
      </c>
      <c r="K1201" t="s">
        <v>38</v>
      </c>
      <c r="L1201" t="s">
        <v>86</v>
      </c>
      <c r="M1201" t="s">
        <v>87</v>
      </c>
      <c r="N1201" t="s">
        <v>2215</v>
      </c>
      <c r="O1201" t="s">
        <v>5095</v>
      </c>
      <c r="P1201" t="s">
        <v>4445</v>
      </c>
      <c r="T1201">
        <v>41.975802348000002</v>
      </c>
      <c r="U1201">
        <v>-87.964762898999993</v>
      </c>
      <c r="V1201">
        <f>SUM(W1201:X1201)+(Y1201*0.8)+(Z1201*0.4)</f>
        <v>4</v>
      </c>
      <c r="W1201">
        <v>4</v>
      </c>
      <c r="X1201">
        <v>0</v>
      </c>
      <c r="Y1201">
        <v>0</v>
      </c>
      <c r="Z1201">
        <v>0</v>
      </c>
      <c r="AA1201" t="s">
        <v>43</v>
      </c>
      <c r="AB1201">
        <v>2.68</v>
      </c>
      <c r="AD1201" t="s">
        <v>5096</v>
      </c>
      <c r="AE1201" t="s">
        <v>5097</v>
      </c>
    </row>
    <row r="1202" spans="1:31" x14ac:dyDescent="0.25">
      <c r="A1202" t="s">
        <v>31</v>
      </c>
      <c r="C1202" t="s">
        <v>3710</v>
      </c>
      <c r="D1202" t="s">
        <v>3852</v>
      </c>
      <c r="E1202" t="s">
        <v>34</v>
      </c>
      <c r="F1202" t="s">
        <v>35</v>
      </c>
      <c r="G1202">
        <v>2001</v>
      </c>
      <c r="H1202" t="s">
        <v>36</v>
      </c>
      <c r="I1202" t="s">
        <v>3853</v>
      </c>
      <c r="J1202" t="s">
        <v>31</v>
      </c>
      <c r="K1202" t="s">
        <v>38</v>
      </c>
      <c r="L1202" t="s">
        <v>68</v>
      </c>
      <c r="M1202" t="s">
        <v>69</v>
      </c>
      <c r="N1202" t="s">
        <v>297</v>
      </c>
      <c r="O1202" t="s">
        <v>2116</v>
      </c>
      <c r="P1202" t="s">
        <v>3176</v>
      </c>
      <c r="T1202">
        <v>32.821684159</v>
      </c>
      <c r="U1202">
        <v>-96.873466209</v>
      </c>
      <c r="V1202">
        <f>SUM(W1202:X1202)+(Y1202*0.8)+(Z1202*0.4)</f>
        <v>4</v>
      </c>
      <c r="W1202">
        <v>4</v>
      </c>
      <c r="X1202">
        <v>0</v>
      </c>
      <c r="Y1202">
        <v>0</v>
      </c>
      <c r="Z1202">
        <v>0</v>
      </c>
      <c r="AA1202" t="s">
        <v>43</v>
      </c>
      <c r="AB1202">
        <v>4</v>
      </c>
      <c r="AD1202" t="s">
        <v>3854</v>
      </c>
      <c r="AE1202" t="s">
        <v>3855</v>
      </c>
    </row>
    <row r="1203" spans="1:31" x14ac:dyDescent="0.25">
      <c r="A1203" t="s">
        <v>31</v>
      </c>
      <c r="C1203" t="s">
        <v>7218</v>
      </c>
      <c r="D1203" t="s">
        <v>7295</v>
      </c>
      <c r="E1203" t="s">
        <v>34</v>
      </c>
      <c r="F1203" t="s">
        <v>35</v>
      </c>
      <c r="G1203">
        <v>2000</v>
      </c>
      <c r="H1203" t="s">
        <v>36</v>
      </c>
      <c r="I1203" t="s">
        <v>7296</v>
      </c>
      <c r="J1203" t="s">
        <v>31</v>
      </c>
      <c r="K1203" t="s">
        <v>38</v>
      </c>
      <c r="L1203" t="s">
        <v>383</v>
      </c>
      <c r="M1203" t="s">
        <v>384</v>
      </c>
      <c r="N1203" t="s">
        <v>2270</v>
      </c>
      <c r="O1203" t="s">
        <v>2271</v>
      </c>
      <c r="P1203" t="s">
        <v>2402</v>
      </c>
      <c r="T1203">
        <v>35.178738369999998</v>
      </c>
      <c r="U1203">
        <v>-80.928128829000002</v>
      </c>
      <c r="V1203">
        <f>SUM(W1203:X1203)+(Y1203*0.8)+(Z1203*0.4)</f>
        <v>4</v>
      </c>
      <c r="W1203">
        <v>4</v>
      </c>
      <c r="X1203">
        <v>0</v>
      </c>
      <c r="Y1203">
        <v>0</v>
      </c>
      <c r="Z1203">
        <v>0</v>
      </c>
      <c r="AA1203" t="s">
        <v>43</v>
      </c>
      <c r="AB1203">
        <v>3.2</v>
      </c>
      <c r="AD1203" t="s">
        <v>7297</v>
      </c>
      <c r="AE1203" t="s">
        <v>7298</v>
      </c>
    </row>
    <row r="1204" spans="1:31" x14ac:dyDescent="0.25">
      <c r="A1204" t="s">
        <v>31</v>
      </c>
      <c r="C1204" t="s">
        <v>3052</v>
      </c>
      <c r="D1204" t="s">
        <v>2809</v>
      </c>
      <c r="E1204" t="s">
        <v>34</v>
      </c>
      <c r="F1204" t="s">
        <v>35</v>
      </c>
      <c r="G1204">
        <v>2000</v>
      </c>
      <c r="H1204" t="s">
        <v>36</v>
      </c>
      <c r="I1204" t="s">
        <v>3148</v>
      </c>
      <c r="J1204" t="s">
        <v>31</v>
      </c>
      <c r="K1204" t="s">
        <v>38</v>
      </c>
      <c r="L1204" t="s">
        <v>172</v>
      </c>
      <c r="M1204" t="s">
        <v>173</v>
      </c>
      <c r="N1204" t="s">
        <v>780</v>
      </c>
      <c r="O1204" t="s">
        <v>2067</v>
      </c>
      <c r="P1204" t="s">
        <v>3149</v>
      </c>
      <c r="Q1204" t="s">
        <v>3150</v>
      </c>
      <c r="T1204">
        <v>37.334184999999998</v>
      </c>
      <c r="U1204">
        <v>-121.891637</v>
      </c>
      <c r="V1204">
        <f>SUM(W1204:X1204)+(Y1204*0.8)+(Z1204*0.4)</f>
        <v>4</v>
      </c>
      <c r="W1204">
        <v>4</v>
      </c>
      <c r="X1204">
        <v>0</v>
      </c>
      <c r="Y1204">
        <v>0</v>
      </c>
      <c r="Z1204">
        <v>0</v>
      </c>
      <c r="AA1204" t="s">
        <v>43</v>
      </c>
      <c r="AB1204">
        <v>4</v>
      </c>
      <c r="AD1204" t="s">
        <v>3151</v>
      </c>
      <c r="AE1204" t="s">
        <v>3152</v>
      </c>
    </row>
    <row r="1205" spans="1:31" x14ac:dyDescent="0.25">
      <c r="A1205" t="s">
        <v>31</v>
      </c>
      <c r="C1205" t="s">
        <v>1780</v>
      </c>
      <c r="D1205" t="s">
        <v>1781</v>
      </c>
      <c r="E1205" t="s">
        <v>34</v>
      </c>
      <c r="F1205" t="s">
        <v>66</v>
      </c>
      <c r="G1205">
        <v>2000</v>
      </c>
      <c r="H1205" t="s">
        <v>36</v>
      </c>
      <c r="I1205" t="s">
        <v>1782</v>
      </c>
      <c r="J1205" t="s">
        <v>31</v>
      </c>
      <c r="K1205" t="s">
        <v>38</v>
      </c>
      <c r="L1205" t="s">
        <v>77</v>
      </c>
      <c r="M1205" t="s">
        <v>78</v>
      </c>
      <c r="N1205" t="s">
        <v>278</v>
      </c>
      <c r="O1205" t="s">
        <v>279</v>
      </c>
      <c r="P1205" t="s">
        <v>280</v>
      </c>
      <c r="S1205" t="s">
        <v>281</v>
      </c>
      <c r="T1205">
        <v>39.960746370000003</v>
      </c>
      <c r="U1205">
        <v>-75.160425785000001</v>
      </c>
      <c r="V1205">
        <f>SUM(W1205:X1205)+(Y1205*0.8)+(Z1205*0.4)</f>
        <v>4</v>
      </c>
      <c r="W1205">
        <v>4</v>
      </c>
      <c r="X1205">
        <v>0</v>
      </c>
      <c r="Y1205">
        <v>0</v>
      </c>
      <c r="Z1205">
        <v>0</v>
      </c>
      <c r="AA1205" t="s">
        <v>43</v>
      </c>
      <c r="AB1205">
        <v>3.95</v>
      </c>
      <c r="AD1205" t="s">
        <v>1783</v>
      </c>
      <c r="AE1205" t="s">
        <v>1784</v>
      </c>
    </row>
    <row r="1206" spans="1:31" x14ac:dyDescent="0.25">
      <c r="A1206" t="s">
        <v>31</v>
      </c>
      <c r="C1206" t="s">
        <v>32</v>
      </c>
      <c r="D1206" t="s">
        <v>33</v>
      </c>
      <c r="E1206" t="s">
        <v>34</v>
      </c>
      <c r="F1206" t="s">
        <v>35</v>
      </c>
      <c r="G1206">
        <v>2000</v>
      </c>
      <c r="H1206" t="s">
        <v>36</v>
      </c>
      <c r="I1206" t="s">
        <v>37</v>
      </c>
      <c r="J1206" t="s">
        <v>31</v>
      </c>
      <c r="K1206" t="s">
        <v>38</v>
      </c>
      <c r="L1206" t="s">
        <v>39</v>
      </c>
      <c r="M1206" t="s">
        <v>40</v>
      </c>
      <c r="N1206" t="s">
        <v>41</v>
      </c>
      <c r="O1206" t="s">
        <v>42</v>
      </c>
      <c r="Q1206" t="s">
        <v>42</v>
      </c>
      <c r="T1206">
        <v>40.828249405999998</v>
      </c>
      <c r="U1206">
        <v>-74.043517710000003</v>
      </c>
      <c r="V1206">
        <f>SUM(W1206:X1206)+(Y1206*0.8)+(Z1206*0.4)</f>
        <v>4</v>
      </c>
      <c r="W1206">
        <v>4</v>
      </c>
      <c r="X1206">
        <v>0</v>
      </c>
      <c r="Y1206">
        <v>0</v>
      </c>
      <c r="Z1206">
        <v>0</v>
      </c>
      <c r="AA1206" t="s">
        <v>43</v>
      </c>
      <c r="AB1206">
        <v>3.77</v>
      </c>
      <c r="AD1206" t="s">
        <v>44</v>
      </c>
      <c r="AE1206" t="s">
        <v>45</v>
      </c>
    </row>
    <row r="1207" spans="1:31" x14ac:dyDescent="0.25">
      <c r="A1207" t="s">
        <v>31</v>
      </c>
      <c r="C1207" t="s">
        <v>445</v>
      </c>
      <c r="D1207" t="s">
        <v>446</v>
      </c>
      <c r="E1207" t="s">
        <v>34</v>
      </c>
      <c r="F1207" t="s">
        <v>35</v>
      </c>
      <c r="G1207">
        <v>1993</v>
      </c>
      <c r="H1207" t="s">
        <v>36</v>
      </c>
      <c r="I1207" t="s">
        <v>447</v>
      </c>
      <c r="J1207" t="s">
        <v>31</v>
      </c>
      <c r="K1207" t="s">
        <v>38</v>
      </c>
      <c r="L1207" t="s">
        <v>448</v>
      </c>
      <c r="M1207" t="s">
        <v>449</v>
      </c>
      <c r="N1207" t="s">
        <v>450</v>
      </c>
      <c r="O1207" t="s">
        <v>451</v>
      </c>
      <c r="P1207" t="s">
        <v>452</v>
      </c>
      <c r="T1207">
        <v>39.052953520000003</v>
      </c>
      <c r="U1207">
        <v>-76.925721769999996</v>
      </c>
      <c r="V1207">
        <f>SUM(W1207:X1207)+(Y1207*0.8)+(Z1207*0.4)</f>
        <v>4</v>
      </c>
      <c r="W1207">
        <v>4</v>
      </c>
      <c r="X1207">
        <v>0</v>
      </c>
      <c r="Y1207">
        <v>0</v>
      </c>
      <c r="Z1207">
        <v>0</v>
      </c>
      <c r="AA1207" t="s">
        <v>43</v>
      </c>
      <c r="AB1207">
        <v>2</v>
      </c>
      <c r="AD1207" t="s">
        <v>453</v>
      </c>
      <c r="AE1207" t="s">
        <v>454</v>
      </c>
    </row>
    <row r="1208" spans="1:31" x14ac:dyDescent="0.25">
      <c r="A1208" t="s">
        <v>31</v>
      </c>
      <c r="C1208" t="s">
        <v>1699</v>
      </c>
      <c r="D1208" t="s">
        <v>1700</v>
      </c>
      <c r="E1208" t="s">
        <v>34</v>
      </c>
      <c r="F1208" t="s">
        <v>76</v>
      </c>
      <c r="G1208">
        <v>1990</v>
      </c>
      <c r="H1208" t="s">
        <v>36</v>
      </c>
      <c r="I1208" t="s">
        <v>1701</v>
      </c>
      <c r="J1208" t="s">
        <v>31</v>
      </c>
      <c r="K1208" t="s">
        <v>38</v>
      </c>
      <c r="L1208" t="s">
        <v>68</v>
      </c>
      <c r="M1208" t="s">
        <v>69</v>
      </c>
      <c r="N1208" t="s">
        <v>540</v>
      </c>
      <c r="O1208" t="s">
        <v>1700</v>
      </c>
      <c r="T1208">
        <v>32.666925999999997</v>
      </c>
      <c r="U1208">
        <v>-97.154753999999997</v>
      </c>
      <c r="V1208">
        <f>SUM(W1208:X1208)+(Y1208*0.8)+(Z1208*0.4)</f>
        <v>4</v>
      </c>
      <c r="W1208">
        <v>4</v>
      </c>
      <c r="X1208">
        <v>0</v>
      </c>
      <c r="Y1208">
        <v>0</v>
      </c>
      <c r="Z1208">
        <v>0</v>
      </c>
      <c r="AA1208" t="s">
        <v>43</v>
      </c>
      <c r="AB1208">
        <v>4</v>
      </c>
      <c r="AD1208" t="s">
        <v>1702</v>
      </c>
      <c r="AE1208" t="s">
        <v>1703</v>
      </c>
    </row>
    <row r="1209" spans="1:31" x14ac:dyDescent="0.25">
      <c r="A1209" t="s">
        <v>31</v>
      </c>
      <c r="C1209" t="s">
        <v>9628</v>
      </c>
      <c r="D1209" t="s">
        <v>9629</v>
      </c>
      <c r="E1209" t="s">
        <v>34</v>
      </c>
      <c r="F1209" t="s">
        <v>35</v>
      </c>
      <c r="G1209">
        <v>2006</v>
      </c>
      <c r="H1209" t="s">
        <v>36</v>
      </c>
      <c r="I1209" t="s">
        <v>9630</v>
      </c>
      <c r="J1209" t="s">
        <v>31</v>
      </c>
      <c r="K1209" t="s">
        <v>38</v>
      </c>
      <c r="L1209" t="s">
        <v>153</v>
      </c>
      <c r="M1209" t="s">
        <v>154</v>
      </c>
      <c r="N1209" t="s">
        <v>155</v>
      </c>
      <c r="O1209" t="s">
        <v>156</v>
      </c>
      <c r="P1209" t="s">
        <v>157</v>
      </c>
      <c r="Q1209" t="s">
        <v>9631</v>
      </c>
      <c r="T1209">
        <v>41.242820000000002</v>
      </c>
      <c r="U1209">
        <v>-96.016458</v>
      </c>
      <c r="V1209">
        <f>SUM(W1209:X1209)+(Y1209*0.8)+(Z1209*0.4)</f>
        <v>3.96</v>
      </c>
      <c r="W1209">
        <v>3.96</v>
      </c>
      <c r="X1209">
        <v>0</v>
      </c>
      <c r="Y1209">
        <v>0</v>
      </c>
      <c r="Z1209">
        <v>0</v>
      </c>
      <c r="AA1209" t="s">
        <v>43</v>
      </c>
      <c r="AB1209">
        <v>3.1389999999999998</v>
      </c>
      <c r="AD1209" t="s">
        <v>9632</v>
      </c>
      <c r="AE1209" t="s">
        <v>9633</v>
      </c>
    </row>
    <row r="1210" spans="1:31" x14ac:dyDescent="0.25">
      <c r="A1210" t="s">
        <v>31</v>
      </c>
      <c r="C1210" t="s">
        <v>2064</v>
      </c>
      <c r="D1210" t="s">
        <v>2230</v>
      </c>
      <c r="E1210" t="s">
        <v>34</v>
      </c>
      <c r="F1210" t="s">
        <v>35</v>
      </c>
      <c r="G1210">
        <v>2000</v>
      </c>
      <c r="H1210" t="s">
        <v>36</v>
      </c>
      <c r="I1210" t="s">
        <v>2231</v>
      </c>
      <c r="J1210" t="s">
        <v>31</v>
      </c>
      <c r="K1210" t="s">
        <v>38</v>
      </c>
      <c r="L1210" t="s">
        <v>843</v>
      </c>
      <c r="M1210" t="s">
        <v>1644</v>
      </c>
      <c r="N1210" t="s">
        <v>2232</v>
      </c>
      <c r="O1210" t="s">
        <v>2233</v>
      </c>
      <c r="P1210" t="s">
        <v>2234</v>
      </c>
      <c r="T1210">
        <v>47.441070000000003</v>
      </c>
      <c r="U1210">
        <v>-122.256</v>
      </c>
      <c r="V1210">
        <f>SUM(W1210:X1210)+(Y1210*0.8)+(Z1210*0.4)</f>
        <v>3.94</v>
      </c>
      <c r="W1210">
        <v>3.94</v>
      </c>
      <c r="X1210">
        <v>0</v>
      </c>
      <c r="Y1210">
        <v>0</v>
      </c>
      <c r="Z1210">
        <v>0</v>
      </c>
      <c r="AA1210" t="s">
        <v>43</v>
      </c>
      <c r="AB1210">
        <v>3.9359999999999999</v>
      </c>
      <c r="AD1210" t="s">
        <v>2235</v>
      </c>
      <c r="AE1210" t="s">
        <v>2236</v>
      </c>
    </row>
    <row r="1211" spans="1:31" x14ac:dyDescent="0.25">
      <c r="A1211" t="s">
        <v>31</v>
      </c>
      <c r="C1211" t="s">
        <v>4801</v>
      </c>
      <c r="D1211" t="s">
        <v>4829</v>
      </c>
      <c r="E1211" t="s">
        <v>34</v>
      </c>
      <c r="F1211" t="s">
        <v>66</v>
      </c>
      <c r="G1211">
        <v>2015</v>
      </c>
      <c r="H1211" t="s">
        <v>36</v>
      </c>
      <c r="I1211" t="s">
        <v>4830</v>
      </c>
      <c r="J1211" t="s">
        <v>31</v>
      </c>
      <c r="K1211" t="s">
        <v>38</v>
      </c>
      <c r="L1211" t="s">
        <v>251</v>
      </c>
      <c r="M1211" t="s">
        <v>252</v>
      </c>
      <c r="N1211" t="s">
        <v>253</v>
      </c>
      <c r="O1211" t="s">
        <v>4831</v>
      </c>
      <c r="P1211" t="s">
        <v>4832</v>
      </c>
      <c r="T1211">
        <v>42.528550000000003</v>
      </c>
      <c r="U1211">
        <v>-71.249532000000002</v>
      </c>
      <c r="V1211">
        <f>SUM(W1211:X1211)+(Y1211*0.8)+(Z1211*0.4)</f>
        <v>3.9000000000000004</v>
      </c>
      <c r="W1211">
        <v>1.5</v>
      </c>
      <c r="X1211">
        <v>0</v>
      </c>
      <c r="Y1211">
        <v>3</v>
      </c>
      <c r="Z1211">
        <v>0</v>
      </c>
      <c r="AA1211" t="s">
        <v>43</v>
      </c>
      <c r="AB1211">
        <v>1.49</v>
      </c>
      <c r="AD1211" t="s">
        <v>4833</v>
      </c>
      <c r="AE1211" t="s">
        <v>4834</v>
      </c>
    </row>
    <row r="1212" spans="1:31" x14ac:dyDescent="0.25">
      <c r="A1212" t="s">
        <v>31</v>
      </c>
      <c r="C1212" t="s">
        <v>6832</v>
      </c>
      <c r="D1212" t="s">
        <v>6878</v>
      </c>
      <c r="E1212" t="s">
        <v>34</v>
      </c>
      <c r="F1212" t="s">
        <v>35</v>
      </c>
      <c r="G1212">
        <v>2017</v>
      </c>
      <c r="H1212" t="s">
        <v>36</v>
      </c>
      <c r="I1212" t="s">
        <v>6879</v>
      </c>
      <c r="J1212" t="s">
        <v>31</v>
      </c>
      <c r="K1212" t="s">
        <v>38</v>
      </c>
      <c r="L1212" t="s">
        <v>1900</v>
      </c>
      <c r="M1212" t="s">
        <v>1901</v>
      </c>
      <c r="N1212" t="s">
        <v>5058</v>
      </c>
      <c r="O1212" t="s">
        <v>5056</v>
      </c>
      <c r="P1212" t="s">
        <v>6880</v>
      </c>
      <c r="T1212">
        <v>39.010166222999999</v>
      </c>
      <c r="U1212">
        <v>-94.504209075999995</v>
      </c>
      <c r="V1212">
        <f>SUM(W1212:X1212)+(Y1212*0.8)+(Z1212*0.4)</f>
        <v>3.9</v>
      </c>
      <c r="W1212">
        <v>3.9</v>
      </c>
      <c r="X1212">
        <v>0</v>
      </c>
      <c r="Y1212">
        <v>0</v>
      </c>
      <c r="Z1212">
        <v>0</v>
      </c>
      <c r="AA1212" t="s">
        <v>43</v>
      </c>
      <c r="AB1212">
        <v>1.95</v>
      </c>
      <c r="AC1212">
        <v>1.2</v>
      </c>
      <c r="AD1212" t="s">
        <v>6881</v>
      </c>
      <c r="AE1212" t="s">
        <v>6882</v>
      </c>
    </row>
    <row r="1213" spans="1:31" x14ac:dyDescent="0.25">
      <c r="A1213" t="s">
        <v>31</v>
      </c>
      <c r="C1213" t="s">
        <v>5181</v>
      </c>
      <c r="D1213" t="s">
        <v>3089</v>
      </c>
      <c r="E1213" t="s">
        <v>34</v>
      </c>
      <c r="F1213" t="s">
        <v>35</v>
      </c>
      <c r="G1213">
        <v>2003</v>
      </c>
      <c r="H1213" t="s">
        <v>36</v>
      </c>
      <c r="I1213" t="s">
        <v>5331</v>
      </c>
      <c r="J1213" t="s">
        <v>31</v>
      </c>
      <c r="K1213" t="s">
        <v>38</v>
      </c>
      <c r="L1213" t="s">
        <v>193</v>
      </c>
      <c r="M1213" t="s">
        <v>194</v>
      </c>
      <c r="N1213" t="s">
        <v>155</v>
      </c>
      <c r="O1213" t="s">
        <v>2128</v>
      </c>
      <c r="P1213" t="s">
        <v>2129</v>
      </c>
      <c r="T1213">
        <v>39.560277999999997</v>
      </c>
      <c r="U1213">
        <v>-104.85758199999999</v>
      </c>
      <c r="V1213">
        <f>SUM(W1213:X1213)+(Y1213*0.8)+(Z1213*0.4)</f>
        <v>3.84</v>
      </c>
      <c r="W1213">
        <v>3.6</v>
      </c>
      <c r="X1213">
        <v>0</v>
      </c>
      <c r="Y1213">
        <v>0</v>
      </c>
      <c r="Z1213">
        <v>0.6</v>
      </c>
      <c r="AA1213" t="s">
        <v>43</v>
      </c>
      <c r="AB1213">
        <v>1.5</v>
      </c>
      <c r="AC1213">
        <v>1.5</v>
      </c>
      <c r="AD1213" t="s">
        <v>5332</v>
      </c>
      <c r="AE1213" t="s">
        <v>5333</v>
      </c>
    </row>
    <row r="1214" spans="1:31" x14ac:dyDescent="0.25">
      <c r="A1214" t="s">
        <v>31</v>
      </c>
      <c r="C1214" t="s">
        <v>2387</v>
      </c>
      <c r="D1214" t="s">
        <v>2400</v>
      </c>
      <c r="E1214" t="s">
        <v>362</v>
      </c>
      <c r="F1214" t="s">
        <v>1611</v>
      </c>
      <c r="G1214">
        <v>2012</v>
      </c>
      <c r="H1214" t="s">
        <v>36</v>
      </c>
      <c r="I1214" t="s">
        <v>2401</v>
      </c>
      <c r="J1214" t="s">
        <v>31</v>
      </c>
      <c r="K1214" t="s">
        <v>38</v>
      </c>
      <c r="L1214" t="s">
        <v>383</v>
      </c>
      <c r="M1214" t="s">
        <v>384</v>
      </c>
      <c r="N1214" t="s">
        <v>2270</v>
      </c>
      <c r="O1214" t="s">
        <v>2271</v>
      </c>
      <c r="P1214" t="s">
        <v>2402</v>
      </c>
      <c r="S1214" t="s">
        <v>2403</v>
      </c>
      <c r="T1214">
        <v>35.142873151000003</v>
      </c>
      <c r="U1214">
        <v>-80.916281537000003</v>
      </c>
      <c r="V1214">
        <f>SUM(W1214:X1214)+(Y1214*0.8)+(Z1214*0.4)</f>
        <v>3.8</v>
      </c>
      <c r="W1214">
        <v>3</v>
      </c>
      <c r="X1214">
        <v>0</v>
      </c>
      <c r="Y1214">
        <v>1</v>
      </c>
      <c r="Z1214">
        <v>0</v>
      </c>
      <c r="AA1214" t="s">
        <v>43</v>
      </c>
      <c r="AB1214">
        <v>4</v>
      </c>
      <c r="AD1214" t="s">
        <v>2404</v>
      </c>
      <c r="AE1214" t="s">
        <v>2405</v>
      </c>
    </row>
    <row r="1215" spans="1:31" x14ac:dyDescent="0.25">
      <c r="A1215" t="s">
        <v>31</v>
      </c>
      <c r="C1215" t="s">
        <v>5765</v>
      </c>
      <c r="D1215" t="s">
        <v>3344</v>
      </c>
      <c r="E1215" t="s">
        <v>34</v>
      </c>
      <c r="F1215" t="s">
        <v>35</v>
      </c>
      <c r="G1215">
        <v>2008</v>
      </c>
      <c r="H1215" t="s">
        <v>36</v>
      </c>
      <c r="I1215" t="s">
        <v>5784</v>
      </c>
      <c r="J1215" t="s">
        <v>31</v>
      </c>
      <c r="K1215" t="s">
        <v>38</v>
      </c>
      <c r="L1215" t="s">
        <v>317</v>
      </c>
      <c r="M1215" t="s">
        <v>318</v>
      </c>
      <c r="N1215" t="s">
        <v>3361</v>
      </c>
      <c r="O1215" t="s">
        <v>3362</v>
      </c>
      <c r="P1215" t="s">
        <v>3363</v>
      </c>
      <c r="Q1215" t="s">
        <v>5785</v>
      </c>
      <c r="T1215">
        <v>39.315882178000003</v>
      </c>
      <c r="U1215">
        <v>-84.449636522000006</v>
      </c>
      <c r="V1215">
        <f>SUM(W1215:X1215)+(Y1215*0.8)+(Z1215*0.4)</f>
        <v>3.8</v>
      </c>
      <c r="W1215">
        <v>3.8</v>
      </c>
      <c r="X1215">
        <v>0</v>
      </c>
      <c r="Y1215">
        <v>0</v>
      </c>
      <c r="Z1215">
        <v>0</v>
      </c>
      <c r="AA1215" t="s">
        <v>43</v>
      </c>
      <c r="AB1215">
        <v>1.9</v>
      </c>
      <c r="AC1215">
        <v>1.6</v>
      </c>
      <c r="AD1215" t="s">
        <v>5786</v>
      </c>
      <c r="AE1215" t="s">
        <v>5787</v>
      </c>
    </row>
    <row r="1216" spans="1:31" x14ac:dyDescent="0.25">
      <c r="A1216" t="s">
        <v>31</v>
      </c>
      <c r="C1216" t="s">
        <v>3052</v>
      </c>
      <c r="D1216" t="s">
        <v>3153</v>
      </c>
      <c r="E1216" t="s">
        <v>34</v>
      </c>
      <c r="F1216" t="s">
        <v>35</v>
      </c>
      <c r="G1216">
        <v>2006</v>
      </c>
      <c r="H1216" t="s">
        <v>36</v>
      </c>
      <c r="I1216" t="s">
        <v>3154</v>
      </c>
      <c r="J1216" t="s">
        <v>31</v>
      </c>
      <c r="K1216" t="s">
        <v>38</v>
      </c>
      <c r="L1216" t="s">
        <v>172</v>
      </c>
      <c r="M1216" t="s">
        <v>173</v>
      </c>
      <c r="N1216" t="s">
        <v>780</v>
      </c>
      <c r="O1216" t="s">
        <v>3155</v>
      </c>
      <c r="P1216" t="s">
        <v>3156</v>
      </c>
      <c r="T1216">
        <v>37.405622000000001</v>
      </c>
      <c r="U1216">
        <v>-121.916247</v>
      </c>
      <c r="V1216">
        <f>SUM(W1216:X1216)+(Y1216*0.8)+(Z1216*0.4)</f>
        <v>3.8</v>
      </c>
      <c r="W1216">
        <v>3.8</v>
      </c>
      <c r="X1216">
        <v>0</v>
      </c>
      <c r="Y1216">
        <v>0</v>
      </c>
      <c r="Z1216">
        <v>0</v>
      </c>
      <c r="AA1216" t="s">
        <v>43</v>
      </c>
      <c r="AB1216">
        <v>3.58</v>
      </c>
      <c r="AD1216" t="s">
        <v>3157</v>
      </c>
      <c r="AE1216" t="s">
        <v>3158</v>
      </c>
    </row>
    <row r="1217" spans="1:31" x14ac:dyDescent="0.25">
      <c r="A1217" t="s">
        <v>31</v>
      </c>
      <c r="C1217" t="s">
        <v>5181</v>
      </c>
      <c r="D1217" t="s">
        <v>5324</v>
      </c>
      <c r="E1217" t="s">
        <v>34</v>
      </c>
      <c r="F1217" t="s">
        <v>35</v>
      </c>
      <c r="G1217">
        <v>1999</v>
      </c>
      <c r="H1217" t="s">
        <v>36</v>
      </c>
      <c r="I1217" t="s">
        <v>5325</v>
      </c>
      <c r="J1217" t="s">
        <v>31</v>
      </c>
      <c r="K1217" t="s">
        <v>38</v>
      </c>
      <c r="L1217" t="s">
        <v>242</v>
      </c>
      <c r="M1217" t="s">
        <v>243</v>
      </c>
      <c r="N1217" t="s">
        <v>244</v>
      </c>
      <c r="O1217" t="s">
        <v>2653</v>
      </c>
      <c r="P1217" t="s">
        <v>2654</v>
      </c>
      <c r="Q1217" t="s">
        <v>2655</v>
      </c>
      <c r="T1217">
        <v>38.908597999999998</v>
      </c>
      <c r="U1217">
        <v>-77.220554000000007</v>
      </c>
      <c r="V1217">
        <f>SUM(W1217:X1217)+(Y1217*0.8)+(Z1217*0.4)</f>
        <v>3.8</v>
      </c>
      <c r="W1217">
        <v>3.8</v>
      </c>
      <c r="X1217">
        <v>0</v>
      </c>
      <c r="Y1217">
        <v>0</v>
      </c>
      <c r="Z1217">
        <v>0</v>
      </c>
      <c r="AA1217" t="s">
        <v>43</v>
      </c>
      <c r="AB1217">
        <v>3.78</v>
      </c>
      <c r="AC1217">
        <v>1.5</v>
      </c>
      <c r="AD1217" t="s">
        <v>5326</v>
      </c>
      <c r="AE1217" t="s">
        <v>5327</v>
      </c>
    </row>
    <row r="1218" spans="1:31" x14ac:dyDescent="0.25">
      <c r="A1218" t="s">
        <v>31</v>
      </c>
      <c r="C1218" t="s">
        <v>8673</v>
      </c>
      <c r="D1218" t="s">
        <v>2770</v>
      </c>
      <c r="E1218" t="s">
        <v>34</v>
      </c>
      <c r="F1218" t="s">
        <v>35</v>
      </c>
      <c r="G1218">
        <v>2010</v>
      </c>
      <c r="H1218" t="s">
        <v>36</v>
      </c>
      <c r="I1218" t="s">
        <v>8685</v>
      </c>
      <c r="J1218" t="s">
        <v>31</v>
      </c>
      <c r="K1218" t="s">
        <v>38</v>
      </c>
      <c r="L1218" t="s">
        <v>828</v>
      </c>
      <c r="M1218" t="s">
        <v>829</v>
      </c>
      <c r="N1218" t="s">
        <v>2769</v>
      </c>
      <c r="O1218" t="s">
        <v>4889</v>
      </c>
      <c r="P1218" t="s">
        <v>4890</v>
      </c>
      <c r="Q1218" t="s">
        <v>4889</v>
      </c>
      <c r="T1218">
        <v>44.877231561000002</v>
      </c>
      <c r="U1218">
        <v>-93.407487123999999</v>
      </c>
      <c r="V1218">
        <f>SUM(W1218:X1218)+(Y1218*0.8)+(Z1218*0.4)</f>
        <v>3.78</v>
      </c>
      <c r="W1218">
        <v>3.78</v>
      </c>
      <c r="X1218">
        <v>0</v>
      </c>
      <c r="Y1218">
        <v>0</v>
      </c>
      <c r="Z1218">
        <v>0</v>
      </c>
      <c r="AA1218" t="s">
        <v>43</v>
      </c>
      <c r="AB1218">
        <v>3.42</v>
      </c>
      <c r="AD1218" t="s">
        <v>8686</v>
      </c>
      <c r="AE1218" t="s">
        <v>8687</v>
      </c>
    </row>
    <row r="1219" spans="1:31" x14ac:dyDescent="0.25">
      <c r="A1219" t="s">
        <v>31</v>
      </c>
      <c r="C1219" t="s">
        <v>5765</v>
      </c>
      <c r="D1219" t="s">
        <v>5796</v>
      </c>
      <c r="E1219" t="s">
        <v>34</v>
      </c>
      <c r="F1219" t="s">
        <v>35</v>
      </c>
      <c r="G1219">
        <v>2011</v>
      </c>
      <c r="H1219" t="s">
        <v>36</v>
      </c>
      <c r="I1219" t="s">
        <v>5797</v>
      </c>
      <c r="J1219" t="s">
        <v>31</v>
      </c>
      <c r="K1219" t="s">
        <v>38</v>
      </c>
      <c r="L1219" t="s">
        <v>68</v>
      </c>
      <c r="M1219" t="s">
        <v>69</v>
      </c>
      <c r="N1219" t="s">
        <v>547</v>
      </c>
      <c r="O1219" t="s">
        <v>295</v>
      </c>
      <c r="P1219" t="s">
        <v>5798</v>
      </c>
      <c r="T1219">
        <v>32.994946356</v>
      </c>
      <c r="U1219">
        <v>-96.752280803999994</v>
      </c>
      <c r="V1219">
        <f>SUM(W1219:X1219)+(Y1219*0.8)+(Z1219*0.4)</f>
        <v>3.75</v>
      </c>
      <c r="W1219">
        <v>3.75</v>
      </c>
      <c r="X1219">
        <v>0</v>
      </c>
      <c r="Y1219">
        <v>0</v>
      </c>
      <c r="Z1219">
        <v>0</v>
      </c>
      <c r="AA1219" t="s">
        <v>43</v>
      </c>
      <c r="AB1219">
        <v>3.03</v>
      </c>
      <c r="AC1219">
        <v>1.4</v>
      </c>
      <c r="AD1219" t="s">
        <v>5799</v>
      </c>
      <c r="AE1219" t="s">
        <v>5800</v>
      </c>
    </row>
    <row r="1220" spans="1:31" x14ac:dyDescent="0.25">
      <c r="A1220" t="s">
        <v>31</v>
      </c>
      <c r="C1220" t="s">
        <v>3710</v>
      </c>
      <c r="D1220" t="s">
        <v>3897</v>
      </c>
      <c r="E1220" t="s">
        <v>34</v>
      </c>
      <c r="F1220" t="s">
        <v>35</v>
      </c>
      <c r="G1220">
        <v>2011</v>
      </c>
      <c r="H1220" t="s">
        <v>36</v>
      </c>
      <c r="I1220" t="s">
        <v>3898</v>
      </c>
      <c r="J1220" t="s">
        <v>31</v>
      </c>
      <c r="K1220" t="s">
        <v>38</v>
      </c>
      <c r="L1220" t="s">
        <v>143</v>
      </c>
      <c r="M1220" t="s">
        <v>144</v>
      </c>
      <c r="N1220" t="s">
        <v>3891</v>
      </c>
      <c r="O1220" t="s">
        <v>2037</v>
      </c>
      <c r="P1220" t="s">
        <v>3892</v>
      </c>
      <c r="Q1220" t="s">
        <v>3893</v>
      </c>
      <c r="S1220" t="s">
        <v>3899</v>
      </c>
      <c r="T1220">
        <v>39.760103158</v>
      </c>
      <c r="U1220">
        <v>-86.170518243000004</v>
      </c>
      <c r="V1220">
        <f>SUM(W1220:X1220)+(Y1220*0.8)+(Z1220*0.4)</f>
        <v>3.75</v>
      </c>
      <c r="W1220">
        <v>3.75</v>
      </c>
      <c r="X1220">
        <v>0</v>
      </c>
      <c r="Y1220">
        <v>0</v>
      </c>
      <c r="Z1220">
        <v>0</v>
      </c>
      <c r="AA1220" t="s">
        <v>43</v>
      </c>
      <c r="AB1220">
        <v>3.75</v>
      </c>
      <c r="AD1220" t="s">
        <v>3900</v>
      </c>
      <c r="AE1220" t="s">
        <v>3901</v>
      </c>
    </row>
    <row r="1221" spans="1:31" x14ac:dyDescent="0.25">
      <c r="A1221" t="s">
        <v>31</v>
      </c>
      <c r="C1221" t="s">
        <v>10406</v>
      </c>
      <c r="D1221" t="s">
        <v>10524</v>
      </c>
      <c r="E1221" t="s">
        <v>34</v>
      </c>
      <c r="F1221" t="s">
        <v>35</v>
      </c>
      <c r="G1221">
        <v>2013</v>
      </c>
      <c r="H1221" t="s">
        <v>36</v>
      </c>
      <c r="I1221" t="s">
        <v>10525</v>
      </c>
      <c r="J1221" t="s">
        <v>31</v>
      </c>
      <c r="K1221" t="s">
        <v>38</v>
      </c>
      <c r="L1221" t="s">
        <v>383</v>
      </c>
      <c r="M1221" t="s">
        <v>384</v>
      </c>
      <c r="N1221" t="s">
        <v>385</v>
      </c>
      <c r="O1221" t="s">
        <v>386</v>
      </c>
      <c r="P1221" t="s">
        <v>3436</v>
      </c>
      <c r="S1221" t="s">
        <v>2469</v>
      </c>
      <c r="T1221">
        <v>35.896755112999998</v>
      </c>
      <c r="U1221">
        <v>-78.878658412999997</v>
      </c>
      <c r="V1221">
        <f>SUM(W1221:X1221)+(Y1221*0.8)+(Z1221*0.4)</f>
        <v>3.7</v>
      </c>
      <c r="W1221">
        <v>3.7</v>
      </c>
      <c r="X1221">
        <v>0</v>
      </c>
      <c r="Y1221">
        <v>0</v>
      </c>
      <c r="Z1221">
        <v>0</v>
      </c>
      <c r="AA1221" t="s">
        <v>43</v>
      </c>
      <c r="AB1221">
        <v>3</v>
      </c>
      <c r="AD1221" t="s">
        <v>10526</v>
      </c>
      <c r="AE1221" t="s">
        <v>10527</v>
      </c>
    </row>
    <row r="1222" spans="1:31" x14ac:dyDescent="0.25">
      <c r="A1222" t="s">
        <v>31</v>
      </c>
      <c r="C1222" t="s">
        <v>5181</v>
      </c>
      <c r="D1222" t="s">
        <v>5218</v>
      </c>
      <c r="E1222" t="s">
        <v>34</v>
      </c>
      <c r="F1222" t="s">
        <v>43</v>
      </c>
      <c r="G1222">
        <v>2011</v>
      </c>
      <c r="H1222" t="s">
        <v>36</v>
      </c>
      <c r="I1222" t="s">
        <v>5219</v>
      </c>
      <c r="J1222" t="s">
        <v>31</v>
      </c>
      <c r="K1222" t="s">
        <v>38</v>
      </c>
      <c r="L1222" t="s">
        <v>242</v>
      </c>
      <c r="M1222" t="s">
        <v>243</v>
      </c>
      <c r="N1222" t="s">
        <v>748</v>
      </c>
      <c r="O1222" t="s">
        <v>3220</v>
      </c>
      <c r="P1222" t="s">
        <v>2551</v>
      </c>
      <c r="T1222">
        <v>38.455587999999999</v>
      </c>
      <c r="U1222">
        <v>-77.976292000000001</v>
      </c>
      <c r="V1222">
        <f>SUM(W1222:X1222)+(Y1222*0.8)+(Z1222*0.4)</f>
        <v>3.7</v>
      </c>
      <c r="W1222">
        <v>3.7</v>
      </c>
      <c r="X1222">
        <v>0</v>
      </c>
      <c r="Y1222">
        <v>0</v>
      </c>
      <c r="Z1222">
        <v>0</v>
      </c>
      <c r="AA1222" t="s">
        <v>43</v>
      </c>
      <c r="AB1222">
        <v>3.6</v>
      </c>
      <c r="AD1222" t="s">
        <v>5220</v>
      </c>
      <c r="AE1222" t="s">
        <v>5221</v>
      </c>
    </row>
    <row r="1223" spans="1:31" x14ac:dyDescent="0.25">
      <c r="A1223" t="s">
        <v>31</v>
      </c>
      <c r="C1223" t="s">
        <v>4801</v>
      </c>
      <c r="D1223" t="s">
        <v>4986</v>
      </c>
      <c r="E1223" t="s">
        <v>34</v>
      </c>
      <c r="F1223" t="s">
        <v>66</v>
      </c>
      <c r="G1223">
        <v>2014</v>
      </c>
      <c r="H1223" t="s">
        <v>36</v>
      </c>
      <c r="I1223" t="s">
        <v>4987</v>
      </c>
      <c r="J1223" t="s">
        <v>31</v>
      </c>
      <c r="K1223" t="s">
        <v>38</v>
      </c>
      <c r="L1223" t="s">
        <v>133</v>
      </c>
      <c r="M1223" t="s">
        <v>134</v>
      </c>
      <c r="N1223" t="s">
        <v>419</v>
      </c>
      <c r="O1223" t="s">
        <v>420</v>
      </c>
      <c r="P1223" t="s">
        <v>421</v>
      </c>
      <c r="T1223">
        <v>45.551723953</v>
      </c>
      <c r="U1223">
        <v>-122.915298596</v>
      </c>
      <c r="V1223">
        <f>SUM(W1223:X1223)+(Y1223*0.8)+(Z1223*0.4)</f>
        <v>3.65</v>
      </c>
      <c r="W1223">
        <v>3.65</v>
      </c>
      <c r="X1223">
        <v>0</v>
      </c>
      <c r="Y1223">
        <v>0</v>
      </c>
      <c r="Z1223">
        <v>0</v>
      </c>
      <c r="AA1223" t="s">
        <v>43</v>
      </c>
      <c r="AB1223">
        <v>3.48</v>
      </c>
      <c r="AD1223" t="s">
        <v>4988</v>
      </c>
      <c r="AE1223" t="s">
        <v>4989</v>
      </c>
    </row>
    <row r="1224" spans="1:31" x14ac:dyDescent="0.25">
      <c r="A1224" t="s">
        <v>31</v>
      </c>
      <c r="C1224" t="s">
        <v>3686</v>
      </c>
      <c r="D1224" t="s">
        <v>115</v>
      </c>
      <c r="E1224" t="s">
        <v>34</v>
      </c>
      <c r="F1224" t="s">
        <v>35</v>
      </c>
      <c r="G1224">
        <v>2014</v>
      </c>
      <c r="H1224" t="s">
        <v>36</v>
      </c>
      <c r="I1224" t="s">
        <v>3687</v>
      </c>
      <c r="J1224" t="s">
        <v>31</v>
      </c>
      <c r="K1224" t="s">
        <v>38</v>
      </c>
      <c r="L1224" t="s">
        <v>112</v>
      </c>
      <c r="M1224" t="s">
        <v>113</v>
      </c>
      <c r="N1224" t="s">
        <v>114</v>
      </c>
      <c r="O1224" t="s">
        <v>115</v>
      </c>
      <c r="P1224" t="s">
        <v>3688</v>
      </c>
      <c r="S1224" t="s">
        <v>3689</v>
      </c>
      <c r="T1224">
        <v>43.043698999999997</v>
      </c>
      <c r="U1224">
        <v>-87.953958999999998</v>
      </c>
      <c r="V1224">
        <f>SUM(W1224:X1224)+(Y1224*0.8)+(Z1224*0.4)</f>
        <v>3.6399999999999997</v>
      </c>
      <c r="W1224">
        <v>1.4</v>
      </c>
      <c r="X1224">
        <v>0</v>
      </c>
      <c r="Y1224">
        <v>2.8</v>
      </c>
      <c r="Z1224">
        <v>0</v>
      </c>
      <c r="AA1224" t="s">
        <v>43</v>
      </c>
      <c r="AB1224">
        <v>0.7</v>
      </c>
      <c r="AC1224">
        <v>1.28</v>
      </c>
      <c r="AD1224" t="s">
        <v>3690</v>
      </c>
      <c r="AE1224" t="s">
        <v>3691</v>
      </c>
    </row>
    <row r="1225" spans="1:31" x14ac:dyDescent="0.25">
      <c r="A1225" t="s">
        <v>31</v>
      </c>
      <c r="C1225" t="s">
        <v>10037</v>
      </c>
      <c r="D1225" t="s">
        <v>10072</v>
      </c>
      <c r="E1225" t="s">
        <v>34</v>
      </c>
      <c r="F1225" t="s">
        <v>76</v>
      </c>
      <c r="G1225">
        <v>2017</v>
      </c>
      <c r="H1225" t="s">
        <v>36</v>
      </c>
      <c r="I1225" t="s">
        <v>10073</v>
      </c>
      <c r="J1225" t="s">
        <v>31</v>
      </c>
      <c r="K1225" t="s">
        <v>38</v>
      </c>
      <c r="L1225" t="s">
        <v>828</v>
      </c>
      <c r="M1225" t="s">
        <v>829</v>
      </c>
      <c r="N1225" t="s">
        <v>2544</v>
      </c>
      <c r="O1225" t="s">
        <v>2545</v>
      </c>
      <c r="P1225" t="s">
        <v>2546</v>
      </c>
      <c r="Q1225" t="s">
        <v>2545</v>
      </c>
      <c r="T1225">
        <v>44.807193390000002</v>
      </c>
      <c r="U1225">
        <v>-93.636903011000001</v>
      </c>
      <c r="V1225">
        <f>SUM(W1225:X1225)+(Y1225*0.8)+(Z1225*0.4)</f>
        <v>3.6</v>
      </c>
      <c r="W1225">
        <v>3.6</v>
      </c>
      <c r="X1225">
        <v>0</v>
      </c>
      <c r="Y1225">
        <v>0</v>
      </c>
      <c r="Z1225">
        <v>0</v>
      </c>
      <c r="AA1225" t="s">
        <v>43</v>
      </c>
      <c r="AB1225">
        <v>3.6</v>
      </c>
      <c r="AD1225" t="s">
        <v>10074</v>
      </c>
      <c r="AE1225" t="s">
        <v>10075</v>
      </c>
    </row>
    <row r="1226" spans="1:31" x14ac:dyDescent="0.25">
      <c r="A1226" t="s">
        <v>31</v>
      </c>
      <c r="C1226" t="s">
        <v>7116</v>
      </c>
      <c r="D1226" t="s">
        <v>7132</v>
      </c>
      <c r="E1226" t="s">
        <v>34</v>
      </c>
      <c r="F1226" t="s">
        <v>35</v>
      </c>
      <c r="G1226">
        <v>2017</v>
      </c>
      <c r="H1226" t="s">
        <v>36</v>
      </c>
      <c r="I1226" t="s">
        <v>7133</v>
      </c>
      <c r="J1226" t="s">
        <v>31</v>
      </c>
      <c r="K1226" t="s">
        <v>38</v>
      </c>
      <c r="L1226" t="s">
        <v>1433</v>
      </c>
      <c r="M1226" t="s">
        <v>1434</v>
      </c>
      <c r="N1226" t="s">
        <v>1711</v>
      </c>
      <c r="O1226" t="s">
        <v>7128</v>
      </c>
      <c r="P1226" t="s">
        <v>7129</v>
      </c>
      <c r="T1226">
        <v>41.666887371000001</v>
      </c>
      <c r="U1226">
        <v>-93.456040309000002</v>
      </c>
      <c r="V1226">
        <f>SUM(W1226:X1226)+(Y1226*0.8)+(Z1226*0.4)</f>
        <v>3.6</v>
      </c>
      <c r="W1226">
        <v>2</v>
      </c>
      <c r="X1226">
        <v>0</v>
      </c>
      <c r="Y1226">
        <v>2</v>
      </c>
      <c r="Z1226">
        <v>0</v>
      </c>
      <c r="AA1226" t="s">
        <v>43</v>
      </c>
      <c r="AB1226">
        <v>1</v>
      </c>
      <c r="AD1226" t="s">
        <v>7134</v>
      </c>
      <c r="AE1226" t="s">
        <v>7135</v>
      </c>
    </row>
    <row r="1227" spans="1:31" x14ac:dyDescent="0.25">
      <c r="A1227" t="s">
        <v>31</v>
      </c>
      <c r="C1227" t="s">
        <v>6832</v>
      </c>
      <c r="D1227" t="s">
        <v>6854</v>
      </c>
      <c r="E1227" t="s">
        <v>34</v>
      </c>
      <c r="F1227" t="s">
        <v>35</v>
      </c>
      <c r="G1227">
        <v>2015</v>
      </c>
      <c r="H1227" t="s">
        <v>36</v>
      </c>
      <c r="I1227" t="s">
        <v>6855</v>
      </c>
      <c r="J1227" t="s">
        <v>31</v>
      </c>
      <c r="K1227" t="s">
        <v>38</v>
      </c>
      <c r="L1227" t="s">
        <v>251</v>
      </c>
      <c r="M1227" t="s">
        <v>252</v>
      </c>
      <c r="N1227" t="s">
        <v>691</v>
      </c>
      <c r="O1227" t="s">
        <v>6856</v>
      </c>
      <c r="P1227" t="s">
        <v>6857</v>
      </c>
      <c r="T1227">
        <v>42.340468000000001</v>
      </c>
      <c r="U1227">
        <v>-71.639928999999995</v>
      </c>
      <c r="V1227">
        <f>SUM(W1227:X1227)+(Y1227*0.8)+(Z1227*0.4)</f>
        <v>3.6</v>
      </c>
      <c r="W1227">
        <v>3.6</v>
      </c>
      <c r="X1227">
        <v>0</v>
      </c>
      <c r="Y1227">
        <v>0</v>
      </c>
      <c r="Z1227">
        <v>0</v>
      </c>
      <c r="AA1227" t="s">
        <v>43</v>
      </c>
      <c r="AB1227">
        <v>2</v>
      </c>
      <c r="AD1227" t="s">
        <v>6858</v>
      </c>
      <c r="AE1227" t="s">
        <v>6859</v>
      </c>
    </row>
    <row r="1228" spans="1:31" x14ac:dyDescent="0.25">
      <c r="A1228" t="s">
        <v>31</v>
      </c>
      <c r="C1228" t="s">
        <v>7116</v>
      </c>
      <c r="D1228" t="s">
        <v>7143</v>
      </c>
      <c r="E1228" t="s">
        <v>34</v>
      </c>
      <c r="F1228" t="s">
        <v>35</v>
      </c>
      <c r="G1228">
        <v>2014</v>
      </c>
      <c r="H1228" t="s">
        <v>36</v>
      </c>
      <c r="I1228" t="s">
        <v>7144</v>
      </c>
      <c r="J1228" t="s">
        <v>31</v>
      </c>
      <c r="K1228" t="s">
        <v>38</v>
      </c>
      <c r="L1228" t="s">
        <v>828</v>
      </c>
      <c r="M1228" t="s">
        <v>829</v>
      </c>
      <c r="N1228" t="s">
        <v>2544</v>
      </c>
      <c r="O1228" t="s">
        <v>2545</v>
      </c>
      <c r="P1228" t="s">
        <v>2546</v>
      </c>
      <c r="Q1228" t="s">
        <v>2545</v>
      </c>
      <c r="T1228">
        <v>44.808357999999998</v>
      </c>
      <c r="U1228">
        <v>-93.637397000000007</v>
      </c>
      <c r="V1228">
        <f>SUM(W1228:X1228)+(Y1228*0.8)+(Z1228*0.4)</f>
        <v>3.6</v>
      </c>
      <c r="W1228">
        <v>3.6</v>
      </c>
      <c r="X1228">
        <v>0</v>
      </c>
      <c r="Y1228">
        <v>0</v>
      </c>
      <c r="Z1228">
        <v>0</v>
      </c>
      <c r="AA1228" t="s">
        <v>43</v>
      </c>
      <c r="AB1228">
        <v>2.81</v>
      </c>
      <c r="AD1228" t="s">
        <v>7145</v>
      </c>
      <c r="AE1228" t="s">
        <v>7146</v>
      </c>
    </row>
    <row r="1229" spans="1:31" x14ac:dyDescent="0.25">
      <c r="A1229" t="s">
        <v>31</v>
      </c>
      <c r="C1229" t="s">
        <v>3849</v>
      </c>
      <c r="D1229" t="s">
        <v>4487</v>
      </c>
      <c r="E1229" t="s">
        <v>34</v>
      </c>
      <c r="F1229" t="s">
        <v>66</v>
      </c>
      <c r="G1229">
        <v>2012</v>
      </c>
      <c r="H1229" t="s">
        <v>36</v>
      </c>
      <c r="I1229" t="s">
        <v>4488</v>
      </c>
      <c r="J1229" t="s">
        <v>31</v>
      </c>
      <c r="K1229" t="s">
        <v>38</v>
      </c>
      <c r="L1229" t="s">
        <v>68</v>
      </c>
      <c r="M1229" t="s">
        <v>69</v>
      </c>
      <c r="N1229" t="s">
        <v>297</v>
      </c>
      <c r="O1229" t="s">
        <v>295</v>
      </c>
      <c r="P1229" t="s">
        <v>298</v>
      </c>
      <c r="S1229" t="s">
        <v>3849</v>
      </c>
      <c r="T1229">
        <v>32.964855999999997</v>
      </c>
      <c r="U1229">
        <v>-96.715847999999994</v>
      </c>
      <c r="V1229">
        <f>SUM(W1229:X1229)+(Y1229*0.8)+(Z1229*0.4)</f>
        <v>3.6</v>
      </c>
      <c r="W1229">
        <v>3.6</v>
      </c>
      <c r="X1229">
        <v>0</v>
      </c>
      <c r="Y1229">
        <v>0</v>
      </c>
      <c r="Z1229">
        <v>0</v>
      </c>
      <c r="AA1229" t="s">
        <v>43</v>
      </c>
      <c r="AB1229">
        <v>3.6</v>
      </c>
      <c r="AD1229" t="s">
        <v>4489</v>
      </c>
      <c r="AE1229" t="s">
        <v>4490</v>
      </c>
    </row>
    <row r="1230" spans="1:31" x14ac:dyDescent="0.25">
      <c r="A1230" t="s">
        <v>31</v>
      </c>
      <c r="C1230" t="s">
        <v>2064</v>
      </c>
      <c r="D1230" t="s">
        <v>2126</v>
      </c>
      <c r="E1230" t="s">
        <v>34</v>
      </c>
      <c r="F1230" t="s">
        <v>43</v>
      </c>
      <c r="G1230">
        <v>2003</v>
      </c>
      <c r="H1230" t="s">
        <v>36</v>
      </c>
      <c r="I1230" t="s">
        <v>2127</v>
      </c>
      <c r="J1230" t="s">
        <v>31</v>
      </c>
      <c r="K1230" t="s">
        <v>38</v>
      </c>
      <c r="L1230" t="s">
        <v>193</v>
      </c>
      <c r="M1230" t="s">
        <v>194</v>
      </c>
      <c r="N1230" t="s">
        <v>155</v>
      </c>
      <c r="O1230" t="s">
        <v>2128</v>
      </c>
      <c r="P1230" t="s">
        <v>2129</v>
      </c>
      <c r="T1230">
        <v>39.560940000000002</v>
      </c>
      <c r="U1230">
        <v>-104.83068</v>
      </c>
      <c r="V1230">
        <f>SUM(W1230:X1230)+(Y1230*0.8)+(Z1230*0.4)</f>
        <v>3.6</v>
      </c>
      <c r="W1230">
        <v>3.6</v>
      </c>
      <c r="X1230">
        <v>0</v>
      </c>
      <c r="Y1230">
        <v>0</v>
      </c>
      <c r="Z1230">
        <v>0</v>
      </c>
      <c r="AA1230" t="s">
        <v>43</v>
      </c>
      <c r="AB1230">
        <v>1.5</v>
      </c>
      <c r="AD1230" t="s">
        <v>2130</v>
      </c>
      <c r="AE1230" t="s">
        <v>2131</v>
      </c>
    </row>
    <row r="1231" spans="1:31" x14ac:dyDescent="0.25">
      <c r="A1231" t="s">
        <v>31</v>
      </c>
      <c r="C1231" t="s">
        <v>2064</v>
      </c>
      <c r="D1231" t="s">
        <v>2138</v>
      </c>
      <c r="E1231" t="s">
        <v>34</v>
      </c>
      <c r="F1231" t="s">
        <v>35</v>
      </c>
      <c r="G1231">
        <v>2001</v>
      </c>
      <c r="H1231" t="s">
        <v>36</v>
      </c>
      <c r="I1231" t="s">
        <v>2139</v>
      </c>
      <c r="J1231" t="s">
        <v>31</v>
      </c>
      <c r="K1231" t="s">
        <v>38</v>
      </c>
      <c r="L1231" t="s">
        <v>39</v>
      </c>
      <c r="M1231" t="s">
        <v>40</v>
      </c>
      <c r="N1231" t="s">
        <v>2140</v>
      </c>
      <c r="O1231" t="s">
        <v>2141</v>
      </c>
      <c r="P1231" t="s">
        <v>2142</v>
      </c>
      <c r="Q1231" t="s">
        <v>2143</v>
      </c>
      <c r="T1231">
        <v>40.719295129000002</v>
      </c>
      <c r="U1231">
        <v>-74.033294243</v>
      </c>
      <c r="V1231">
        <f>SUM(W1231:X1231)+(Y1231*0.8)+(Z1231*0.4)</f>
        <v>3.6</v>
      </c>
      <c r="W1231">
        <v>3.6</v>
      </c>
      <c r="X1231">
        <v>0</v>
      </c>
      <c r="Y1231">
        <v>0</v>
      </c>
      <c r="Z1231">
        <v>0</v>
      </c>
      <c r="AA1231" t="s">
        <v>43</v>
      </c>
      <c r="AB1231">
        <v>3.6</v>
      </c>
      <c r="AD1231" t="s">
        <v>2144</v>
      </c>
      <c r="AE1231" t="s">
        <v>2145</v>
      </c>
    </row>
    <row r="1232" spans="1:31" x14ac:dyDescent="0.25">
      <c r="A1232" t="s">
        <v>31</v>
      </c>
      <c r="C1232" t="s">
        <v>4801</v>
      </c>
      <c r="D1232" t="s">
        <v>4974</v>
      </c>
      <c r="E1232" t="s">
        <v>34</v>
      </c>
      <c r="F1232" t="s">
        <v>35</v>
      </c>
      <c r="G1232">
        <v>2013</v>
      </c>
      <c r="H1232" t="s">
        <v>36</v>
      </c>
      <c r="I1232" t="s">
        <v>4975</v>
      </c>
      <c r="J1232" t="s">
        <v>31</v>
      </c>
      <c r="K1232" t="s">
        <v>38</v>
      </c>
      <c r="L1232" t="s">
        <v>68</v>
      </c>
      <c r="M1232" t="s">
        <v>69</v>
      </c>
      <c r="N1232" t="s">
        <v>1951</v>
      </c>
      <c r="O1232" t="s">
        <v>4976</v>
      </c>
      <c r="P1232" t="s">
        <v>4977</v>
      </c>
      <c r="S1232" t="s">
        <v>4978</v>
      </c>
      <c r="T1232">
        <v>29.794695999999998</v>
      </c>
      <c r="U1232">
        <v>-95.745386999999994</v>
      </c>
      <c r="V1232">
        <f>SUM(W1232:X1232)+(Y1232*0.8)+(Z1232*0.4)</f>
        <v>3.56</v>
      </c>
      <c r="W1232">
        <v>0.9</v>
      </c>
      <c r="X1232">
        <v>0</v>
      </c>
      <c r="Y1232">
        <v>0</v>
      </c>
      <c r="Z1232">
        <v>6.65</v>
      </c>
      <c r="AA1232" t="s">
        <v>43</v>
      </c>
      <c r="AB1232">
        <v>0.87</v>
      </c>
      <c r="AD1232" t="s">
        <v>4979</v>
      </c>
      <c r="AE1232" t="s">
        <v>4980</v>
      </c>
    </row>
    <row r="1233" spans="1:31" x14ac:dyDescent="0.25">
      <c r="A1233" t="s">
        <v>31</v>
      </c>
      <c r="C1233" t="s">
        <v>3710</v>
      </c>
      <c r="D1233" t="s">
        <v>3902</v>
      </c>
      <c r="E1233" t="s">
        <v>34</v>
      </c>
      <c r="F1233" t="s">
        <v>35</v>
      </c>
      <c r="G1233">
        <v>2000</v>
      </c>
      <c r="H1233" t="s">
        <v>36</v>
      </c>
      <c r="I1233" t="s">
        <v>3903</v>
      </c>
      <c r="J1233" t="s">
        <v>31</v>
      </c>
      <c r="K1233" t="s">
        <v>38</v>
      </c>
      <c r="L1233" t="s">
        <v>1457</v>
      </c>
      <c r="M1233" t="s">
        <v>1458</v>
      </c>
      <c r="N1233" t="s">
        <v>319</v>
      </c>
      <c r="O1233" t="s">
        <v>3904</v>
      </c>
      <c r="P1233" t="s">
        <v>3905</v>
      </c>
      <c r="T1233">
        <v>36.059659406999998</v>
      </c>
      <c r="U1233">
        <v>-115.146814924</v>
      </c>
      <c r="V1233">
        <f>SUM(W1233:X1233)+(Y1233*0.8)+(Z1233*0.4)</f>
        <v>3.55</v>
      </c>
      <c r="W1233">
        <v>3.55</v>
      </c>
      <c r="X1233">
        <v>0</v>
      </c>
      <c r="Y1233">
        <v>0</v>
      </c>
      <c r="Z1233">
        <v>0</v>
      </c>
      <c r="AA1233" t="s">
        <v>43</v>
      </c>
      <c r="AB1233">
        <v>3.55</v>
      </c>
      <c r="AD1233" t="s">
        <v>3906</v>
      </c>
      <c r="AE1233" t="s">
        <v>3907</v>
      </c>
    </row>
    <row r="1234" spans="1:31" x14ac:dyDescent="0.25">
      <c r="A1234" t="s">
        <v>31</v>
      </c>
      <c r="C1234" t="s">
        <v>4801</v>
      </c>
      <c r="D1234" t="s">
        <v>4853</v>
      </c>
      <c r="E1234" t="s">
        <v>34</v>
      </c>
      <c r="F1234" t="s">
        <v>35</v>
      </c>
      <c r="G1234">
        <v>2014</v>
      </c>
      <c r="H1234" t="s">
        <v>36</v>
      </c>
      <c r="I1234" t="s">
        <v>4854</v>
      </c>
      <c r="J1234" t="s">
        <v>31</v>
      </c>
      <c r="K1234" t="s">
        <v>38</v>
      </c>
      <c r="L1234" t="s">
        <v>49</v>
      </c>
      <c r="M1234" t="s">
        <v>50</v>
      </c>
      <c r="N1234" t="s">
        <v>51</v>
      </c>
      <c r="O1234" t="s">
        <v>52</v>
      </c>
      <c r="P1234" t="s">
        <v>4855</v>
      </c>
      <c r="Q1234" t="s">
        <v>52</v>
      </c>
      <c r="S1234" t="s">
        <v>54</v>
      </c>
      <c r="T1234">
        <v>42.447656000000002</v>
      </c>
      <c r="U1234">
        <v>-83.262921000000006</v>
      </c>
      <c r="V1234">
        <f>SUM(W1234:X1234)+(Y1234*0.8)+(Z1234*0.4)</f>
        <v>3.54</v>
      </c>
      <c r="W1234">
        <v>1.3</v>
      </c>
      <c r="X1234">
        <v>0</v>
      </c>
      <c r="Y1234">
        <v>2.8</v>
      </c>
      <c r="Z1234">
        <v>0</v>
      </c>
      <c r="AA1234" t="s">
        <v>43</v>
      </c>
      <c r="AB1234">
        <v>1.3</v>
      </c>
      <c r="AD1234" t="s">
        <v>4856</v>
      </c>
      <c r="AE1234" t="s">
        <v>4857</v>
      </c>
    </row>
    <row r="1235" spans="1:31" x14ac:dyDescent="0.25">
      <c r="A1235" t="s">
        <v>31</v>
      </c>
      <c r="C1235" t="s">
        <v>3312</v>
      </c>
      <c r="D1235" t="s">
        <v>3350</v>
      </c>
      <c r="E1235" t="s">
        <v>34</v>
      </c>
      <c r="F1235" t="s">
        <v>35</v>
      </c>
      <c r="G1235">
        <v>2005</v>
      </c>
      <c r="H1235" t="s">
        <v>36</v>
      </c>
      <c r="I1235" t="s">
        <v>3351</v>
      </c>
      <c r="J1235" t="s">
        <v>31</v>
      </c>
      <c r="K1235" t="s">
        <v>38</v>
      </c>
      <c r="L1235" t="s">
        <v>317</v>
      </c>
      <c r="M1235" t="s">
        <v>318</v>
      </c>
      <c r="N1235" t="s">
        <v>3352</v>
      </c>
      <c r="O1235" t="s">
        <v>3353</v>
      </c>
      <c r="P1235" t="s">
        <v>3354</v>
      </c>
      <c r="Q1235" t="s">
        <v>3355</v>
      </c>
      <c r="S1235" t="s">
        <v>3356</v>
      </c>
      <c r="T1235">
        <v>39.303856306999997</v>
      </c>
      <c r="U1235">
        <v>-84.311192261000002</v>
      </c>
      <c r="V1235">
        <f>SUM(W1235:X1235)+(Y1235*0.8)+(Z1235*0.4)</f>
        <v>3.54</v>
      </c>
      <c r="W1235">
        <v>1.7</v>
      </c>
      <c r="X1235">
        <v>0</v>
      </c>
      <c r="Y1235">
        <v>2.2999999999999998</v>
      </c>
      <c r="Z1235">
        <v>0</v>
      </c>
      <c r="AA1235" t="s">
        <v>43</v>
      </c>
      <c r="AB1235">
        <v>1.7</v>
      </c>
      <c r="AD1235" t="s">
        <v>3357</v>
      </c>
      <c r="AE1235" t="s">
        <v>3358</v>
      </c>
    </row>
    <row r="1236" spans="1:31" x14ac:dyDescent="0.25">
      <c r="A1236" t="s">
        <v>31</v>
      </c>
      <c r="C1236" t="s">
        <v>424</v>
      </c>
      <c r="D1236" t="s">
        <v>425</v>
      </c>
      <c r="E1236" t="s">
        <v>362</v>
      </c>
      <c r="F1236" t="s">
        <v>381</v>
      </c>
      <c r="G1236">
        <v>2016</v>
      </c>
      <c r="H1236" t="s">
        <v>36</v>
      </c>
      <c r="I1236" t="s">
        <v>426</v>
      </c>
      <c r="J1236" t="s">
        <v>31</v>
      </c>
      <c r="K1236" t="s">
        <v>38</v>
      </c>
      <c r="L1236" t="s">
        <v>123</v>
      </c>
      <c r="M1236" t="s">
        <v>124</v>
      </c>
      <c r="N1236" t="s">
        <v>217</v>
      </c>
      <c r="O1236" t="s">
        <v>218</v>
      </c>
      <c r="P1236" t="s">
        <v>427</v>
      </c>
      <c r="T1236">
        <v>43.028781135000003</v>
      </c>
      <c r="U1236">
        <v>-78.802534588</v>
      </c>
      <c r="V1236">
        <f>SUM(W1236:X1236)+(Y1236*0.8)+(Z1236*0.4)</f>
        <v>3.5</v>
      </c>
      <c r="W1236">
        <v>3.5</v>
      </c>
      <c r="X1236">
        <v>0</v>
      </c>
      <c r="Y1236">
        <v>0</v>
      </c>
      <c r="Z1236">
        <v>0</v>
      </c>
      <c r="AA1236" t="s">
        <v>43</v>
      </c>
      <c r="AB1236">
        <v>3.5</v>
      </c>
      <c r="AD1236" t="s">
        <v>428</v>
      </c>
      <c r="AE1236" t="s">
        <v>429</v>
      </c>
    </row>
    <row r="1237" spans="1:31" x14ac:dyDescent="0.25">
      <c r="A1237" t="s">
        <v>31</v>
      </c>
      <c r="C1237" t="s">
        <v>6381</v>
      </c>
      <c r="D1237" t="s">
        <v>6451</v>
      </c>
      <c r="E1237" t="s">
        <v>34</v>
      </c>
      <c r="F1237" t="s">
        <v>35</v>
      </c>
      <c r="G1237">
        <v>2015</v>
      </c>
      <c r="H1237" t="s">
        <v>36</v>
      </c>
      <c r="I1237" t="s">
        <v>6452</v>
      </c>
      <c r="J1237" t="s">
        <v>31</v>
      </c>
      <c r="K1237" t="s">
        <v>38</v>
      </c>
      <c r="L1237" t="s">
        <v>77</v>
      </c>
      <c r="M1237" t="s">
        <v>78</v>
      </c>
      <c r="N1237" t="s">
        <v>278</v>
      </c>
      <c r="O1237" t="s">
        <v>279</v>
      </c>
      <c r="P1237" t="s">
        <v>280</v>
      </c>
      <c r="S1237" t="s">
        <v>281</v>
      </c>
      <c r="T1237">
        <v>39.962516256999997</v>
      </c>
      <c r="U1237">
        <v>-75.164050118999995</v>
      </c>
      <c r="V1237">
        <f>SUM(W1237:X1237)+(Y1237*0.8)+(Z1237*0.4)</f>
        <v>3.5</v>
      </c>
      <c r="W1237">
        <v>1.5</v>
      </c>
      <c r="X1237">
        <v>2</v>
      </c>
      <c r="Y1237">
        <v>0</v>
      </c>
      <c r="Z1237">
        <v>0</v>
      </c>
      <c r="AA1237" t="s">
        <v>43</v>
      </c>
      <c r="AB1237">
        <v>3.4</v>
      </c>
      <c r="AD1237" t="s">
        <v>6453</v>
      </c>
      <c r="AE1237" t="s">
        <v>6454</v>
      </c>
    </row>
    <row r="1238" spans="1:31" x14ac:dyDescent="0.25">
      <c r="A1238" t="s">
        <v>31</v>
      </c>
      <c r="B1238" t="s">
        <v>11350</v>
      </c>
      <c r="C1238" t="s">
        <v>647</v>
      </c>
      <c r="D1238" t="s">
        <v>1073</v>
      </c>
      <c r="E1238" t="s">
        <v>362</v>
      </c>
      <c r="F1238" t="s">
        <v>649</v>
      </c>
      <c r="G1238">
        <v>2015</v>
      </c>
      <c r="H1238" t="s">
        <v>36</v>
      </c>
      <c r="I1238" t="s">
        <v>1074</v>
      </c>
      <c r="J1238" t="s">
        <v>31</v>
      </c>
      <c r="K1238" t="s">
        <v>38</v>
      </c>
      <c r="L1238" t="s">
        <v>242</v>
      </c>
      <c r="M1238" t="s">
        <v>243</v>
      </c>
      <c r="N1238" t="s">
        <v>405</v>
      </c>
      <c r="P1238" t="s">
        <v>527</v>
      </c>
      <c r="T1238">
        <v>38.990817432999997</v>
      </c>
      <c r="U1238">
        <v>-77.437452074999996</v>
      </c>
      <c r="V1238">
        <f>SUM(W1238:X1238)+(Y1238*0.8)+(Z1238*0.4)</f>
        <v>3.5</v>
      </c>
      <c r="W1238">
        <v>3.5</v>
      </c>
      <c r="X1238">
        <v>0</v>
      </c>
      <c r="Y1238">
        <v>0</v>
      </c>
      <c r="Z1238">
        <v>0</v>
      </c>
      <c r="AA1238" t="s">
        <v>43</v>
      </c>
      <c r="AB1238">
        <v>3.5</v>
      </c>
      <c r="AD1238" t="s">
        <v>1075</v>
      </c>
      <c r="AE1238" t="s">
        <v>1076</v>
      </c>
    </row>
    <row r="1239" spans="1:31" x14ac:dyDescent="0.25">
      <c r="A1239" t="s">
        <v>31</v>
      </c>
      <c r="C1239" t="s">
        <v>5676</v>
      </c>
      <c r="D1239" t="s">
        <v>5680</v>
      </c>
      <c r="E1239" t="s">
        <v>362</v>
      </c>
      <c r="F1239" t="s">
        <v>630</v>
      </c>
      <c r="G1239">
        <v>2014</v>
      </c>
      <c r="H1239" t="s">
        <v>36</v>
      </c>
      <c r="I1239" t="s">
        <v>5681</v>
      </c>
      <c r="J1239" t="s">
        <v>31</v>
      </c>
      <c r="K1239" t="s">
        <v>38</v>
      </c>
      <c r="L1239" t="s">
        <v>153</v>
      </c>
      <c r="M1239" t="s">
        <v>154</v>
      </c>
      <c r="N1239" t="s">
        <v>5682</v>
      </c>
      <c r="O1239" t="s">
        <v>5680</v>
      </c>
      <c r="P1239" t="s">
        <v>5683</v>
      </c>
      <c r="Q1239" t="s">
        <v>5680</v>
      </c>
      <c r="T1239">
        <v>41.165550105999998</v>
      </c>
      <c r="U1239">
        <v>-96.083591471000005</v>
      </c>
      <c r="V1239">
        <f>SUM(W1239:X1239)+(Y1239*0.8)+(Z1239*0.4)</f>
        <v>3.5</v>
      </c>
      <c r="W1239">
        <v>3.5</v>
      </c>
      <c r="X1239">
        <v>0</v>
      </c>
      <c r="Y1239">
        <v>0</v>
      </c>
      <c r="Z1239">
        <v>0</v>
      </c>
      <c r="AA1239" t="s">
        <v>43</v>
      </c>
      <c r="AB1239">
        <v>3.5</v>
      </c>
      <c r="AD1239" t="s">
        <v>5684</v>
      </c>
      <c r="AE1239" t="s">
        <v>5685</v>
      </c>
    </row>
    <row r="1240" spans="1:31" x14ac:dyDescent="0.25">
      <c r="A1240" t="s">
        <v>31</v>
      </c>
      <c r="B1240" t="s">
        <v>11350</v>
      </c>
      <c r="C1240" t="s">
        <v>647</v>
      </c>
      <c r="D1240" t="s">
        <v>1036</v>
      </c>
      <c r="E1240" t="s">
        <v>362</v>
      </c>
      <c r="F1240" t="s">
        <v>649</v>
      </c>
      <c r="G1240">
        <v>2014</v>
      </c>
      <c r="H1240" t="s">
        <v>36</v>
      </c>
      <c r="I1240" t="s">
        <v>1037</v>
      </c>
      <c r="J1240" t="s">
        <v>31</v>
      </c>
      <c r="K1240" t="s">
        <v>38</v>
      </c>
      <c r="L1240" t="s">
        <v>242</v>
      </c>
      <c r="M1240" t="s">
        <v>243</v>
      </c>
      <c r="N1240" t="s">
        <v>405</v>
      </c>
      <c r="O1240" t="s">
        <v>526</v>
      </c>
      <c r="P1240" t="s">
        <v>527</v>
      </c>
      <c r="T1240">
        <v>38.990690094000001</v>
      </c>
      <c r="U1240">
        <v>-77.448814882999997</v>
      </c>
      <c r="V1240">
        <f>SUM(W1240:X1240)+(Y1240*0.8)+(Z1240*0.4)</f>
        <v>3.5</v>
      </c>
      <c r="W1240">
        <v>3.5</v>
      </c>
      <c r="X1240">
        <v>0</v>
      </c>
      <c r="Y1240">
        <v>0</v>
      </c>
      <c r="Z1240">
        <v>0</v>
      </c>
      <c r="AA1240" t="s">
        <v>43</v>
      </c>
      <c r="AB1240">
        <v>3.5</v>
      </c>
      <c r="AD1240" t="s">
        <v>1038</v>
      </c>
      <c r="AE1240" t="s">
        <v>1039</v>
      </c>
    </row>
    <row r="1241" spans="1:31" x14ac:dyDescent="0.25">
      <c r="A1241" t="s">
        <v>31</v>
      </c>
      <c r="C1241" t="s">
        <v>10406</v>
      </c>
      <c r="D1241" t="s">
        <v>10568</v>
      </c>
      <c r="E1241" t="s">
        <v>34</v>
      </c>
      <c r="F1241" t="s">
        <v>35</v>
      </c>
      <c r="G1241">
        <v>2013</v>
      </c>
      <c r="H1241" t="s">
        <v>36</v>
      </c>
      <c r="I1241" t="s">
        <v>10569</v>
      </c>
      <c r="J1241" t="s">
        <v>31</v>
      </c>
      <c r="K1241" t="s">
        <v>38</v>
      </c>
      <c r="L1241" t="s">
        <v>3818</v>
      </c>
      <c r="M1241" t="s">
        <v>3819</v>
      </c>
      <c r="N1241" t="s">
        <v>3820</v>
      </c>
      <c r="O1241" t="s">
        <v>3823</v>
      </c>
      <c r="P1241" t="s">
        <v>10570</v>
      </c>
      <c r="Q1241" t="s">
        <v>3823</v>
      </c>
      <c r="T1241">
        <v>38.941044927999997</v>
      </c>
      <c r="U1241">
        <v>-94.754991970999995</v>
      </c>
      <c r="V1241">
        <f>SUM(W1241:X1241)+(Y1241*0.8)+(Z1241*0.4)</f>
        <v>3.5</v>
      </c>
      <c r="W1241">
        <v>2.5</v>
      </c>
      <c r="X1241">
        <v>0</v>
      </c>
      <c r="Y1241">
        <v>0</v>
      </c>
      <c r="Z1241">
        <v>2.5</v>
      </c>
      <c r="AA1241" t="s">
        <v>43</v>
      </c>
      <c r="AB1241">
        <v>1.9</v>
      </c>
      <c r="AC1241">
        <v>1.57</v>
      </c>
      <c r="AD1241" t="s">
        <v>10571</v>
      </c>
      <c r="AE1241" t="s">
        <v>10572</v>
      </c>
    </row>
    <row r="1242" spans="1:31" x14ac:dyDescent="0.25">
      <c r="A1242" t="s">
        <v>31</v>
      </c>
      <c r="C1242" t="s">
        <v>1880</v>
      </c>
      <c r="D1242" t="s">
        <v>1881</v>
      </c>
      <c r="E1242" t="s">
        <v>362</v>
      </c>
      <c r="F1242" t="s">
        <v>630</v>
      </c>
      <c r="G1242">
        <v>2010</v>
      </c>
      <c r="H1242" t="s">
        <v>36</v>
      </c>
      <c r="I1242" t="s">
        <v>1882</v>
      </c>
      <c r="J1242" t="s">
        <v>31</v>
      </c>
      <c r="K1242" t="s">
        <v>38</v>
      </c>
      <c r="L1242" t="s">
        <v>1883</v>
      </c>
      <c r="M1242" t="s">
        <v>1884</v>
      </c>
      <c r="N1242" t="s">
        <v>1885</v>
      </c>
      <c r="O1242" t="s">
        <v>1886</v>
      </c>
      <c r="P1242" t="s">
        <v>1887</v>
      </c>
      <c r="T1242">
        <v>33.43155196</v>
      </c>
      <c r="U1242">
        <v>-86.883948770999993</v>
      </c>
      <c r="V1242">
        <f>SUM(W1242:X1242)+(Y1242*0.8)+(Z1242*0.4)</f>
        <v>3.5</v>
      </c>
      <c r="W1242">
        <v>3.5</v>
      </c>
      <c r="X1242">
        <v>0</v>
      </c>
      <c r="Y1242">
        <v>0</v>
      </c>
      <c r="Z1242">
        <v>0</v>
      </c>
      <c r="AA1242" t="s">
        <v>43</v>
      </c>
      <c r="AB1242">
        <v>3.5</v>
      </c>
      <c r="AD1242" t="s">
        <v>1888</v>
      </c>
      <c r="AE1242" t="s">
        <v>1889</v>
      </c>
    </row>
    <row r="1243" spans="1:31" x14ac:dyDescent="0.25">
      <c r="A1243" t="s">
        <v>31</v>
      </c>
      <c r="B1243" t="s">
        <v>11350</v>
      </c>
      <c r="C1243" t="s">
        <v>7857</v>
      </c>
      <c r="D1243" t="s">
        <v>7885</v>
      </c>
      <c r="E1243" t="s">
        <v>362</v>
      </c>
      <c r="F1243" t="s">
        <v>649</v>
      </c>
      <c r="G1243">
        <v>2002</v>
      </c>
      <c r="H1243" t="s">
        <v>36</v>
      </c>
      <c r="I1243" t="s">
        <v>7886</v>
      </c>
      <c r="J1243" t="s">
        <v>31</v>
      </c>
      <c r="K1243" t="s">
        <v>38</v>
      </c>
      <c r="L1243" t="s">
        <v>843</v>
      </c>
      <c r="M1243" t="s">
        <v>1644</v>
      </c>
      <c r="N1243" t="s">
        <v>2239</v>
      </c>
      <c r="O1243" t="s">
        <v>7887</v>
      </c>
      <c r="P1243" t="s">
        <v>7888</v>
      </c>
      <c r="T1243">
        <v>47.79456046</v>
      </c>
      <c r="U1243">
        <v>-122.19670342800001</v>
      </c>
      <c r="V1243">
        <f>SUM(W1243:X1243)+(Y1243*0.8)+(Z1243*0.4)</f>
        <v>3.5</v>
      </c>
      <c r="W1243">
        <v>3.5</v>
      </c>
      <c r="X1243">
        <v>0</v>
      </c>
      <c r="Y1243">
        <v>0</v>
      </c>
      <c r="Z1243">
        <v>0</v>
      </c>
      <c r="AA1243" t="s">
        <v>43</v>
      </c>
      <c r="AB1243">
        <v>3.5</v>
      </c>
      <c r="AD1243" t="s">
        <v>7889</v>
      </c>
      <c r="AE1243" t="s">
        <v>7890</v>
      </c>
    </row>
    <row r="1244" spans="1:31" x14ac:dyDescent="0.25">
      <c r="A1244" t="s">
        <v>31</v>
      </c>
      <c r="C1244" t="s">
        <v>10406</v>
      </c>
      <c r="D1244" t="s">
        <v>10474</v>
      </c>
      <c r="E1244" t="s">
        <v>34</v>
      </c>
      <c r="F1244" t="s">
        <v>35</v>
      </c>
      <c r="G1244">
        <v>2001</v>
      </c>
      <c r="H1244" t="s">
        <v>36</v>
      </c>
      <c r="I1244" t="s">
        <v>10475</v>
      </c>
      <c r="J1244" t="s">
        <v>31</v>
      </c>
      <c r="K1244" t="s">
        <v>38</v>
      </c>
      <c r="L1244" t="s">
        <v>123</v>
      </c>
      <c r="M1244" t="s">
        <v>124</v>
      </c>
      <c r="N1244" t="s">
        <v>5383</v>
      </c>
      <c r="O1244" t="s">
        <v>10470</v>
      </c>
      <c r="P1244" t="s">
        <v>10471</v>
      </c>
      <c r="T1244">
        <v>41.088374502999997</v>
      </c>
      <c r="U1244">
        <v>-73.815336772999999</v>
      </c>
      <c r="V1244">
        <f>SUM(W1244:X1244)+(Y1244*0.8)+(Z1244*0.4)</f>
        <v>3.5</v>
      </c>
      <c r="W1244">
        <v>3.5</v>
      </c>
      <c r="X1244">
        <v>0</v>
      </c>
      <c r="Y1244">
        <v>0</v>
      </c>
      <c r="Z1244">
        <v>0</v>
      </c>
      <c r="AA1244" t="s">
        <v>43</v>
      </c>
      <c r="AB1244">
        <v>3.35</v>
      </c>
      <c r="AD1244" t="s">
        <v>10476</v>
      </c>
      <c r="AE1244" t="s">
        <v>10477</v>
      </c>
    </row>
    <row r="1245" spans="1:31" x14ac:dyDescent="0.25">
      <c r="A1245" t="s">
        <v>31</v>
      </c>
      <c r="C1245" t="s">
        <v>7218</v>
      </c>
      <c r="D1245" t="s">
        <v>7339</v>
      </c>
      <c r="E1245" t="s">
        <v>34</v>
      </c>
      <c r="F1245" t="s">
        <v>35</v>
      </c>
      <c r="G1245">
        <v>1999</v>
      </c>
      <c r="H1245" t="s">
        <v>36</v>
      </c>
      <c r="I1245" t="s">
        <v>7340</v>
      </c>
      <c r="J1245" t="s">
        <v>31</v>
      </c>
      <c r="K1245" t="s">
        <v>38</v>
      </c>
      <c r="L1245" t="s">
        <v>68</v>
      </c>
      <c r="M1245" t="s">
        <v>69</v>
      </c>
      <c r="N1245" t="s">
        <v>297</v>
      </c>
      <c r="O1245" t="s">
        <v>2116</v>
      </c>
      <c r="P1245" t="s">
        <v>3176</v>
      </c>
      <c r="T1245">
        <v>32.807411459999997</v>
      </c>
      <c r="U1245">
        <v>-96.868501713000001</v>
      </c>
      <c r="V1245">
        <f>SUM(W1245:X1245)+(Y1245*0.8)+(Z1245*0.4)</f>
        <v>3.5</v>
      </c>
      <c r="W1245">
        <v>3.5</v>
      </c>
      <c r="X1245">
        <v>0</v>
      </c>
      <c r="Y1245">
        <v>0</v>
      </c>
      <c r="Z1245">
        <v>0</v>
      </c>
      <c r="AA1245" t="s">
        <v>43</v>
      </c>
      <c r="AB1245">
        <v>3.5</v>
      </c>
      <c r="AD1245" t="s">
        <v>7341</v>
      </c>
      <c r="AE1245" t="s">
        <v>7342</v>
      </c>
    </row>
    <row r="1246" spans="1:31" x14ac:dyDescent="0.25">
      <c r="A1246" t="s">
        <v>31</v>
      </c>
      <c r="C1246" t="s">
        <v>5181</v>
      </c>
      <c r="D1246" t="s">
        <v>5414</v>
      </c>
      <c r="E1246" t="s">
        <v>34</v>
      </c>
      <c r="F1246" t="s">
        <v>35</v>
      </c>
      <c r="G1246">
        <v>1998</v>
      </c>
      <c r="H1246" t="s">
        <v>36</v>
      </c>
      <c r="I1246" t="s">
        <v>5415</v>
      </c>
      <c r="J1246" t="s">
        <v>31</v>
      </c>
      <c r="K1246" t="s">
        <v>38</v>
      </c>
      <c r="L1246" t="s">
        <v>123</v>
      </c>
      <c r="M1246" t="s">
        <v>124</v>
      </c>
      <c r="N1246" t="s">
        <v>270</v>
      </c>
      <c r="O1246" t="s">
        <v>123</v>
      </c>
      <c r="P1246" t="s">
        <v>2680</v>
      </c>
      <c r="Q1246" t="s">
        <v>2681</v>
      </c>
      <c r="S1246" t="s">
        <v>273</v>
      </c>
      <c r="T1246">
        <v>40.741463000000003</v>
      </c>
      <c r="U1246">
        <v>-74.003410000000002</v>
      </c>
      <c r="V1246">
        <f>SUM(W1246:X1246)+(Y1246*0.8)+(Z1246*0.4)</f>
        <v>3.5</v>
      </c>
      <c r="W1246">
        <v>3.5</v>
      </c>
      <c r="X1246">
        <v>0</v>
      </c>
      <c r="Y1246">
        <v>0</v>
      </c>
      <c r="Z1246">
        <v>0</v>
      </c>
      <c r="AA1246" t="s">
        <v>43</v>
      </c>
      <c r="AB1246">
        <v>3.35</v>
      </c>
      <c r="AD1246" t="s">
        <v>5416</v>
      </c>
      <c r="AE1246" t="s">
        <v>5417</v>
      </c>
    </row>
    <row r="1247" spans="1:31" x14ac:dyDescent="0.25">
      <c r="A1247" t="s">
        <v>31</v>
      </c>
      <c r="C1247" t="s">
        <v>4801</v>
      </c>
      <c r="D1247" t="s">
        <v>4887</v>
      </c>
      <c r="E1247" t="s">
        <v>34</v>
      </c>
      <c r="F1247" t="s">
        <v>66</v>
      </c>
      <c r="G1247">
        <v>2015</v>
      </c>
      <c r="H1247" t="s">
        <v>36</v>
      </c>
      <c r="I1247" t="s">
        <v>4888</v>
      </c>
      <c r="J1247" t="s">
        <v>31</v>
      </c>
      <c r="K1247" t="s">
        <v>38</v>
      </c>
      <c r="L1247" t="s">
        <v>828</v>
      </c>
      <c r="M1247" t="s">
        <v>829</v>
      </c>
      <c r="N1247" t="s">
        <v>2769</v>
      </c>
      <c r="O1247" t="s">
        <v>4889</v>
      </c>
      <c r="P1247" t="s">
        <v>4890</v>
      </c>
      <c r="Q1247" t="s">
        <v>4889</v>
      </c>
      <c r="T1247">
        <v>44.878805</v>
      </c>
      <c r="U1247">
        <v>-93.404196999999996</v>
      </c>
      <c r="V1247">
        <f>SUM(W1247:X1247)+(Y1247*0.8)+(Z1247*0.4)</f>
        <v>3.45</v>
      </c>
      <c r="W1247">
        <v>2.85</v>
      </c>
      <c r="X1247">
        <v>0</v>
      </c>
      <c r="Y1247">
        <v>0</v>
      </c>
      <c r="Z1247">
        <v>1.5</v>
      </c>
      <c r="AA1247" t="s">
        <v>43</v>
      </c>
      <c r="AB1247">
        <v>2.6</v>
      </c>
      <c r="AD1247" t="s">
        <v>4891</v>
      </c>
      <c r="AE1247" t="s">
        <v>4892</v>
      </c>
    </row>
    <row r="1248" spans="1:31" x14ac:dyDescent="0.25">
      <c r="A1248" t="s">
        <v>31</v>
      </c>
      <c r="C1248" t="s">
        <v>3849</v>
      </c>
      <c r="D1248" t="s">
        <v>4238</v>
      </c>
      <c r="E1248" t="s">
        <v>34</v>
      </c>
      <c r="F1248" t="s">
        <v>66</v>
      </c>
      <c r="G1248">
        <v>2010</v>
      </c>
      <c r="H1248" t="s">
        <v>36</v>
      </c>
      <c r="I1248" t="s">
        <v>4239</v>
      </c>
      <c r="J1248" t="s">
        <v>31</v>
      </c>
      <c r="K1248" t="s">
        <v>38</v>
      </c>
      <c r="L1248" t="s">
        <v>172</v>
      </c>
      <c r="M1248" t="s">
        <v>173</v>
      </c>
      <c r="N1248" t="s">
        <v>780</v>
      </c>
      <c r="O1248" t="s">
        <v>781</v>
      </c>
      <c r="P1248" t="s">
        <v>3145</v>
      </c>
      <c r="T1248">
        <v>37.375008999999999</v>
      </c>
      <c r="U1248">
        <v>-121.95816000000001</v>
      </c>
      <c r="V1248">
        <f>SUM(W1248:X1248)+(Y1248*0.8)+(Z1248*0.4)</f>
        <v>3.4</v>
      </c>
      <c r="W1248">
        <v>3.4</v>
      </c>
      <c r="X1248">
        <v>0</v>
      </c>
      <c r="Y1248">
        <v>0</v>
      </c>
      <c r="Z1248">
        <v>0</v>
      </c>
      <c r="AA1248" t="s">
        <v>43</v>
      </c>
      <c r="AB1248">
        <v>3.35</v>
      </c>
      <c r="AD1248" t="s">
        <v>4240</v>
      </c>
      <c r="AE1248" t="s">
        <v>4241</v>
      </c>
    </row>
    <row r="1249" spans="1:31" x14ac:dyDescent="0.25">
      <c r="A1249" t="s">
        <v>31</v>
      </c>
      <c r="C1249" t="s">
        <v>7116</v>
      </c>
      <c r="D1249" t="s">
        <v>7126</v>
      </c>
      <c r="E1249" t="s">
        <v>34</v>
      </c>
      <c r="F1249" t="s">
        <v>35</v>
      </c>
      <c r="G1249">
        <v>2007</v>
      </c>
      <c r="H1249" t="s">
        <v>36</v>
      </c>
      <c r="I1249" t="s">
        <v>7127</v>
      </c>
      <c r="J1249" t="s">
        <v>31</v>
      </c>
      <c r="K1249" t="s">
        <v>38</v>
      </c>
      <c r="L1249" t="s">
        <v>1433</v>
      </c>
      <c r="M1249" t="s">
        <v>1434</v>
      </c>
      <c r="N1249" t="s">
        <v>1711</v>
      </c>
      <c r="O1249" t="s">
        <v>7128</v>
      </c>
      <c r="P1249" t="s">
        <v>7129</v>
      </c>
      <c r="T1249">
        <v>41.667733161000001</v>
      </c>
      <c r="U1249">
        <v>-93.455498347000002</v>
      </c>
      <c r="V1249">
        <f>SUM(W1249:X1249)+(Y1249*0.8)+(Z1249*0.4)</f>
        <v>3.4</v>
      </c>
      <c r="W1249">
        <v>3.4</v>
      </c>
      <c r="X1249">
        <v>0</v>
      </c>
      <c r="Y1249">
        <v>0</v>
      </c>
      <c r="Z1249">
        <v>0</v>
      </c>
      <c r="AA1249" t="s">
        <v>43</v>
      </c>
      <c r="AB1249">
        <v>2.38</v>
      </c>
      <c r="AD1249" t="s">
        <v>7130</v>
      </c>
      <c r="AE1249" t="s">
        <v>7131</v>
      </c>
    </row>
    <row r="1250" spans="1:31" x14ac:dyDescent="0.25">
      <c r="A1250" t="s">
        <v>31</v>
      </c>
      <c r="C1250" t="s">
        <v>5181</v>
      </c>
      <c r="D1250" t="s">
        <v>5253</v>
      </c>
      <c r="E1250" t="s">
        <v>34</v>
      </c>
      <c r="F1250" t="s">
        <v>35</v>
      </c>
      <c r="G1250">
        <v>2000</v>
      </c>
      <c r="H1250" t="s">
        <v>36</v>
      </c>
      <c r="I1250" t="s">
        <v>5254</v>
      </c>
      <c r="J1250" t="s">
        <v>31</v>
      </c>
      <c r="K1250" t="s">
        <v>38</v>
      </c>
      <c r="L1250" t="s">
        <v>68</v>
      </c>
      <c r="M1250" t="s">
        <v>69</v>
      </c>
      <c r="N1250" t="s">
        <v>297</v>
      </c>
      <c r="O1250" t="s">
        <v>2357</v>
      </c>
      <c r="P1250" t="s">
        <v>5255</v>
      </c>
      <c r="T1250">
        <v>32.830297000000002</v>
      </c>
      <c r="U1250">
        <v>-96.912729999999996</v>
      </c>
      <c r="V1250">
        <f>SUM(W1250:X1250)+(Y1250*0.8)+(Z1250*0.4)</f>
        <v>3.4</v>
      </c>
      <c r="W1250">
        <v>3.4</v>
      </c>
      <c r="X1250">
        <v>0</v>
      </c>
      <c r="Y1250">
        <v>0</v>
      </c>
      <c r="Z1250">
        <v>0</v>
      </c>
      <c r="AA1250" t="s">
        <v>43</v>
      </c>
      <c r="AB1250">
        <v>3.4</v>
      </c>
      <c r="AD1250" t="s">
        <v>5256</v>
      </c>
      <c r="AE1250" t="s">
        <v>5257</v>
      </c>
    </row>
    <row r="1251" spans="1:31" x14ac:dyDescent="0.25">
      <c r="A1251" t="s">
        <v>31</v>
      </c>
      <c r="C1251" t="s">
        <v>10406</v>
      </c>
      <c r="D1251" t="s">
        <v>1373</v>
      </c>
      <c r="E1251" t="s">
        <v>34</v>
      </c>
      <c r="F1251" t="s">
        <v>35</v>
      </c>
      <c r="G1251">
        <v>2000</v>
      </c>
      <c r="H1251" t="s">
        <v>36</v>
      </c>
      <c r="I1251" t="s">
        <v>10520</v>
      </c>
      <c r="J1251" t="s">
        <v>31</v>
      </c>
      <c r="K1251" t="s">
        <v>38</v>
      </c>
      <c r="L1251" t="s">
        <v>383</v>
      </c>
      <c r="M1251" t="s">
        <v>384</v>
      </c>
      <c r="N1251" t="s">
        <v>1372</v>
      </c>
      <c r="O1251" t="s">
        <v>1373</v>
      </c>
      <c r="S1251" t="s">
        <v>10521</v>
      </c>
      <c r="T1251">
        <v>35.854544556</v>
      </c>
      <c r="U1251">
        <v>-78.597022441999997</v>
      </c>
      <c r="V1251">
        <f>SUM(W1251:X1251)+(Y1251*0.8)+(Z1251*0.4)</f>
        <v>3.36</v>
      </c>
      <c r="W1251">
        <v>3.36</v>
      </c>
      <c r="X1251">
        <v>0</v>
      </c>
      <c r="Y1251">
        <v>0</v>
      </c>
      <c r="Z1251">
        <v>0</v>
      </c>
      <c r="AA1251" t="s">
        <v>43</v>
      </c>
      <c r="AB1251">
        <v>2.7</v>
      </c>
      <c r="AD1251" t="s">
        <v>10522</v>
      </c>
      <c r="AE1251" t="s">
        <v>10523</v>
      </c>
    </row>
    <row r="1252" spans="1:31" x14ac:dyDescent="0.25">
      <c r="A1252" t="s">
        <v>31</v>
      </c>
      <c r="C1252" t="s">
        <v>10037</v>
      </c>
      <c r="D1252" t="s">
        <v>10064</v>
      </c>
      <c r="E1252" t="s">
        <v>34</v>
      </c>
      <c r="F1252" t="s">
        <v>35</v>
      </c>
      <c r="G1252">
        <v>2013</v>
      </c>
      <c r="H1252" t="s">
        <v>36</v>
      </c>
      <c r="I1252" t="s">
        <v>10065</v>
      </c>
      <c r="J1252" t="s">
        <v>31</v>
      </c>
      <c r="K1252" t="s">
        <v>38</v>
      </c>
      <c r="L1252" t="s">
        <v>68</v>
      </c>
      <c r="M1252" t="s">
        <v>69</v>
      </c>
      <c r="N1252" t="s">
        <v>3641</v>
      </c>
      <c r="O1252" t="s">
        <v>10066</v>
      </c>
      <c r="P1252" t="s">
        <v>10067</v>
      </c>
      <c r="Q1252" t="s">
        <v>10068</v>
      </c>
      <c r="S1252" t="s">
        <v>10069</v>
      </c>
      <c r="T1252">
        <v>30.177775</v>
      </c>
      <c r="U1252">
        <v>-95.486279999999994</v>
      </c>
      <c r="V1252">
        <f>SUM(W1252:X1252)+(Y1252*0.8)+(Z1252*0.4)</f>
        <v>3.3</v>
      </c>
      <c r="W1252">
        <v>3.3</v>
      </c>
      <c r="X1252">
        <v>0</v>
      </c>
      <c r="Y1252">
        <v>0</v>
      </c>
      <c r="Z1252">
        <v>0</v>
      </c>
      <c r="AA1252" t="s">
        <v>43</v>
      </c>
      <c r="AB1252">
        <v>2.2000000000000002</v>
      </c>
      <c r="AD1252" t="s">
        <v>10070</v>
      </c>
      <c r="AE1252" t="s">
        <v>10071</v>
      </c>
    </row>
    <row r="1253" spans="1:31" x14ac:dyDescent="0.25">
      <c r="A1253" t="s">
        <v>31</v>
      </c>
      <c r="C1253" t="s">
        <v>2460</v>
      </c>
      <c r="D1253" t="s">
        <v>2469</v>
      </c>
      <c r="E1253" t="s">
        <v>362</v>
      </c>
      <c r="F1253" t="s">
        <v>1611</v>
      </c>
      <c r="G1253">
        <v>2000</v>
      </c>
      <c r="H1253" t="s">
        <v>36</v>
      </c>
      <c r="I1253" t="s">
        <v>2477</v>
      </c>
      <c r="J1253" t="s">
        <v>31</v>
      </c>
      <c r="K1253" t="s">
        <v>38</v>
      </c>
      <c r="L1253" t="s">
        <v>383</v>
      </c>
      <c r="M1253" t="s">
        <v>384</v>
      </c>
      <c r="N1253" t="s">
        <v>1372</v>
      </c>
      <c r="P1253" t="s">
        <v>2468</v>
      </c>
      <c r="S1253" t="s">
        <v>2469</v>
      </c>
      <c r="T1253">
        <v>35.858718140999997</v>
      </c>
      <c r="U1253">
        <v>-78.875713266000005</v>
      </c>
      <c r="V1253">
        <f>SUM(W1253:X1253)+(Y1253*0.8)+(Z1253*0.4)</f>
        <v>3.3</v>
      </c>
      <c r="W1253">
        <v>3.3</v>
      </c>
      <c r="X1253">
        <v>0</v>
      </c>
      <c r="Y1253">
        <v>0</v>
      </c>
      <c r="Z1253">
        <v>0</v>
      </c>
      <c r="AA1253" t="s">
        <v>43</v>
      </c>
      <c r="AB1253">
        <v>3.3</v>
      </c>
      <c r="AD1253" t="s">
        <v>2478</v>
      </c>
      <c r="AE1253" t="s">
        <v>2479</v>
      </c>
    </row>
    <row r="1254" spans="1:31" x14ac:dyDescent="0.25">
      <c r="A1254" t="s">
        <v>31</v>
      </c>
      <c r="C1254" t="s">
        <v>9606</v>
      </c>
      <c r="D1254" t="s">
        <v>9610</v>
      </c>
      <c r="E1254" t="s">
        <v>34</v>
      </c>
      <c r="F1254" t="s">
        <v>35</v>
      </c>
      <c r="G1254">
        <v>2006</v>
      </c>
      <c r="H1254" t="s">
        <v>36</v>
      </c>
      <c r="I1254" t="s">
        <v>9611</v>
      </c>
      <c r="J1254" t="s">
        <v>31</v>
      </c>
      <c r="K1254" t="s">
        <v>38</v>
      </c>
      <c r="L1254" t="s">
        <v>86</v>
      </c>
      <c r="M1254" t="s">
        <v>87</v>
      </c>
      <c r="N1254" t="s">
        <v>2215</v>
      </c>
      <c r="O1254" t="s">
        <v>9612</v>
      </c>
      <c r="P1254" t="s">
        <v>9613</v>
      </c>
      <c r="T1254">
        <v>41.876012879000001</v>
      </c>
      <c r="U1254">
        <v>-88.249055081999998</v>
      </c>
      <c r="V1254">
        <f>SUM(W1254:X1254)+(Y1254*0.8)+(Z1254*0.4)</f>
        <v>3.24</v>
      </c>
      <c r="W1254">
        <v>1.8</v>
      </c>
      <c r="X1254">
        <v>0</v>
      </c>
      <c r="Y1254">
        <v>1.8</v>
      </c>
      <c r="Z1254">
        <v>0</v>
      </c>
      <c r="AA1254" t="s">
        <v>43</v>
      </c>
      <c r="AB1254">
        <v>1.35</v>
      </c>
      <c r="AD1254" t="s">
        <v>9614</v>
      </c>
      <c r="AE1254" t="s">
        <v>9615</v>
      </c>
    </row>
    <row r="1255" spans="1:31" x14ac:dyDescent="0.25">
      <c r="A1255" t="s">
        <v>31</v>
      </c>
      <c r="C1255" t="s">
        <v>9202</v>
      </c>
      <c r="D1255" t="s">
        <v>9215</v>
      </c>
      <c r="E1255" t="s">
        <v>34</v>
      </c>
      <c r="F1255" t="s">
        <v>66</v>
      </c>
      <c r="G1255">
        <v>2013</v>
      </c>
      <c r="H1255" t="s">
        <v>36</v>
      </c>
      <c r="I1255" t="s">
        <v>9216</v>
      </c>
      <c r="J1255" t="s">
        <v>31</v>
      </c>
      <c r="K1255" t="s">
        <v>38</v>
      </c>
      <c r="L1255" t="s">
        <v>242</v>
      </c>
      <c r="M1255" t="s">
        <v>243</v>
      </c>
      <c r="N1255" t="s">
        <v>405</v>
      </c>
      <c r="O1255" t="s">
        <v>516</v>
      </c>
      <c r="P1255" t="s">
        <v>680</v>
      </c>
      <c r="T1255">
        <v>38.99427</v>
      </c>
      <c r="U1255">
        <v>-77.447823999999997</v>
      </c>
      <c r="V1255">
        <f>SUM(W1255:X1255)+(Y1255*0.8)+(Z1255*0.4)</f>
        <v>3.2</v>
      </c>
      <c r="W1255">
        <v>2</v>
      </c>
      <c r="X1255">
        <v>0</v>
      </c>
      <c r="Y1255">
        <v>1.5</v>
      </c>
      <c r="Z1255">
        <v>0</v>
      </c>
      <c r="AA1255" t="s">
        <v>43</v>
      </c>
      <c r="AB1255">
        <v>1.07</v>
      </c>
      <c r="AD1255" t="s">
        <v>9217</v>
      </c>
      <c r="AE1255" t="s">
        <v>9218</v>
      </c>
    </row>
    <row r="1256" spans="1:31" x14ac:dyDescent="0.25">
      <c r="A1256" t="s">
        <v>31</v>
      </c>
      <c r="C1256" t="s">
        <v>6742</v>
      </c>
      <c r="D1256" t="s">
        <v>6751</v>
      </c>
      <c r="E1256" t="s">
        <v>34</v>
      </c>
      <c r="F1256" t="s">
        <v>35</v>
      </c>
      <c r="G1256">
        <v>2012</v>
      </c>
      <c r="H1256" t="s">
        <v>36</v>
      </c>
      <c r="I1256" t="s">
        <v>6752</v>
      </c>
      <c r="J1256" t="s">
        <v>31</v>
      </c>
      <c r="K1256" t="s">
        <v>38</v>
      </c>
      <c r="L1256" t="s">
        <v>172</v>
      </c>
      <c r="M1256" t="s">
        <v>173</v>
      </c>
      <c r="N1256" t="s">
        <v>493</v>
      </c>
      <c r="O1256" t="s">
        <v>6753</v>
      </c>
      <c r="P1256" t="s">
        <v>6754</v>
      </c>
      <c r="T1256">
        <v>33.889421450999997</v>
      </c>
      <c r="U1256">
        <v>-118.368711645</v>
      </c>
      <c r="V1256">
        <f>SUM(W1256:X1256)+(Y1256*0.8)+(Z1256*0.4)</f>
        <v>3.2</v>
      </c>
      <c r="W1256">
        <v>3.2</v>
      </c>
      <c r="X1256">
        <v>0</v>
      </c>
      <c r="Y1256">
        <v>0</v>
      </c>
      <c r="Z1256">
        <v>0</v>
      </c>
      <c r="AA1256" t="s">
        <v>43</v>
      </c>
      <c r="AB1256">
        <v>2.96</v>
      </c>
      <c r="AD1256" t="s">
        <v>6755</v>
      </c>
      <c r="AE1256" t="s">
        <v>6756</v>
      </c>
    </row>
    <row r="1257" spans="1:31" x14ac:dyDescent="0.25">
      <c r="A1257" t="s">
        <v>31</v>
      </c>
      <c r="C1257" t="s">
        <v>3849</v>
      </c>
      <c r="D1257" t="s">
        <v>4260</v>
      </c>
      <c r="E1257" t="s">
        <v>34</v>
      </c>
      <c r="F1257" t="s">
        <v>35</v>
      </c>
      <c r="G1257">
        <v>2008</v>
      </c>
      <c r="H1257" t="s">
        <v>36</v>
      </c>
      <c r="I1257" t="s">
        <v>4261</v>
      </c>
      <c r="J1257" t="s">
        <v>31</v>
      </c>
      <c r="K1257" t="s">
        <v>38</v>
      </c>
      <c r="L1257" t="s">
        <v>326</v>
      </c>
      <c r="M1257" t="s">
        <v>327</v>
      </c>
      <c r="N1257" t="s">
        <v>328</v>
      </c>
      <c r="O1257" t="s">
        <v>4262</v>
      </c>
      <c r="P1257" t="s">
        <v>4263</v>
      </c>
      <c r="S1257" t="s">
        <v>4264</v>
      </c>
      <c r="T1257">
        <v>33.344619999999999</v>
      </c>
      <c r="U1257">
        <v>-111.899293</v>
      </c>
      <c r="V1257">
        <f>SUM(W1257:X1257)+(Y1257*0.8)+(Z1257*0.4)</f>
        <v>3.2</v>
      </c>
      <c r="W1257">
        <v>3.2</v>
      </c>
      <c r="X1257">
        <v>0</v>
      </c>
      <c r="Y1257">
        <v>0</v>
      </c>
      <c r="Z1257">
        <v>0</v>
      </c>
      <c r="AA1257" t="s">
        <v>43</v>
      </c>
      <c r="AB1257">
        <v>2.83</v>
      </c>
      <c r="AD1257" t="s">
        <v>4265</v>
      </c>
      <c r="AE1257" t="s">
        <v>4266</v>
      </c>
    </row>
    <row r="1258" spans="1:31" x14ac:dyDescent="0.25">
      <c r="A1258" t="s">
        <v>31</v>
      </c>
      <c r="C1258" t="s">
        <v>5543</v>
      </c>
      <c r="D1258" t="s">
        <v>5549</v>
      </c>
      <c r="E1258" t="s">
        <v>34</v>
      </c>
      <c r="F1258" t="s">
        <v>35</v>
      </c>
      <c r="G1258">
        <v>2000</v>
      </c>
      <c r="H1258" t="s">
        <v>36</v>
      </c>
      <c r="I1258" t="s">
        <v>5550</v>
      </c>
      <c r="J1258" t="s">
        <v>31</v>
      </c>
      <c r="K1258" t="s">
        <v>38</v>
      </c>
      <c r="L1258" t="s">
        <v>251</v>
      </c>
      <c r="M1258" t="s">
        <v>252</v>
      </c>
      <c r="N1258" t="s">
        <v>253</v>
      </c>
      <c r="O1258" t="s">
        <v>5551</v>
      </c>
      <c r="P1258" t="s">
        <v>5552</v>
      </c>
      <c r="T1258">
        <v>42.405408000000001</v>
      </c>
      <c r="U1258">
        <v>-71.075269000000006</v>
      </c>
      <c r="V1258">
        <f>SUM(W1258:X1258)+(Y1258*0.8)+(Z1258*0.4)</f>
        <v>3.2</v>
      </c>
      <c r="W1258">
        <v>3.2</v>
      </c>
      <c r="X1258">
        <v>0</v>
      </c>
      <c r="Y1258">
        <v>0</v>
      </c>
      <c r="Z1258">
        <v>0</v>
      </c>
      <c r="AA1258" t="s">
        <v>43</v>
      </c>
      <c r="AB1258">
        <v>3.02</v>
      </c>
      <c r="AD1258" t="s">
        <v>5553</v>
      </c>
      <c r="AE1258" t="s">
        <v>5554</v>
      </c>
    </row>
    <row r="1259" spans="1:31" x14ac:dyDescent="0.25">
      <c r="A1259" t="s">
        <v>31</v>
      </c>
      <c r="C1259" t="s">
        <v>5765</v>
      </c>
      <c r="D1259" t="s">
        <v>234</v>
      </c>
      <c r="E1259" t="s">
        <v>34</v>
      </c>
      <c r="F1259" t="s">
        <v>35</v>
      </c>
      <c r="G1259">
        <v>2012</v>
      </c>
      <c r="H1259" t="s">
        <v>36</v>
      </c>
      <c r="I1259" t="s">
        <v>5828</v>
      </c>
      <c r="J1259" t="s">
        <v>31</v>
      </c>
      <c r="K1259" t="s">
        <v>38</v>
      </c>
      <c r="L1259" t="s">
        <v>202</v>
      </c>
      <c r="M1259" t="s">
        <v>203</v>
      </c>
      <c r="N1259" t="s">
        <v>236</v>
      </c>
      <c r="O1259" t="s">
        <v>234</v>
      </c>
      <c r="P1259" t="s">
        <v>237</v>
      </c>
      <c r="T1259">
        <v>26.190062051000002</v>
      </c>
      <c r="U1259">
        <v>-80.193243652999996</v>
      </c>
      <c r="V1259">
        <f>SUM(W1259:X1259)+(Y1259*0.8)+(Z1259*0.4)</f>
        <v>3.15</v>
      </c>
      <c r="W1259">
        <v>3.15</v>
      </c>
      <c r="X1259">
        <v>0</v>
      </c>
      <c r="Y1259">
        <v>0</v>
      </c>
      <c r="Z1259">
        <v>0</v>
      </c>
      <c r="AA1259" t="s">
        <v>43</v>
      </c>
      <c r="AB1259">
        <v>2.0950000000000002</v>
      </c>
      <c r="AC1259">
        <v>1.65</v>
      </c>
      <c r="AD1259" t="s">
        <v>5829</v>
      </c>
      <c r="AE1259" t="s">
        <v>5830</v>
      </c>
    </row>
    <row r="1260" spans="1:31" x14ac:dyDescent="0.25">
      <c r="A1260" t="s">
        <v>31</v>
      </c>
      <c r="C1260" t="s">
        <v>5765</v>
      </c>
      <c r="D1260" t="s">
        <v>5869</v>
      </c>
      <c r="E1260" t="s">
        <v>34</v>
      </c>
      <c r="F1260" t="s">
        <v>35</v>
      </c>
      <c r="G1260">
        <v>2007</v>
      </c>
      <c r="H1260" t="s">
        <v>36</v>
      </c>
      <c r="I1260" t="s">
        <v>5870</v>
      </c>
      <c r="J1260" t="s">
        <v>31</v>
      </c>
      <c r="K1260" t="s">
        <v>38</v>
      </c>
      <c r="L1260" t="s">
        <v>260</v>
      </c>
      <c r="M1260" t="s">
        <v>261</v>
      </c>
      <c r="N1260" t="s">
        <v>956</v>
      </c>
      <c r="O1260" t="s">
        <v>2894</v>
      </c>
      <c r="P1260" t="s">
        <v>5871</v>
      </c>
      <c r="T1260">
        <v>35.951143010999999</v>
      </c>
      <c r="U1260">
        <v>-86.833245435999999</v>
      </c>
      <c r="V1260">
        <f>SUM(W1260:X1260)+(Y1260*0.8)+(Z1260*0.4)</f>
        <v>3.15</v>
      </c>
      <c r="W1260">
        <v>3.15</v>
      </c>
      <c r="X1260">
        <v>0</v>
      </c>
      <c r="Y1260">
        <v>0</v>
      </c>
      <c r="Z1260">
        <v>0</v>
      </c>
      <c r="AA1260" t="s">
        <v>43</v>
      </c>
      <c r="AB1260">
        <v>2.85</v>
      </c>
      <c r="AC1260">
        <v>1.4</v>
      </c>
      <c r="AD1260" t="s">
        <v>5872</v>
      </c>
      <c r="AE1260" t="s">
        <v>5873</v>
      </c>
    </row>
    <row r="1261" spans="1:31" x14ac:dyDescent="0.25">
      <c r="A1261" t="s">
        <v>31</v>
      </c>
      <c r="C1261" t="s">
        <v>6062</v>
      </c>
      <c r="D1261" t="s">
        <v>6075</v>
      </c>
      <c r="E1261" t="s">
        <v>34</v>
      </c>
      <c r="F1261" t="s">
        <v>35</v>
      </c>
      <c r="G1261">
        <v>1995</v>
      </c>
      <c r="H1261" t="s">
        <v>36</v>
      </c>
      <c r="I1261" t="s">
        <v>6076</v>
      </c>
      <c r="J1261" t="s">
        <v>31</v>
      </c>
      <c r="K1261" t="s">
        <v>38</v>
      </c>
      <c r="L1261" t="s">
        <v>843</v>
      </c>
      <c r="M1261" t="s">
        <v>1644</v>
      </c>
      <c r="N1261" t="s">
        <v>2232</v>
      </c>
      <c r="O1261" t="s">
        <v>4155</v>
      </c>
      <c r="P1261" t="s">
        <v>5524</v>
      </c>
      <c r="Q1261" t="s">
        <v>3677</v>
      </c>
      <c r="S1261" t="s">
        <v>4157</v>
      </c>
      <c r="T1261">
        <v>47.618951002000003</v>
      </c>
      <c r="U1261">
        <v>-122.348421351</v>
      </c>
      <c r="V1261">
        <f>SUM(W1261:X1261)+(Y1261*0.8)+(Z1261*0.4)</f>
        <v>3.1030000000000002</v>
      </c>
      <c r="W1261">
        <v>3.1030000000000002</v>
      </c>
      <c r="X1261">
        <v>0</v>
      </c>
      <c r="Y1261">
        <v>0</v>
      </c>
      <c r="Z1261">
        <v>0</v>
      </c>
      <c r="AA1261" t="s">
        <v>43</v>
      </c>
      <c r="AB1261">
        <v>3.1030000000000002</v>
      </c>
      <c r="AD1261" t="s">
        <v>6077</v>
      </c>
      <c r="AE1261" t="s">
        <v>6078</v>
      </c>
    </row>
    <row r="1262" spans="1:31" x14ac:dyDescent="0.25">
      <c r="A1262" t="s">
        <v>31</v>
      </c>
      <c r="C1262" t="s">
        <v>7116</v>
      </c>
      <c r="D1262" t="s">
        <v>5056</v>
      </c>
      <c r="E1262" t="s">
        <v>34</v>
      </c>
      <c r="F1262" t="s">
        <v>35</v>
      </c>
      <c r="G1262">
        <v>2014</v>
      </c>
      <c r="H1262" t="s">
        <v>36</v>
      </c>
      <c r="I1262" t="s">
        <v>7136</v>
      </c>
      <c r="J1262" t="s">
        <v>31</v>
      </c>
      <c r="K1262" t="s">
        <v>38</v>
      </c>
      <c r="L1262" t="s">
        <v>1900</v>
      </c>
      <c r="M1262" t="s">
        <v>1901</v>
      </c>
      <c r="N1262" t="s">
        <v>5058</v>
      </c>
      <c r="O1262" t="s">
        <v>5056</v>
      </c>
      <c r="Q1262" t="s">
        <v>5060</v>
      </c>
      <c r="S1262" t="s">
        <v>5061</v>
      </c>
      <c r="T1262">
        <v>39.159283590000001</v>
      </c>
      <c r="U1262">
        <v>-94.471010566000004</v>
      </c>
      <c r="V1262">
        <f>SUM(W1262:X1262)+(Y1262*0.8)+(Z1262*0.4)</f>
        <v>3.1</v>
      </c>
      <c r="W1262">
        <v>3.1</v>
      </c>
      <c r="X1262">
        <v>0</v>
      </c>
      <c r="Y1262">
        <v>0</v>
      </c>
      <c r="Z1262">
        <v>0</v>
      </c>
      <c r="AA1262" t="s">
        <v>43</v>
      </c>
      <c r="AB1262">
        <v>2.25</v>
      </c>
      <c r="AC1262">
        <v>1.5</v>
      </c>
      <c r="AD1262" t="s">
        <v>7137</v>
      </c>
      <c r="AE1262" t="s">
        <v>7138</v>
      </c>
    </row>
    <row r="1263" spans="1:31" x14ac:dyDescent="0.25">
      <c r="A1263" t="s">
        <v>31</v>
      </c>
      <c r="C1263" t="s">
        <v>7531</v>
      </c>
      <c r="D1263" t="s">
        <v>7537</v>
      </c>
      <c r="E1263" t="s">
        <v>34</v>
      </c>
      <c r="F1263" t="s">
        <v>35</v>
      </c>
      <c r="G1263">
        <v>2013</v>
      </c>
      <c r="H1263" t="s">
        <v>36</v>
      </c>
      <c r="I1263" t="s">
        <v>7538</v>
      </c>
      <c r="J1263" t="s">
        <v>31</v>
      </c>
      <c r="K1263" t="s">
        <v>38</v>
      </c>
      <c r="L1263" t="s">
        <v>86</v>
      </c>
      <c r="M1263" t="s">
        <v>87</v>
      </c>
      <c r="N1263" t="s">
        <v>1805</v>
      </c>
      <c r="O1263" t="s">
        <v>7539</v>
      </c>
      <c r="P1263" t="s">
        <v>7540</v>
      </c>
      <c r="Q1263" t="s">
        <v>7541</v>
      </c>
      <c r="T1263">
        <v>42.074824602</v>
      </c>
      <c r="U1263">
        <v>-88.341145721999993</v>
      </c>
      <c r="V1263">
        <f>SUM(W1263:X1263)+(Y1263*0.8)+(Z1263*0.4)</f>
        <v>3.1</v>
      </c>
      <c r="W1263">
        <v>3.1</v>
      </c>
      <c r="X1263">
        <v>0</v>
      </c>
      <c r="Y1263">
        <v>0</v>
      </c>
      <c r="Z1263">
        <v>0</v>
      </c>
      <c r="AA1263" t="s">
        <v>43</v>
      </c>
      <c r="AB1263">
        <v>3.1</v>
      </c>
      <c r="AD1263" t="s">
        <v>7542</v>
      </c>
      <c r="AE1263" t="s">
        <v>7543</v>
      </c>
    </row>
    <row r="1264" spans="1:31" x14ac:dyDescent="0.25">
      <c r="A1264" t="s">
        <v>31</v>
      </c>
      <c r="C1264" t="s">
        <v>8673</v>
      </c>
      <c r="D1264" t="s">
        <v>343</v>
      </c>
      <c r="E1264" t="s">
        <v>34</v>
      </c>
      <c r="F1264" t="s">
        <v>35</v>
      </c>
      <c r="G1264">
        <v>2008</v>
      </c>
      <c r="H1264" t="s">
        <v>36</v>
      </c>
      <c r="I1264" t="s">
        <v>8679</v>
      </c>
      <c r="J1264" t="s">
        <v>31</v>
      </c>
      <c r="K1264" t="s">
        <v>38</v>
      </c>
      <c r="L1264" t="s">
        <v>112</v>
      </c>
      <c r="M1264" t="s">
        <v>113</v>
      </c>
      <c r="N1264" t="s">
        <v>345</v>
      </c>
      <c r="O1264" t="s">
        <v>8680</v>
      </c>
      <c r="P1264" t="s">
        <v>8681</v>
      </c>
      <c r="S1264" t="s">
        <v>8682</v>
      </c>
      <c r="T1264">
        <v>42.99471415</v>
      </c>
      <c r="U1264">
        <v>-89.423222554000006</v>
      </c>
      <c r="V1264">
        <f>SUM(W1264:X1264)+(Y1264*0.8)+(Z1264*0.4)</f>
        <v>3.1</v>
      </c>
      <c r="W1264">
        <v>3.1</v>
      </c>
      <c r="X1264">
        <v>0</v>
      </c>
      <c r="Y1264">
        <v>0</v>
      </c>
      <c r="Z1264">
        <v>0</v>
      </c>
      <c r="AA1264" t="s">
        <v>43</v>
      </c>
      <c r="AB1264">
        <v>1.8</v>
      </c>
      <c r="AD1264" t="s">
        <v>8683</v>
      </c>
      <c r="AE1264" t="s">
        <v>8684</v>
      </c>
    </row>
    <row r="1265" spans="1:31" x14ac:dyDescent="0.25">
      <c r="A1265" t="s">
        <v>31</v>
      </c>
      <c r="C1265" t="s">
        <v>5181</v>
      </c>
      <c r="D1265" t="s">
        <v>5241</v>
      </c>
      <c r="E1265" t="s">
        <v>34</v>
      </c>
      <c r="F1265" t="s">
        <v>35</v>
      </c>
      <c r="G1265">
        <v>2000</v>
      </c>
      <c r="H1265" t="s">
        <v>36</v>
      </c>
      <c r="I1265" t="s">
        <v>5242</v>
      </c>
      <c r="J1265" t="s">
        <v>31</v>
      </c>
      <c r="K1265" t="s">
        <v>38</v>
      </c>
      <c r="L1265" t="s">
        <v>68</v>
      </c>
      <c r="M1265" t="s">
        <v>69</v>
      </c>
      <c r="N1265" t="s">
        <v>297</v>
      </c>
      <c r="O1265" t="s">
        <v>2116</v>
      </c>
      <c r="P1265" t="s">
        <v>2738</v>
      </c>
      <c r="T1265">
        <v>32.801045125999998</v>
      </c>
      <c r="U1265">
        <v>-96.819140637999993</v>
      </c>
      <c r="V1265">
        <f>SUM(W1265:X1265)+(Y1265*0.8)+(Z1265*0.4)</f>
        <v>3.1</v>
      </c>
      <c r="W1265">
        <v>3.1</v>
      </c>
      <c r="X1265">
        <v>0</v>
      </c>
      <c r="Y1265">
        <v>0</v>
      </c>
      <c r="Z1265">
        <v>0</v>
      </c>
      <c r="AA1265" t="s">
        <v>43</v>
      </c>
      <c r="AB1265">
        <v>3.1</v>
      </c>
      <c r="AD1265" t="s">
        <v>5243</v>
      </c>
      <c r="AE1265" t="s">
        <v>5244</v>
      </c>
    </row>
    <row r="1266" spans="1:31" x14ac:dyDescent="0.25">
      <c r="A1266" t="s">
        <v>31</v>
      </c>
      <c r="C1266" t="s">
        <v>5765</v>
      </c>
      <c r="D1266" t="s">
        <v>5847</v>
      </c>
      <c r="E1266" t="s">
        <v>34</v>
      </c>
      <c r="F1266" t="s">
        <v>35</v>
      </c>
      <c r="G1266">
        <v>2002</v>
      </c>
      <c r="H1266" t="s">
        <v>36</v>
      </c>
      <c r="I1266" t="s">
        <v>5848</v>
      </c>
      <c r="J1266" t="s">
        <v>31</v>
      </c>
      <c r="K1266" t="s">
        <v>38</v>
      </c>
      <c r="L1266" t="s">
        <v>1918</v>
      </c>
      <c r="M1266" t="s">
        <v>1919</v>
      </c>
      <c r="N1266" t="s">
        <v>1885</v>
      </c>
      <c r="O1266" t="s">
        <v>1920</v>
      </c>
      <c r="P1266" t="s">
        <v>5849</v>
      </c>
      <c r="S1266" t="s">
        <v>5850</v>
      </c>
      <c r="T1266">
        <v>38.242485854000002</v>
      </c>
      <c r="U1266">
        <v>-85.733275203000005</v>
      </c>
      <c r="V1266">
        <f>SUM(W1266:X1266)+(Y1266*0.8)+(Z1266*0.4)</f>
        <v>3.09</v>
      </c>
      <c r="W1266">
        <v>3.09</v>
      </c>
      <c r="X1266">
        <v>0</v>
      </c>
      <c r="Y1266">
        <v>0</v>
      </c>
      <c r="Z1266">
        <v>0</v>
      </c>
      <c r="AA1266" t="s">
        <v>43</v>
      </c>
      <c r="AB1266">
        <v>2.19</v>
      </c>
      <c r="AC1266">
        <v>1.5</v>
      </c>
      <c r="AD1266" t="s">
        <v>5851</v>
      </c>
      <c r="AE1266" t="s">
        <v>5852</v>
      </c>
    </row>
    <row r="1267" spans="1:31" x14ac:dyDescent="0.25">
      <c r="A1267" t="s">
        <v>31</v>
      </c>
      <c r="C1267" t="s">
        <v>5543</v>
      </c>
      <c r="D1267" t="s">
        <v>5602</v>
      </c>
      <c r="E1267" t="s">
        <v>34</v>
      </c>
      <c r="F1267" t="s">
        <v>35</v>
      </c>
      <c r="G1267">
        <v>2021</v>
      </c>
      <c r="H1267" t="s">
        <v>36</v>
      </c>
      <c r="I1267" t="s">
        <v>5603</v>
      </c>
      <c r="J1267" t="s">
        <v>31</v>
      </c>
      <c r="K1267" t="s">
        <v>38</v>
      </c>
      <c r="L1267" t="s">
        <v>326</v>
      </c>
      <c r="M1267" t="s">
        <v>327</v>
      </c>
      <c r="N1267" t="s">
        <v>328</v>
      </c>
      <c r="O1267" t="s">
        <v>590</v>
      </c>
      <c r="P1267" t="s">
        <v>5604</v>
      </c>
      <c r="S1267" t="s">
        <v>5605</v>
      </c>
      <c r="T1267">
        <v>33.564695475000001</v>
      </c>
      <c r="U1267">
        <v>-112.112776246</v>
      </c>
      <c r="V1267">
        <f>SUM(W1267:X1267)+(Y1267*0.8)+(Z1267*0.4)</f>
        <v>3.04</v>
      </c>
      <c r="W1267">
        <v>2.4</v>
      </c>
      <c r="X1267">
        <v>0</v>
      </c>
      <c r="Y1267">
        <v>0</v>
      </c>
      <c r="Z1267">
        <v>1.6</v>
      </c>
      <c r="AA1267" t="s">
        <v>43</v>
      </c>
      <c r="AB1267">
        <v>0.72</v>
      </c>
      <c r="AD1267" t="s">
        <v>5606</v>
      </c>
      <c r="AE1267" t="s">
        <v>5607</v>
      </c>
    </row>
    <row r="1268" spans="1:31" x14ac:dyDescent="0.25">
      <c r="A1268" t="s">
        <v>31</v>
      </c>
      <c r="C1268" t="s">
        <v>10406</v>
      </c>
      <c r="D1268" t="s">
        <v>10552</v>
      </c>
      <c r="E1268" t="s">
        <v>34</v>
      </c>
      <c r="F1268" t="s">
        <v>35</v>
      </c>
      <c r="G1268">
        <v>2022</v>
      </c>
      <c r="H1268" t="s">
        <v>36</v>
      </c>
      <c r="I1268" t="s">
        <v>10553</v>
      </c>
      <c r="J1268" t="s">
        <v>31</v>
      </c>
      <c r="K1268" t="s">
        <v>38</v>
      </c>
      <c r="L1268" t="s">
        <v>1900</v>
      </c>
      <c r="M1268" t="s">
        <v>1901</v>
      </c>
      <c r="N1268" t="s">
        <v>1556</v>
      </c>
      <c r="O1268" t="s">
        <v>10554</v>
      </c>
      <c r="P1268" t="s">
        <v>10555</v>
      </c>
      <c r="Q1268" t="s">
        <v>10556</v>
      </c>
      <c r="T1268">
        <v>38.699918672000003</v>
      </c>
      <c r="U1268">
        <v>-90.410758815999998</v>
      </c>
      <c r="V1268">
        <f>SUM(W1268:X1268)+(Y1268*0.8)+(Z1268*0.4)</f>
        <v>3</v>
      </c>
      <c r="W1268">
        <v>3</v>
      </c>
      <c r="X1268">
        <v>0</v>
      </c>
      <c r="Y1268">
        <v>0</v>
      </c>
      <c r="Z1268">
        <v>0</v>
      </c>
      <c r="AA1268" t="s">
        <v>43</v>
      </c>
      <c r="AB1268">
        <v>3</v>
      </c>
      <c r="AD1268" t="s">
        <v>10557</v>
      </c>
      <c r="AE1268" t="s">
        <v>10558</v>
      </c>
    </row>
    <row r="1269" spans="1:31" x14ac:dyDescent="0.25">
      <c r="A1269" t="s">
        <v>31</v>
      </c>
      <c r="C1269" t="s">
        <v>7108</v>
      </c>
      <c r="D1269" t="s">
        <v>6024</v>
      </c>
      <c r="E1269" t="s">
        <v>34</v>
      </c>
      <c r="F1269" t="s">
        <v>35</v>
      </c>
      <c r="G1269">
        <v>2020</v>
      </c>
      <c r="H1269" t="s">
        <v>36</v>
      </c>
      <c r="I1269" t="s">
        <v>7113</v>
      </c>
      <c r="J1269" t="s">
        <v>31</v>
      </c>
      <c r="K1269" t="s">
        <v>38</v>
      </c>
      <c r="L1269" t="s">
        <v>143</v>
      </c>
      <c r="M1269" t="s">
        <v>144</v>
      </c>
      <c r="N1269" t="s">
        <v>6023</v>
      </c>
      <c r="O1269" t="s">
        <v>6024</v>
      </c>
      <c r="P1269" t="s">
        <v>6179</v>
      </c>
      <c r="Q1269" t="s">
        <v>6763</v>
      </c>
      <c r="T1269">
        <v>41.014257321999999</v>
      </c>
      <c r="U1269">
        <v>-85.110219426</v>
      </c>
      <c r="V1269">
        <f>SUM(W1269:X1269)+(Y1269*0.8)+(Z1269*0.4)</f>
        <v>3</v>
      </c>
      <c r="W1269">
        <v>3</v>
      </c>
      <c r="X1269">
        <v>0</v>
      </c>
      <c r="Y1269">
        <v>0</v>
      </c>
      <c r="Z1269">
        <v>0</v>
      </c>
      <c r="AA1269" t="s">
        <v>43</v>
      </c>
      <c r="AB1269">
        <v>2.2000000000000002</v>
      </c>
      <c r="AD1269" t="s">
        <v>7114</v>
      </c>
      <c r="AE1269" t="s">
        <v>7115</v>
      </c>
    </row>
    <row r="1270" spans="1:31" x14ac:dyDescent="0.25">
      <c r="A1270" t="s">
        <v>31</v>
      </c>
      <c r="C1270" t="s">
        <v>6381</v>
      </c>
      <c r="D1270" t="s">
        <v>6399</v>
      </c>
      <c r="E1270" t="s">
        <v>34</v>
      </c>
      <c r="F1270" t="s">
        <v>35</v>
      </c>
      <c r="G1270">
        <v>2018</v>
      </c>
      <c r="H1270" t="s">
        <v>36</v>
      </c>
      <c r="I1270" t="s">
        <v>6400</v>
      </c>
      <c r="J1270" t="s">
        <v>31</v>
      </c>
      <c r="K1270" t="s">
        <v>38</v>
      </c>
      <c r="L1270" t="s">
        <v>1959</v>
      </c>
      <c r="M1270" t="s">
        <v>1960</v>
      </c>
      <c r="N1270" t="s">
        <v>2075</v>
      </c>
      <c r="O1270" t="s">
        <v>2076</v>
      </c>
      <c r="P1270" t="s">
        <v>2077</v>
      </c>
      <c r="S1270" t="s">
        <v>2078</v>
      </c>
      <c r="T1270">
        <v>35.088689307000003</v>
      </c>
      <c r="U1270">
        <v>-106.652697975</v>
      </c>
      <c r="V1270">
        <f>SUM(W1270:X1270)+(Y1270*0.8)+(Z1270*0.4)</f>
        <v>3</v>
      </c>
      <c r="W1270">
        <v>3</v>
      </c>
      <c r="X1270">
        <v>0</v>
      </c>
      <c r="Y1270">
        <v>0</v>
      </c>
      <c r="Z1270">
        <v>0</v>
      </c>
      <c r="AA1270" t="s">
        <v>43</v>
      </c>
      <c r="AB1270">
        <v>3</v>
      </c>
      <c r="AD1270" t="s">
        <v>6401</v>
      </c>
      <c r="AE1270" t="s">
        <v>6402</v>
      </c>
    </row>
    <row r="1271" spans="1:31" x14ac:dyDescent="0.25">
      <c r="A1271" t="s">
        <v>31</v>
      </c>
      <c r="C1271" t="s">
        <v>3710</v>
      </c>
      <c r="D1271" t="s">
        <v>3804</v>
      </c>
      <c r="E1271" t="s">
        <v>34</v>
      </c>
      <c r="F1271" t="s">
        <v>35</v>
      </c>
      <c r="G1271">
        <v>2018</v>
      </c>
      <c r="H1271" t="s">
        <v>36</v>
      </c>
      <c r="I1271" t="s">
        <v>3805</v>
      </c>
      <c r="J1271" t="s">
        <v>31</v>
      </c>
      <c r="K1271" t="s">
        <v>38</v>
      </c>
      <c r="L1271" t="s">
        <v>242</v>
      </c>
      <c r="M1271" t="s">
        <v>243</v>
      </c>
      <c r="N1271" t="s">
        <v>244</v>
      </c>
      <c r="O1271" t="s">
        <v>2319</v>
      </c>
      <c r="P1271" t="s">
        <v>2320</v>
      </c>
      <c r="T1271">
        <v>38.920114099000003</v>
      </c>
      <c r="U1271">
        <v>-77.213702917999996</v>
      </c>
      <c r="V1271">
        <f>SUM(W1271:X1271)+(Y1271*0.8)+(Z1271*0.4)</f>
        <v>3</v>
      </c>
      <c r="W1271">
        <v>3</v>
      </c>
      <c r="X1271">
        <v>0</v>
      </c>
      <c r="Y1271">
        <v>0</v>
      </c>
      <c r="Z1271">
        <v>0</v>
      </c>
      <c r="AA1271" t="s">
        <v>43</v>
      </c>
      <c r="AB1271">
        <v>2.9</v>
      </c>
      <c r="AD1271" t="s">
        <v>3806</v>
      </c>
      <c r="AE1271" t="s">
        <v>3807</v>
      </c>
    </row>
    <row r="1272" spans="1:31" x14ac:dyDescent="0.25">
      <c r="A1272" t="s">
        <v>31</v>
      </c>
      <c r="C1272" t="s">
        <v>445</v>
      </c>
      <c r="D1272" t="s">
        <v>468</v>
      </c>
      <c r="E1272" t="s">
        <v>34</v>
      </c>
      <c r="F1272" t="s">
        <v>66</v>
      </c>
      <c r="G1272">
        <v>2016</v>
      </c>
      <c r="H1272" t="s">
        <v>36</v>
      </c>
      <c r="I1272" t="s">
        <v>469</v>
      </c>
      <c r="J1272" t="s">
        <v>31</v>
      </c>
      <c r="K1272" t="s">
        <v>38</v>
      </c>
      <c r="L1272" t="s">
        <v>448</v>
      </c>
      <c r="M1272" t="s">
        <v>449</v>
      </c>
      <c r="O1272" t="s">
        <v>470</v>
      </c>
      <c r="P1272" t="s">
        <v>471</v>
      </c>
      <c r="Q1272" t="s">
        <v>472</v>
      </c>
      <c r="S1272" t="s">
        <v>138</v>
      </c>
      <c r="T1272">
        <v>39.291807988999999</v>
      </c>
      <c r="U1272">
        <v>-76.620088760000002</v>
      </c>
      <c r="V1272">
        <f>SUM(W1272:X1272)+(Y1272*0.8)+(Z1272*0.4)</f>
        <v>3</v>
      </c>
      <c r="W1272">
        <v>3</v>
      </c>
      <c r="X1272">
        <v>0</v>
      </c>
      <c r="Y1272">
        <v>0</v>
      </c>
      <c r="Z1272">
        <v>0</v>
      </c>
      <c r="AA1272" t="s">
        <v>43</v>
      </c>
      <c r="AB1272">
        <v>1.8</v>
      </c>
      <c r="AD1272" t="s">
        <v>473</v>
      </c>
      <c r="AE1272" t="s">
        <v>474</v>
      </c>
    </row>
    <row r="1273" spans="1:31" x14ac:dyDescent="0.25">
      <c r="A1273" t="s">
        <v>31</v>
      </c>
      <c r="C1273" t="s">
        <v>5765</v>
      </c>
      <c r="D1273" t="s">
        <v>5934</v>
      </c>
      <c r="E1273" t="s">
        <v>34</v>
      </c>
      <c r="F1273" t="s">
        <v>35</v>
      </c>
      <c r="G1273">
        <v>2015</v>
      </c>
      <c r="H1273" t="s">
        <v>36</v>
      </c>
      <c r="I1273" t="s">
        <v>5935</v>
      </c>
      <c r="J1273" t="s">
        <v>31</v>
      </c>
      <c r="K1273" t="s">
        <v>38</v>
      </c>
      <c r="L1273" t="s">
        <v>202</v>
      </c>
      <c r="M1273" t="s">
        <v>203</v>
      </c>
      <c r="N1273" t="s">
        <v>309</v>
      </c>
      <c r="O1273" t="s">
        <v>5936</v>
      </c>
      <c r="P1273" t="s">
        <v>5937</v>
      </c>
      <c r="S1273" t="s">
        <v>5938</v>
      </c>
      <c r="T1273">
        <v>28.073857244999999</v>
      </c>
      <c r="U1273">
        <v>-82.368269912000002</v>
      </c>
      <c r="V1273">
        <f>SUM(W1273:X1273)+(Y1273*0.8)+(Z1273*0.4)</f>
        <v>3</v>
      </c>
      <c r="W1273">
        <v>3</v>
      </c>
      <c r="X1273">
        <v>0</v>
      </c>
      <c r="Y1273">
        <v>0</v>
      </c>
      <c r="Z1273">
        <v>0</v>
      </c>
      <c r="AA1273" t="s">
        <v>43</v>
      </c>
      <c r="AB1273">
        <v>1.4</v>
      </c>
      <c r="AC1273">
        <v>1.75</v>
      </c>
      <c r="AD1273" t="s">
        <v>5939</v>
      </c>
      <c r="AE1273" t="s">
        <v>5940</v>
      </c>
    </row>
    <row r="1274" spans="1:31" x14ac:dyDescent="0.25">
      <c r="A1274" t="s">
        <v>31</v>
      </c>
      <c r="C1274" t="s">
        <v>4801</v>
      </c>
      <c r="D1274" t="s">
        <v>4821</v>
      </c>
      <c r="E1274" t="s">
        <v>34</v>
      </c>
      <c r="F1274" t="s">
        <v>35</v>
      </c>
      <c r="G1274">
        <v>2015</v>
      </c>
      <c r="H1274" t="s">
        <v>36</v>
      </c>
      <c r="I1274" t="s">
        <v>4822</v>
      </c>
      <c r="J1274" t="s">
        <v>31</v>
      </c>
      <c r="K1274" t="s">
        <v>38</v>
      </c>
      <c r="L1274" t="s">
        <v>185</v>
      </c>
      <c r="M1274" t="s">
        <v>186</v>
      </c>
      <c r="N1274" t="s">
        <v>187</v>
      </c>
      <c r="O1274" t="s">
        <v>1606</v>
      </c>
      <c r="P1274" t="s">
        <v>3763</v>
      </c>
      <c r="T1274">
        <v>33.729334000000001</v>
      </c>
      <c r="U1274">
        <v>-84.420224000000005</v>
      </c>
      <c r="V1274">
        <f>SUM(W1274:X1274)+(Y1274*0.8)+(Z1274*0.4)</f>
        <v>3</v>
      </c>
      <c r="W1274">
        <v>3</v>
      </c>
      <c r="X1274">
        <v>0</v>
      </c>
      <c r="Y1274">
        <v>0</v>
      </c>
      <c r="Z1274">
        <v>0</v>
      </c>
      <c r="AA1274" t="s">
        <v>43</v>
      </c>
      <c r="AB1274">
        <v>2.6</v>
      </c>
      <c r="AD1274" t="s">
        <v>4823</v>
      </c>
      <c r="AE1274" t="s">
        <v>4824</v>
      </c>
    </row>
    <row r="1275" spans="1:31" x14ac:dyDescent="0.25">
      <c r="A1275" t="s">
        <v>31</v>
      </c>
      <c r="C1275" t="s">
        <v>8751</v>
      </c>
      <c r="D1275" t="s">
        <v>8752</v>
      </c>
      <c r="E1275" t="s">
        <v>34</v>
      </c>
      <c r="F1275" t="s">
        <v>35</v>
      </c>
      <c r="G1275">
        <v>2014</v>
      </c>
      <c r="H1275" t="s">
        <v>36</v>
      </c>
      <c r="I1275" t="s">
        <v>8753</v>
      </c>
      <c r="J1275" t="s">
        <v>31</v>
      </c>
      <c r="K1275" t="s">
        <v>38</v>
      </c>
      <c r="L1275" t="s">
        <v>143</v>
      </c>
      <c r="M1275" t="s">
        <v>144</v>
      </c>
      <c r="N1275" t="s">
        <v>3891</v>
      </c>
      <c r="O1275" t="s">
        <v>2037</v>
      </c>
      <c r="P1275" t="s">
        <v>3892</v>
      </c>
      <c r="S1275" t="s">
        <v>3899</v>
      </c>
      <c r="T1275">
        <v>39.758843564000003</v>
      </c>
      <c r="U1275">
        <v>-86.167731168000003</v>
      </c>
      <c r="V1275">
        <f>SUM(W1275:X1275)+(Y1275*0.8)+(Z1275*0.4)</f>
        <v>3</v>
      </c>
      <c r="W1275">
        <v>3</v>
      </c>
      <c r="X1275">
        <v>0</v>
      </c>
      <c r="Y1275">
        <v>0</v>
      </c>
      <c r="Z1275">
        <v>0</v>
      </c>
      <c r="AA1275" t="s">
        <v>43</v>
      </c>
      <c r="AB1275">
        <v>2</v>
      </c>
      <c r="AD1275" t="s">
        <v>8754</v>
      </c>
      <c r="AE1275" t="s">
        <v>8755</v>
      </c>
    </row>
    <row r="1276" spans="1:31" x14ac:dyDescent="0.25">
      <c r="A1276" t="s">
        <v>31</v>
      </c>
      <c r="C1276" t="s">
        <v>6381</v>
      </c>
      <c r="D1276" t="s">
        <v>6403</v>
      </c>
      <c r="E1276" t="s">
        <v>34</v>
      </c>
      <c r="F1276" t="s">
        <v>66</v>
      </c>
      <c r="G1276">
        <v>2014</v>
      </c>
      <c r="H1276" t="s">
        <v>36</v>
      </c>
      <c r="I1276" t="s">
        <v>6404</v>
      </c>
      <c r="J1276" t="s">
        <v>31</v>
      </c>
      <c r="K1276" t="s">
        <v>38</v>
      </c>
      <c r="L1276" t="s">
        <v>185</v>
      </c>
      <c r="M1276" t="s">
        <v>186</v>
      </c>
      <c r="N1276" t="s">
        <v>187</v>
      </c>
      <c r="O1276" t="s">
        <v>1606</v>
      </c>
      <c r="P1276" t="s">
        <v>3757</v>
      </c>
      <c r="Q1276" t="s">
        <v>4290</v>
      </c>
      <c r="S1276" t="s">
        <v>6405</v>
      </c>
      <c r="T1276">
        <v>33.765196453999998</v>
      </c>
      <c r="U1276">
        <v>-84.383742725000005</v>
      </c>
      <c r="V1276">
        <f>SUM(W1276:X1276)+(Y1276*0.8)+(Z1276*0.4)</f>
        <v>3</v>
      </c>
      <c r="W1276">
        <v>3</v>
      </c>
      <c r="X1276">
        <v>0</v>
      </c>
      <c r="Y1276">
        <v>0</v>
      </c>
      <c r="Z1276">
        <v>0</v>
      </c>
      <c r="AA1276" t="s">
        <v>43</v>
      </c>
      <c r="AB1276">
        <v>2.5</v>
      </c>
      <c r="AD1276" t="s">
        <v>6406</v>
      </c>
      <c r="AE1276" t="s">
        <v>6407</v>
      </c>
    </row>
    <row r="1277" spans="1:31" x14ac:dyDescent="0.25">
      <c r="A1277" t="s">
        <v>31</v>
      </c>
      <c r="C1277" t="s">
        <v>6381</v>
      </c>
      <c r="D1277" t="s">
        <v>6480</v>
      </c>
      <c r="E1277" t="s">
        <v>34</v>
      </c>
      <c r="F1277" t="s">
        <v>35</v>
      </c>
      <c r="G1277">
        <v>2014</v>
      </c>
      <c r="H1277" t="s">
        <v>36</v>
      </c>
      <c r="I1277" t="s">
        <v>6481</v>
      </c>
      <c r="J1277" t="s">
        <v>31</v>
      </c>
      <c r="K1277" t="s">
        <v>38</v>
      </c>
      <c r="L1277" t="s">
        <v>172</v>
      </c>
      <c r="M1277" t="s">
        <v>173</v>
      </c>
      <c r="N1277" t="s">
        <v>4661</v>
      </c>
      <c r="O1277" t="s">
        <v>4662</v>
      </c>
      <c r="P1277" t="s">
        <v>4663</v>
      </c>
      <c r="T1277">
        <v>35.255952000000001</v>
      </c>
      <c r="U1277">
        <v>-120.64074147300001</v>
      </c>
      <c r="V1277">
        <f>SUM(W1277:X1277)+(Y1277*0.8)+(Z1277*0.4)</f>
        <v>3</v>
      </c>
      <c r="W1277">
        <v>3</v>
      </c>
      <c r="X1277">
        <v>0</v>
      </c>
      <c r="Y1277">
        <v>0</v>
      </c>
      <c r="Z1277">
        <v>0</v>
      </c>
      <c r="AA1277" t="s">
        <v>43</v>
      </c>
      <c r="AB1277">
        <v>3</v>
      </c>
      <c r="AD1277" t="s">
        <v>6482</v>
      </c>
      <c r="AE1277" t="s">
        <v>6483</v>
      </c>
    </row>
    <row r="1278" spans="1:31" x14ac:dyDescent="0.25">
      <c r="A1278" t="s">
        <v>31</v>
      </c>
      <c r="C1278" t="s">
        <v>5694</v>
      </c>
      <c r="D1278" t="s">
        <v>5716</v>
      </c>
      <c r="E1278" t="s">
        <v>34</v>
      </c>
      <c r="F1278" t="s">
        <v>35</v>
      </c>
      <c r="G1278">
        <v>2014</v>
      </c>
      <c r="H1278" t="s">
        <v>36</v>
      </c>
      <c r="I1278" t="s">
        <v>5717</v>
      </c>
      <c r="J1278" t="s">
        <v>31</v>
      </c>
      <c r="K1278" t="s">
        <v>38</v>
      </c>
      <c r="L1278" t="s">
        <v>2263</v>
      </c>
      <c r="M1278" t="s">
        <v>2264</v>
      </c>
      <c r="N1278" t="s">
        <v>487</v>
      </c>
      <c r="O1278" t="s">
        <v>5718</v>
      </c>
      <c r="P1278" t="s">
        <v>5719</v>
      </c>
      <c r="T1278">
        <v>43.895183416000002</v>
      </c>
      <c r="U1278">
        <v>-69.923052161000001</v>
      </c>
      <c r="V1278">
        <f>SUM(W1278:X1278)+(Y1278*0.8)+(Z1278*0.4)</f>
        <v>3</v>
      </c>
      <c r="W1278">
        <v>3</v>
      </c>
      <c r="X1278">
        <v>0</v>
      </c>
      <c r="Y1278">
        <v>0</v>
      </c>
      <c r="Z1278">
        <v>0</v>
      </c>
      <c r="AA1278" t="s">
        <v>43</v>
      </c>
      <c r="AB1278">
        <v>2.25</v>
      </c>
      <c r="AD1278" t="s">
        <v>5720</v>
      </c>
      <c r="AE1278" t="s">
        <v>5721</v>
      </c>
    </row>
    <row r="1279" spans="1:31" x14ac:dyDescent="0.25">
      <c r="A1279" t="s">
        <v>31</v>
      </c>
      <c r="C1279" t="s">
        <v>4801</v>
      </c>
      <c r="D1279" t="s">
        <v>4813</v>
      </c>
      <c r="E1279" t="s">
        <v>34</v>
      </c>
      <c r="F1279" t="s">
        <v>66</v>
      </c>
      <c r="G1279">
        <v>2014</v>
      </c>
      <c r="H1279" t="s">
        <v>36</v>
      </c>
      <c r="I1279" t="s">
        <v>4814</v>
      </c>
      <c r="J1279" t="s">
        <v>31</v>
      </c>
      <c r="K1279" t="s">
        <v>38</v>
      </c>
      <c r="L1279" t="s">
        <v>193</v>
      </c>
      <c r="M1279" t="s">
        <v>194</v>
      </c>
      <c r="N1279" t="s">
        <v>155</v>
      </c>
      <c r="O1279" t="s">
        <v>2128</v>
      </c>
      <c r="P1279" t="s">
        <v>2129</v>
      </c>
      <c r="T1279">
        <v>39.560993000000003</v>
      </c>
      <c r="U1279">
        <v>-104.82764299999999</v>
      </c>
      <c r="V1279">
        <f>SUM(W1279:X1279)+(Y1279*0.8)+(Z1279*0.4)</f>
        <v>3</v>
      </c>
      <c r="W1279">
        <v>3</v>
      </c>
      <c r="X1279">
        <v>0</v>
      </c>
      <c r="Y1279">
        <v>0</v>
      </c>
      <c r="Z1279">
        <v>0</v>
      </c>
      <c r="AA1279" t="s">
        <v>43</v>
      </c>
      <c r="AB1279">
        <v>2.04</v>
      </c>
      <c r="AD1279" t="s">
        <v>4815</v>
      </c>
      <c r="AE1279" t="s">
        <v>4816</v>
      </c>
    </row>
    <row r="1280" spans="1:31" x14ac:dyDescent="0.25">
      <c r="A1280" t="s">
        <v>31</v>
      </c>
      <c r="C1280" t="s">
        <v>4801</v>
      </c>
      <c r="D1280" t="s">
        <v>4927</v>
      </c>
      <c r="E1280" t="s">
        <v>34</v>
      </c>
      <c r="F1280" t="s">
        <v>35</v>
      </c>
      <c r="G1280">
        <v>2014</v>
      </c>
      <c r="H1280" t="s">
        <v>36</v>
      </c>
      <c r="I1280" t="s">
        <v>4928</v>
      </c>
      <c r="J1280" t="s">
        <v>31</v>
      </c>
      <c r="K1280" t="s">
        <v>38</v>
      </c>
      <c r="L1280" t="s">
        <v>172</v>
      </c>
      <c r="M1280" t="s">
        <v>173</v>
      </c>
      <c r="N1280" t="s">
        <v>174</v>
      </c>
      <c r="O1280" t="s">
        <v>175</v>
      </c>
      <c r="P1280" t="s">
        <v>176</v>
      </c>
      <c r="T1280">
        <v>38.592376999999999</v>
      </c>
      <c r="U1280">
        <v>-121.27740799999999</v>
      </c>
      <c r="V1280">
        <f>SUM(W1280:X1280)+(Y1280*0.8)+(Z1280*0.4)</f>
        <v>3</v>
      </c>
      <c r="W1280">
        <v>3</v>
      </c>
      <c r="X1280">
        <v>0</v>
      </c>
      <c r="Y1280">
        <v>0</v>
      </c>
      <c r="Z1280">
        <v>0</v>
      </c>
      <c r="AA1280" t="s">
        <v>43</v>
      </c>
      <c r="AB1280">
        <v>2.59</v>
      </c>
      <c r="AD1280" t="s">
        <v>4929</v>
      </c>
      <c r="AE1280" t="s">
        <v>4930</v>
      </c>
    </row>
    <row r="1281" spans="1:31" x14ac:dyDescent="0.25">
      <c r="A1281" t="s">
        <v>31</v>
      </c>
      <c r="B1281" t="s">
        <v>11350</v>
      </c>
      <c r="C1281" t="s">
        <v>647</v>
      </c>
      <c r="D1281" t="s">
        <v>1061</v>
      </c>
      <c r="E1281" t="s">
        <v>362</v>
      </c>
      <c r="F1281" t="s">
        <v>649</v>
      </c>
      <c r="G1281">
        <v>2013</v>
      </c>
      <c r="H1281" t="s">
        <v>36</v>
      </c>
      <c r="I1281" t="s">
        <v>1062</v>
      </c>
      <c r="J1281" t="s">
        <v>31</v>
      </c>
      <c r="K1281" t="s">
        <v>38</v>
      </c>
      <c r="L1281" t="s">
        <v>242</v>
      </c>
      <c r="M1281" t="s">
        <v>243</v>
      </c>
      <c r="N1281" t="s">
        <v>405</v>
      </c>
      <c r="P1281" t="s">
        <v>527</v>
      </c>
      <c r="T1281">
        <v>38.991548752999996</v>
      </c>
      <c r="U1281">
        <v>-77.436428324000005</v>
      </c>
      <c r="V1281">
        <f>SUM(W1281:X1281)+(Y1281*0.8)+(Z1281*0.4)</f>
        <v>3</v>
      </c>
      <c r="W1281">
        <v>3</v>
      </c>
      <c r="X1281">
        <v>0</v>
      </c>
      <c r="Y1281">
        <v>0</v>
      </c>
      <c r="Z1281">
        <v>0</v>
      </c>
      <c r="AA1281" t="s">
        <v>43</v>
      </c>
      <c r="AB1281">
        <v>3</v>
      </c>
      <c r="AD1281" t="s">
        <v>1063</v>
      </c>
      <c r="AE1281" t="s">
        <v>1064</v>
      </c>
    </row>
    <row r="1282" spans="1:31" x14ac:dyDescent="0.25">
      <c r="A1282" t="s">
        <v>31</v>
      </c>
      <c r="C1282" t="s">
        <v>3710</v>
      </c>
      <c r="D1282" t="s">
        <v>3795</v>
      </c>
      <c r="E1282" t="s">
        <v>34</v>
      </c>
      <c r="F1282" t="s">
        <v>35</v>
      </c>
      <c r="G1282">
        <v>2011</v>
      </c>
      <c r="H1282" t="s">
        <v>36</v>
      </c>
      <c r="I1282" t="s">
        <v>3796</v>
      </c>
      <c r="J1282" t="s">
        <v>31</v>
      </c>
      <c r="K1282" t="s">
        <v>38</v>
      </c>
      <c r="L1282" t="s">
        <v>39</v>
      </c>
      <c r="M1282" t="s">
        <v>40</v>
      </c>
      <c r="N1282" t="s">
        <v>253</v>
      </c>
      <c r="O1282" t="s">
        <v>3797</v>
      </c>
      <c r="P1282" t="s">
        <v>2156</v>
      </c>
      <c r="Q1282" t="s">
        <v>2155</v>
      </c>
      <c r="T1282">
        <v>40.549438758000001</v>
      </c>
      <c r="U1282">
        <v>-74.458241302000005</v>
      </c>
      <c r="V1282">
        <f>SUM(W1282:X1282)+(Y1282*0.8)+(Z1282*0.4)</f>
        <v>3</v>
      </c>
      <c r="W1282">
        <v>3</v>
      </c>
      <c r="X1282">
        <v>0</v>
      </c>
      <c r="Y1282">
        <v>0</v>
      </c>
      <c r="Z1282">
        <v>0</v>
      </c>
      <c r="AA1282" t="s">
        <v>43</v>
      </c>
      <c r="AB1282">
        <v>2.6</v>
      </c>
      <c r="AD1282" t="s">
        <v>3798</v>
      </c>
      <c r="AE1282" t="s">
        <v>3799</v>
      </c>
    </row>
    <row r="1283" spans="1:31" x14ac:dyDescent="0.25">
      <c r="A1283" t="s">
        <v>31</v>
      </c>
      <c r="C1283" t="s">
        <v>3710</v>
      </c>
      <c r="D1283" t="s">
        <v>2809</v>
      </c>
      <c r="E1283" t="s">
        <v>34</v>
      </c>
      <c r="F1283" t="s">
        <v>35</v>
      </c>
      <c r="G1283">
        <v>2011</v>
      </c>
      <c r="H1283" t="s">
        <v>36</v>
      </c>
      <c r="I1283" t="s">
        <v>3971</v>
      </c>
      <c r="J1283" t="s">
        <v>31</v>
      </c>
      <c r="K1283" t="s">
        <v>38</v>
      </c>
      <c r="L1283" t="s">
        <v>172</v>
      </c>
      <c r="M1283" t="s">
        <v>173</v>
      </c>
      <c r="N1283" t="s">
        <v>780</v>
      </c>
      <c r="O1283" t="s">
        <v>781</v>
      </c>
      <c r="P1283" t="s">
        <v>3972</v>
      </c>
      <c r="S1283" t="s">
        <v>3973</v>
      </c>
      <c r="T1283">
        <v>37.407291223000001</v>
      </c>
      <c r="U1283">
        <v>-121.966110997</v>
      </c>
      <c r="V1283">
        <f>SUM(W1283:X1283)+(Y1283*0.8)+(Z1283*0.4)</f>
        <v>3</v>
      </c>
      <c r="W1283">
        <v>3</v>
      </c>
      <c r="X1283">
        <v>0</v>
      </c>
      <c r="Y1283">
        <v>0</v>
      </c>
      <c r="Z1283">
        <v>0</v>
      </c>
      <c r="AA1283" t="s">
        <v>43</v>
      </c>
      <c r="AB1283">
        <v>2.91</v>
      </c>
      <c r="AD1283" t="s">
        <v>3974</v>
      </c>
      <c r="AE1283" t="s">
        <v>3975</v>
      </c>
    </row>
    <row r="1284" spans="1:31" x14ac:dyDescent="0.25">
      <c r="A1284" t="s">
        <v>31</v>
      </c>
      <c r="C1284" t="s">
        <v>2936</v>
      </c>
      <c r="D1284" t="s">
        <v>2958</v>
      </c>
      <c r="E1284" t="s">
        <v>34</v>
      </c>
      <c r="F1284" t="s">
        <v>35</v>
      </c>
      <c r="G1284">
        <v>2011</v>
      </c>
      <c r="H1284" t="s">
        <v>36</v>
      </c>
      <c r="I1284" t="s">
        <v>2959</v>
      </c>
      <c r="J1284" t="s">
        <v>31</v>
      </c>
      <c r="K1284" t="s">
        <v>38</v>
      </c>
      <c r="L1284" t="s">
        <v>2951</v>
      </c>
      <c r="M1284" t="s">
        <v>2952</v>
      </c>
      <c r="N1284" t="s">
        <v>309</v>
      </c>
      <c r="O1284" t="s">
        <v>2960</v>
      </c>
      <c r="P1284" t="s">
        <v>2961</v>
      </c>
      <c r="T1284">
        <v>42.989055907000001</v>
      </c>
      <c r="U1284">
        <v>-71.463593215000003</v>
      </c>
      <c r="V1284">
        <f>SUM(W1284:X1284)+(Y1284*0.8)+(Z1284*0.4)</f>
        <v>3</v>
      </c>
      <c r="W1284">
        <v>3</v>
      </c>
      <c r="X1284">
        <v>0</v>
      </c>
      <c r="Y1284">
        <v>0</v>
      </c>
      <c r="Z1284">
        <v>0</v>
      </c>
      <c r="AA1284" t="s">
        <v>43</v>
      </c>
      <c r="AB1284">
        <v>2.8</v>
      </c>
      <c r="AD1284" t="s">
        <v>2962</v>
      </c>
      <c r="AE1284" t="s">
        <v>2963</v>
      </c>
    </row>
    <row r="1285" spans="1:31" x14ac:dyDescent="0.25">
      <c r="A1285" t="s">
        <v>31</v>
      </c>
      <c r="C1285" t="s">
        <v>5668</v>
      </c>
      <c r="D1285" t="s">
        <v>5669</v>
      </c>
      <c r="E1285" t="s">
        <v>34</v>
      </c>
      <c r="F1285" t="s">
        <v>35</v>
      </c>
      <c r="G1285">
        <v>2007</v>
      </c>
      <c r="H1285" t="s">
        <v>36</v>
      </c>
      <c r="I1285" t="s">
        <v>5670</v>
      </c>
      <c r="J1285" t="s">
        <v>31</v>
      </c>
      <c r="K1285" t="s">
        <v>38</v>
      </c>
      <c r="L1285" t="s">
        <v>68</v>
      </c>
      <c r="M1285" t="s">
        <v>69</v>
      </c>
      <c r="N1285" t="s">
        <v>5671</v>
      </c>
      <c r="O1285" t="s">
        <v>5672</v>
      </c>
      <c r="P1285" t="s">
        <v>5673</v>
      </c>
      <c r="T1285">
        <v>30.674475456</v>
      </c>
      <c r="U1285">
        <v>-96.373673926999999</v>
      </c>
      <c r="V1285">
        <f>SUM(W1285:X1285)+(Y1285*0.8)+(Z1285*0.4)</f>
        <v>3</v>
      </c>
      <c r="W1285">
        <v>3</v>
      </c>
      <c r="X1285">
        <v>0</v>
      </c>
      <c r="Y1285">
        <v>0</v>
      </c>
      <c r="Z1285">
        <v>0</v>
      </c>
      <c r="AA1285" t="s">
        <v>43</v>
      </c>
      <c r="AB1285">
        <v>2.5</v>
      </c>
      <c r="AD1285" t="s">
        <v>5674</v>
      </c>
      <c r="AE1285" t="s">
        <v>5675</v>
      </c>
    </row>
    <row r="1286" spans="1:31" x14ac:dyDescent="0.25">
      <c r="A1286" t="s">
        <v>31</v>
      </c>
      <c r="C1286" t="s">
        <v>3653</v>
      </c>
      <c r="D1286" t="s">
        <v>3654</v>
      </c>
      <c r="E1286" t="s">
        <v>34</v>
      </c>
      <c r="F1286" t="s">
        <v>35</v>
      </c>
      <c r="G1286">
        <v>2007</v>
      </c>
      <c r="H1286" t="s">
        <v>36</v>
      </c>
      <c r="I1286" t="s">
        <v>3655</v>
      </c>
      <c r="J1286" t="s">
        <v>31</v>
      </c>
      <c r="K1286" t="s">
        <v>38</v>
      </c>
      <c r="L1286" t="s">
        <v>3625</v>
      </c>
      <c r="M1286" t="s">
        <v>3626</v>
      </c>
      <c r="N1286" t="s">
        <v>3627</v>
      </c>
      <c r="O1286" t="s">
        <v>164</v>
      </c>
      <c r="P1286" t="s">
        <v>3656</v>
      </c>
      <c r="T1286">
        <v>39.612799535999997</v>
      </c>
      <c r="U1286">
        <v>-75.761442466000005</v>
      </c>
      <c r="V1286">
        <f>SUM(W1286:X1286)+(Y1286*0.8)+(Z1286*0.4)</f>
        <v>3</v>
      </c>
      <c r="W1286">
        <v>3</v>
      </c>
      <c r="X1286">
        <v>0</v>
      </c>
      <c r="Y1286">
        <v>0</v>
      </c>
      <c r="Z1286">
        <v>0</v>
      </c>
      <c r="AA1286" t="s">
        <v>43</v>
      </c>
      <c r="AB1286">
        <v>2.8</v>
      </c>
      <c r="AD1286" t="s">
        <v>3657</v>
      </c>
      <c r="AE1286" t="s">
        <v>3658</v>
      </c>
    </row>
    <row r="1287" spans="1:31" x14ac:dyDescent="0.25">
      <c r="A1287" t="s">
        <v>31</v>
      </c>
      <c r="C1287" t="s">
        <v>9202</v>
      </c>
      <c r="D1287" t="s">
        <v>9290</v>
      </c>
      <c r="E1287" t="s">
        <v>34</v>
      </c>
      <c r="F1287" t="s">
        <v>35</v>
      </c>
      <c r="G1287">
        <v>2006</v>
      </c>
      <c r="H1287" t="s">
        <v>36</v>
      </c>
      <c r="I1287" t="s">
        <v>9291</v>
      </c>
      <c r="J1287" t="s">
        <v>31</v>
      </c>
      <c r="K1287" t="s">
        <v>38</v>
      </c>
      <c r="L1287" t="s">
        <v>39</v>
      </c>
      <c r="M1287" t="s">
        <v>40</v>
      </c>
      <c r="N1287" t="s">
        <v>2140</v>
      </c>
      <c r="O1287" t="s">
        <v>2141</v>
      </c>
      <c r="P1287" t="s">
        <v>9292</v>
      </c>
      <c r="Q1287" t="s">
        <v>2143</v>
      </c>
      <c r="T1287">
        <v>40.719005000000003</v>
      </c>
      <c r="U1287">
        <v>-74.042171999999994</v>
      </c>
      <c r="V1287">
        <f>SUM(W1287:X1287)+(Y1287*0.8)+(Z1287*0.4)</f>
        <v>3</v>
      </c>
      <c r="W1287">
        <v>3</v>
      </c>
      <c r="X1287">
        <v>0</v>
      </c>
      <c r="Y1287">
        <v>0</v>
      </c>
      <c r="Z1287">
        <v>0</v>
      </c>
      <c r="AA1287" t="s">
        <v>43</v>
      </c>
      <c r="AB1287">
        <v>3</v>
      </c>
      <c r="AC1287">
        <v>0</v>
      </c>
      <c r="AD1287" t="s">
        <v>9293</v>
      </c>
      <c r="AE1287" t="s">
        <v>9294</v>
      </c>
    </row>
    <row r="1288" spans="1:31" x14ac:dyDescent="0.25">
      <c r="A1288" t="s">
        <v>31</v>
      </c>
      <c r="C1288" t="s">
        <v>8365</v>
      </c>
      <c r="D1288" t="s">
        <v>8382</v>
      </c>
      <c r="E1288" t="s">
        <v>34</v>
      </c>
      <c r="F1288" t="s">
        <v>35</v>
      </c>
      <c r="G1288">
        <v>2006</v>
      </c>
      <c r="H1288" t="s">
        <v>36</v>
      </c>
      <c r="I1288" t="s">
        <v>8383</v>
      </c>
      <c r="J1288" t="s">
        <v>31</v>
      </c>
      <c r="K1288" t="s">
        <v>38</v>
      </c>
      <c r="L1288" t="s">
        <v>1900</v>
      </c>
      <c r="M1288" t="s">
        <v>1901</v>
      </c>
      <c r="N1288" t="s">
        <v>5058</v>
      </c>
      <c r="O1288" t="s">
        <v>8384</v>
      </c>
      <c r="P1288" t="s">
        <v>7015</v>
      </c>
      <c r="Q1288" t="s">
        <v>8385</v>
      </c>
      <c r="T1288">
        <v>39.100896687999999</v>
      </c>
      <c r="U1288">
        <v>-94.581244166999994</v>
      </c>
      <c r="V1288">
        <f>SUM(W1288:X1288)+(Y1288*0.8)+(Z1288*0.4)</f>
        <v>3</v>
      </c>
      <c r="W1288">
        <v>3</v>
      </c>
      <c r="X1288">
        <v>0</v>
      </c>
      <c r="Y1288">
        <v>0</v>
      </c>
      <c r="Z1288">
        <v>0</v>
      </c>
      <c r="AA1288" t="s">
        <v>43</v>
      </c>
      <c r="AB1288">
        <v>1.5</v>
      </c>
      <c r="AD1288" t="s">
        <v>8386</v>
      </c>
      <c r="AE1288" t="s">
        <v>8387</v>
      </c>
    </row>
    <row r="1289" spans="1:31" x14ac:dyDescent="0.25">
      <c r="A1289" t="s">
        <v>31</v>
      </c>
      <c r="C1289" t="s">
        <v>10977</v>
      </c>
      <c r="D1289" t="s">
        <v>10997</v>
      </c>
      <c r="E1289" t="s">
        <v>362</v>
      </c>
      <c r="F1289" t="s">
        <v>1611</v>
      </c>
      <c r="G1289">
        <v>2003</v>
      </c>
      <c r="H1289" t="s">
        <v>36</v>
      </c>
      <c r="I1289" t="s">
        <v>10998</v>
      </c>
      <c r="J1289" t="s">
        <v>31</v>
      </c>
      <c r="K1289" t="s">
        <v>38</v>
      </c>
      <c r="L1289" t="s">
        <v>185</v>
      </c>
      <c r="M1289" t="s">
        <v>186</v>
      </c>
      <c r="N1289" t="s">
        <v>187</v>
      </c>
      <c r="O1289" t="s">
        <v>183</v>
      </c>
      <c r="P1289" t="s">
        <v>188</v>
      </c>
      <c r="T1289">
        <v>34.031749865999998</v>
      </c>
      <c r="U1289">
        <v>-84.290865041999993</v>
      </c>
      <c r="V1289">
        <f>SUM(W1289:X1289)+(Y1289*0.8)+(Z1289*0.4)</f>
        <v>3</v>
      </c>
      <c r="W1289">
        <v>3</v>
      </c>
      <c r="X1289">
        <v>0</v>
      </c>
      <c r="Y1289">
        <v>0</v>
      </c>
      <c r="Z1289">
        <v>0</v>
      </c>
      <c r="AA1289" t="s">
        <v>43</v>
      </c>
      <c r="AB1289">
        <v>3</v>
      </c>
      <c r="AD1289" t="s">
        <v>10999</v>
      </c>
      <c r="AE1289" t="s">
        <v>11000</v>
      </c>
    </row>
    <row r="1290" spans="1:31" x14ac:dyDescent="0.25">
      <c r="A1290" t="s">
        <v>31</v>
      </c>
      <c r="C1290" t="s">
        <v>7638</v>
      </c>
      <c r="D1290" t="s">
        <v>7668</v>
      </c>
      <c r="E1290" t="s">
        <v>34</v>
      </c>
      <c r="F1290" t="s">
        <v>35</v>
      </c>
      <c r="G1290">
        <v>2002</v>
      </c>
      <c r="H1290" t="s">
        <v>36</v>
      </c>
      <c r="I1290" t="s">
        <v>7669</v>
      </c>
      <c r="J1290" t="s">
        <v>31</v>
      </c>
      <c r="K1290" t="s">
        <v>38</v>
      </c>
      <c r="L1290" t="s">
        <v>133</v>
      </c>
      <c r="M1290" t="s">
        <v>134</v>
      </c>
      <c r="N1290" t="s">
        <v>135</v>
      </c>
      <c r="O1290" t="s">
        <v>136</v>
      </c>
      <c r="P1290" t="s">
        <v>6462</v>
      </c>
      <c r="S1290" t="s">
        <v>6463</v>
      </c>
      <c r="T1290">
        <v>45.523328274999997</v>
      </c>
      <c r="U1290">
        <v>-122.683658744</v>
      </c>
      <c r="V1290">
        <f>SUM(W1290:X1290)+(Y1290*0.8)+(Z1290*0.4)</f>
        <v>3</v>
      </c>
      <c r="W1290">
        <v>3</v>
      </c>
      <c r="X1290">
        <v>0</v>
      </c>
      <c r="Y1290">
        <v>0</v>
      </c>
      <c r="Z1290">
        <v>0</v>
      </c>
      <c r="AA1290" t="s">
        <v>43</v>
      </c>
      <c r="AB1290">
        <v>0</v>
      </c>
      <c r="AD1290" t="s">
        <v>7670</v>
      </c>
      <c r="AE1290" t="s">
        <v>7671</v>
      </c>
    </row>
    <row r="1291" spans="1:31" x14ac:dyDescent="0.25">
      <c r="A1291" t="s">
        <v>31</v>
      </c>
      <c r="C1291" t="s">
        <v>7218</v>
      </c>
      <c r="D1291" t="s">
        <v>7386</v>
      </c>
      <c r="E1291" t="s">
        <v>34</v>
      </c>
      <c r="F1291" t="s">
        <v>35</v>
      </c>
      <c r="G1291">
        <v>2002</v>
      </c>
      <c r="H1291" t="s">
        <v>36</v>
      </c>
      <c r="I1291" t="s">
        <v>7387</v>
      </c>
      <c r="J1291" t="s">
        <v>31</v>
      </c>
      <c r="K1291" t="s">
        <v>38</v>
      </c>
      <c r="L1291" t="s">
        <v>172</v>
      </c>
      <c r="M1291" t="s">
        <v>173</v>
      </c>
      <c r="N1291" t="s">
        <v>433</v>
      </c>
      <c r="O1291" t="s">
        <v>6677</v>
      </c>
      <c r="P1291" t="s">
        <v>6678</v>
      </c>
      <c r="S1291" t="s">
        <v>7388</v>
      </c>
      <c r="T1291">
        <v>33.716680095999997</v>
      </c>
      <c r="U1291">
        <v>-117.805760085</v>
      </c>
      <c r="V1291">
        <f>SUM(W1291:X1291)+(Y1291*0.8)+(Z1291*0.4)</f>
        <v>3</v>
      </c>
      <c r="W1291">
        <v>3</v>
      </c>
      <c r="X1291">
        <v>0</v>
      </c>
      <c r="Y1291">
        <v>0</v>
      </c>
      <c r="Z1291">
        <v>0</v>
      </c>
      <c r="AA1291" t="s">
        <v>43</v>
      </c>
      <c r="AB1291">
        <v>2.95</v>
      </c>
      <c r="AD1291" t="s">
        <v>7389</v>
      </c>
      <c r="AE1291" t="s">
        <v>7390</v>
      </c>
    </row>
    <row r="1292" spans="1:31" x14ac:dyDescent="0.25">
      <c r="A1292" t="s">
        <v>31</v>
      </c>
      <c r="C1292" t="s">
        <v>2064</v>
      </c>
      <c r="D1292" t="s">
        <v>2225</v>
      </c>
      <c r="E1292" t="s">
        <v>34</v>
      </c>
      <c r="F1292" t="s">
        <v>35</v>
      </c>
      <c r="G1292">
        <v>2002</v>
      </c>
      <c r="H1292" t="s">
        <v>36</v>
      </c>
      <c r="I1292" t="s">
        <v>2226</v>
      </c>
      <c r="J1292" t="s">
        <v>31</v>
      </c>
      <c r="K1292" t="s">
        <v>38</v>
      </c>
      <c r="L1292" t="s">
        <v>326</v>
      </c>
      <c r="M1292" t="s">
        <v>327</v>
      </c>
      <c r="N1292" t="s">
        <v>328</v>
      </c>
      <c r="O1292" t="s">
        <v>1160</v>
      </c>
      <c r="P1292" t="s">
        <v>2227</v>
      </c>
      <c r="T1292">
        <v>33.421374446000002</v>
      </c>
      <c r="U1292">
        <v>-111.858825834</v>
      </c>
      <c r="V1292">
        <f>SUM(W1292:X1292)+(Y1292*0.8)+(Z1292*0.4)</f>
        <v>3</v>
      </c>
      <c r="W1292">
        <v>3</v>
      </c>
      <c r="X1292">
        <v>0</v>
      </c>
      <c r="Y1292">
        <v>0</v>
      </c>
      <c r="Z1292">
        <v>0</v>
      </c>
      <c r="AA1292" t="s">
        <v>43</v>
      </c>
      <c r="AB1292">
        <v>3</v>
      </c>
      <c r="AD1292" t="s">
        <v>2228</v>
      </c>
      <c r="AE1292" t="s">
        <v>2229</v>
      </c>
    </row>
    <row r="1293" spans="1:31" x14ac:dyDescent="0.25">
      <c r="A1293" t="s">
        <v>31</v>
      </c>
      <c r="C1293" t="s">
        <v>9384</v>
      </c>
      <c r="D1293" t="s">
        <v>9389</v>
      </c>
      <c r="E1293" t="s">
        <v>34</v>
      </c>
      <c r="F1293" t="s">
        <v>35</v>
      </c>
      <c r="G1293">
        <v>2001</v>
      </c>
      <c r="H1293" t="s">
        <v>36</v>
      </c>
      <c r="I1293" t="s">
        <v>9390</v>
      </c>
      <c r="J1293" t="s">
        <v>31</v>
      </c>
      <c r="K1293" t="s">
        <v>38</v>
      </c>
      <c r="L1293" t="s">
        <v>172</v>
      </c>
      <c r="M1293" t="s">
        <v>173</v>
      </c>
      <c r="N1293" t="s">
        <v>493</v>
      </c>
      <c r="O1293" t="s">
        <v>494</v>
      </c>
      <c r="P1293" t="s">
        <v>9195</v>
      </c>
      <c r="Q1293" t="s">
        <v>3102</v>
      </c>
      <c r="S1293" t="s">
        <v>138</v>
      </c>
      <c r="T1293">
        <v>34.048500736999998</v>
      </c>
      <c r="U1293">
        <v>-118.255169333</v>
      </c>
      <c r="V1293">
        <f>SUM(W1293:X1293)+(Y1293*0.8)+(Z1293*0.4)</f>
        <v>3</v>
      </c>
      <c r="W1293">
        <v>3</v>
      </c>
      <c r="X1293">
        <v>0</v>
      </c>
      <c r="Y1293">
        <v>0</v>
      </c>
      <c r="Z1293">
        <v>0</v>
      </c>
      <c r="AA1293" t="s">
        <v>43</v>
      </c>
      <c r="AB1293">
        <v>2.97</v>
      </c>
      <c r="AD1293" t="s">
        <v>9391</v>
      </c>
      <c r="AE1293" t="s">
        <v>9392</v>
      </c>
    </row>
    <row r="1294" spans="1:31" x14ac:dyDescent="0.25">
      <c r="A1294" t="s">
        <v>31</v>
      </c>
      <c r="C1294" t="s">
        <v>5181</v>
      </c>
      <c r="D1294" t="s">
        <v>5226</v>
      </c>
      <c r="E1294" t="s">
        <v>34</v>
      </c>
      <c r="F1294" t="s">
        <v>35</v>
      </c>
      <c r="G1294">
        <v>2000</v>
      </c>
      <c r="H1294" t="s">
        <v>36</v>
      </c>
      <c r="I1294" t="s">
        <v>3857</v>
      </c>
      <c r="J1294" t="s">
        <v>31</v>
      </c>
      <c r="K1294" t="s">
        <v>38</v>
      </c>
      <c r="L1294" t="s">
        <v>68</v>
      </c>
      <c r="M1294" t="s">
        <v>69</v>
      </c>
      <c r="N1294" t="s">
        <v>297</v>
      </c>
      <c r="O1294" t="s">
        <v>2116</v>
      </c>
      <c r="P1294" t="s">
        <v>2738</v>
      </c>
      <c r="T1294">
        <v>32.800486063999998</v>
      </c>
      <c r="U1294">
        <v>-96.819461028999996</v>
      </c>
      <c r="V1294">
        <f>SUM(W1294:X1294)+(Y1294*0.8)+(Z1294*0.4)</f>
        <v>3</v>
      </c>
      <c r="W1294">
        <v>3</v>
      </c>
      <c r="X1294">
        <v>0</v>
      </c>
      <c r="Y1294">
        <v>0</v>
      </c>
      <c r="Z1294">
        <v>0</v>
      </c>
      <c r="AA1294" t="s">
        <v>43</v>
      </c>
      <c r="AB1294">
        <v>3</v>
      </c>
      <c r="AD1294" t="s">
        <v>5227</v>
      </c>
      <c r="AE1294" t="s">
        <v>5228</v>
      </c>
    </row>
    <row r="1295" spans="1:31" x14ac:dyDescent="0.25">
      <c r="A1295" t="s">
        <v>31</v>
      </c>
      <c r="C1295" t="s">
        <v>2667</v>
      </c>
      <c r="D1295" t="s">
        <v>2673</v>
      </c>
      <c r="E1295" t="s">
        <v>34</v>
      </c>
      <c r="F1295" t="s">
        <v>35</v>
      </c>
      <c r="G1295">
        <v>2000</v>
      </c>
      <c r="H1295" t="s">
        <v>36</v>
      </c>
      <c r="I1295" t="s">
        <v>2674</v>
      </c>
      <c r="J1295" t="s">
        <v>31</v>
      </c>
      <c r="K1295" t="s">
        <v>38</v>
      </c>
      <c r="L1295" t="s">
        <v>123</v>
      </c>
      <c r="M1295" t="s">
        <v>124</v>
      </c>
      <c r="N1295" t="s">
        <v>270</v>
      </c>
      <c r="O1295" t="s">
        <v>123</v>
      </c>
      <c r="P1295" t="s">
        <v>2675</v>
      </c>
      <c r="Q1295" t="s">
        <v>272</v>
      </c>
      <c r="S1295" t="s">
        <v>273</v>
      </c>
      <c r="T1295">
        <v>40.71793847</v>
      </c>
      <c r="U1295">
        <v>-74.008266816000003</v>
      </c>
      <c r="V1295">
        <f>SUM(W1295:X1295)+(Y1295*0.8)+(Z1295*0.4)</f>
        <v>3</v>
      </c>
      <c r="W1295">
        <v>3</v>
      </c>
      <c r="X1295">
        <v>0</v>
      </c>
      <c r="Y1295">
        <v>0</v>
      </c>
      <c r="Z1295">
        <v>0</v>
      </c>
      <c r="AA1295" t="s">
        <v>43</v>
      </c>
      <c r="AB1295">
        <v>2.7</v>
      </c>
      <c r="AD1295" t="s">
        <v>2676</v>
      </c>
      <c r="AE1295" t="s">
        <v>2677</v>
      </c>
    </row>
    <row r="1296" spans="1:31" x14ac:dyDescent="0.25">
      <c r="A1296" t="s">
        <v>31</v>
      </c>
      <c r="B1296" t="s">
        <v>11350</v>
      </c>
      <c r="C1296" t="s">
        <v>1610</v>
      </c>
      <c r="D1296" t="s">
        <v>1622</v>
      </c>
      <c r="E1296" t="s">
        <v>362</v>
      </c>
      <c r="F1296" t="s">
        <v>1611</v>
      </c>
      <c r="G1296">
        <v>2000</v>
      </c>
      <c r="H1296" t="s">
        <v>36</v>
      </c>
      <c r="I1296" t="s">
        <v>1623</v>
      </c>
      <c r="J1296" t="s">
        <v>31</v>
      </c>
      <c r="K1296" t="s">
        <v>38</v>
      </c>
      <c r="L1296" t="s">
        <v>251</v>
      </c>
      <c r="M1296" t="s">
        <v>252</v>
      </c>
      <c r="N1296" t="s">
        <v>253</v>
      </c>
      <c r="O1296" t="s">
        <v>1622</v>
      </c>
      <c r="P1296" t="s">
        <v>1624</v>
      </c>
      <c r="Q1296" t="s">
        <v>1625</v>
      </c>
      <c r="S1296" t="s">
        <v>1626</v>
      </c>
      <c r="T1296">
        <v>42.367125170999998</v>
      </c>
      <c r="U1296">
        <v>-71.084603414</v>
      </c>
      <c r="V1296">
        <f>SUM(W1296:X1296)+(Y1296*0.8)+(Z1296*0.4)</f>
        <v>3</v>
      </c>
      <c r="W1296">
        <v>3</v>
      </c>
      <c r="X1296">
        <v>0</v>
      </c>
      <c r="Y1296">
        <v>0</v>
      </c>
      <c r="Z1296">
        <v>0</v>
      </c>
      <c r="AA1296" t="s">
        <v>43</v>
      </c>
      <c r="AB1296">
        <v>3</v>
      </c>
      <c r="AD1296" t="s">
        <v>1627</v>
      </c>
      <c r="AE1296" t="s">
        <v>1628</v>
      </c>
    </row>
    <row r="1297" spans="1:31" x14ac:dyDescent="0.25">
      <c r="A1297" t="s">
        <v>31</v>
      </c>
      <c r="C1297" t="s">
        <v>11149</v>
      </c>
      <c r="D1297" t="s">
        <v>11150</v>
      </c>
      <c r="E1297" t="s">
        <v>34</v>
      </c>
      <c r="F1297" t="s">
        <v>35</v>
      </c>
      <c r="G1297">
        <v>1999</v>
      </c>
      <c r="H1297" t="s">
        <v>36</v>
      </c>
      <c r="I1297" t="s">
        <v>11151</v>
      </c>
      <c r="J1297" t="s">
        <v>31</v>
      </c>
      <c r="K1297" t="s">
        <v>38</v>
      </c>
      <c r="L1297" t="s">
        <v>172</v>
      </c>
      <c r="M1297" t="s">
        <v>173</v>
      </c>
      <c r="N1297" t="s">
        <v>433</v>
      </c>
      <c r="O1297" t="s">
        <v>11152</v>
      </c>
      <c r="P1297" t="s">
        <v>11153</v>
      </c>
      <c r="S1297" t="s">
        <v>11154</v>
      </c>
      <c r="T1297">
        <v>33.730097166</v>
      </c>
      <c r="U1297">
        <v>-117.85216288700001</v>
      </c>
      <c r="V1297">
        <f>SUM(W1297:X1297)+(Y1297*0.8)+(Z1297*0.4)</f>
        <v>3</v>
      </c>
      <c r="W1297">
        <v>3</v>
      </c>
      <c r="X1297">
        <v>0</v>
      </c>
      <c r="Y1297">
        <v>0</v>
      </c>
      <c r="Z1297">
        <v>0</v>
      </c>
      <c r="AA1297" t="s">
        <v>43</v>
      </c>
      <c r="AB1297">
        <v>2.9</v>
      </c>
      <c r="AD1297" t="s">
        <v>11155</v>
      </c>
      <c r="AE1297" t="s">
        <v>11156</v>
      </c>
    </row>
    <row r="1298" spans="1:31" x14ac:dyDescent="0.25">
      <c r="A1298" t="s">
        <v>31</v>
      </c>
      <c r="C1298" t="s">
        <v>7218</v>
      </c>
      <c r="D1298" t="s">
        <v>7382</v>
      </c>
      <c r="E1298" t="s">
        <v>34</v>
      </c>
      <c r="F1298" t="s">
        <v>35</v>
      </c>
      <c r="G1298">
        <v>1998</v>
      </c>
      <c r="H1298" t="s">
        <v>36</v>
      </c>
      <c r="I1298" t="s">
        <v>7383</v>
      </c>
      <c r="J1298" t="s">
        <v>31</v>
      </c>
      <c r="K1298" t="s">
        <v>38</v>
      </c>
      <c r="L1298" t="s">
        <v>172</v>
      </c>
      <c r="M1298" t="s">
        <v>173</v>
      </c>
      <c r="N1298" t="s">
        <v>780</v>
      </c>
      <c r="O1298" t="s">
        <v>2251</v>
      </c>
      <c r="P1298" t="s">
        <v>6495</v>
      </c>
      <c r="T1298">
        <v>37.373504678000003</v>
      </c>
      <c r="U1298">
        <v>-121.987611887</v>
      </c>
      <c r="V1298">
        <f>SUM(W1298:X1298)+(Y1298*0.8)+(Z1298*0.4)</f>
        <v>3</v>
      </c>
      <c r="W1298">
        <v>3</v>
      </c>
      <c r="X1298">
        <v>0</v>
      </c>
      <c r="Y1298">
        <v>0</v>
      </c>
      <c r="Z1298">
        <v>0</v>
      </c>
      <c r="AA1298" t="s">
        <v>43</v>
      </c>
      <c r="AB1298">
        <v>2.93</v>
      </c>
      <c r="AD1298" t="s">
        <v>7384</v>
      </c>
      <c r="AE1298" t="s">
        <v>7385</v>
      </c>
    </row>
    <row r="1299" spans="1:31" x14ac:dyDescent="0.25">
      <c r="A1299" t="s">
        <v>31</v>
      </c>
      <c r="C1299" t="s">
        <v>2301</v>
      </c>
      <c r="D1299" t="s">
        <v>2317</v>
      </c>
      <c r="E1299" t="s">
        <v>362</v>
      </c>
      <c r="F1299" t="s">
        <v>1611</v>
      </c>
      <c r="G1299">
        <v>1997</v>
      </c>
      <c r="H1299" t="s">
        <v>36</v>
      </c>
      <c r="I1299" t="s">
        <v>2318</v>
      </c>
      <c r="J1299" t="s">
        <v>31</v>
      </c>
      <c r="K1299" t="s">
        <v>38</v>
      </c>
      <c r="L1299" t="s">
        <v>242</v>
      </c>
      <c r="M1299" t="s">
        <v>243</v>
      </c>
      <c r="N1299" t="s">
        <v>244</v>
      </c>
      <c r="O1299" t="s">
        <v>2319</v>
      </c>
      <c r="P1299" t="s">
        <v>2320</v>
      </c>
      <c r="T1299">
        <v>38.920054794000002</v>
      </c>
      <c r="U1299">
        <v>-77.211649687000005</v>
      </c>
      <c r="V1299">
        <f>SUM(W1299:X1299)+(Y1299*0.8)+(Z1299*0.4)</f>
        <v>3</v>
      </c>
      <c r="W1299">
        <v>3</v>
      </c>
      <c r="X1299">
        <v>0</v>
      </c>
      <c r="Y1299">
        <v>0</v>
      </c>
      <c r="Z1299">
        <v>0</v>
      </c>
      <c r="AA1299" t="s">
        <v>43</v>
      </c>
      <c r="AB1299">
        <v>3</v>
      </c>
      <c r="AD1299" t="s">
        <v>2321</v>
      </c>
      <c r="AE1299" t="s">
        <v>2322</v>
      </c>
    </row>
    <row r="1300" spans="1:31" x14ac:dyDescent="0.25">
      <c r="A1300" t="s">
        <v>31</v>
      </c>
      <c r="C1300" t="s">
        <v>6742</v>
      </c>
      <c r="D1300" t="s">
        <v>6747</v>
      </c>
      <c r="E1300" t="s">
        <v>34</v>
      </c>
      <c r="F1300" t="s">
        <v>35</v>
      </c>
      <c r="G1300">
        <v>1996</v>
      </c>
      <c r="H1300" t="s">
        <v>36</v>
      </c>
      <c r="I1300" t="s">
        <v>6748</v>
      </c>
      <c r="J1300" t="s">
        <v>31</v>
      </c>
      <c r="K1300" t="s">
        <v>38</v>
      </c>
      <c r="L1300" t="s">
        <v>172</v>
      </c>
      <c r="M1300" t="s">
        <v>173</v>
      </c>
      <c r="N1300" t="s">
        <v>780</v>
      </c>
      <c r="O1300" t="s">
        <v>781</v>
      </c>
      <c r="P1300" t="s">
        <v>3145</v>
      </c>
      <c r="T1300">
        <v>37.389689101999998</v>
      </c>
      <c r="U1300">
        <v>-121.962086945</v>
      </c>
      <c r="V1300">
        <f>SUM(W1300:X1300)+(Y1300*0.8)+(Z1300*0.4)</f>
        <v>3</v>
      </c>
      <c r="W1300">
        <v>3</v>
      </c>
      <c r="X1300">
        <v>0</v>
      </c>
      <c r="Y1300">
        <v>0</v>
      </c>
      <c r="Z1300">
        <v>0</v>
      </c>
      <c r="AA1300" t="s">
        <v>43</v>
      </c>
      <c r="AB1300">
        <v>3</v>
      </c>
      <c r="AD1300" t="s">
        <v>6749</v>
      </c>
      <c r="AE1300" t="s">
        <v>6750</v>
      </c>
    </row>
    <row r="1301" spans="1:31" x14ac:dyDescent="0.25">
      <c r="A1301" t="s">
        <v>31</v>
      </c>
      <c r="C1301" t="s">
        <v>2443</v>
      </c>
      <c r="D1301" t="s">
        <v>2444</v>
      </c>
      <c r="E1301" t="s">
        <v>362</v>
      </c>
      <c r="F1301" t="s">
        <v>1302</v>
      </c>
      <c r="G1301">
        <v>1982</v>
      </c>
      <c r="H1301" t="s">
        <v>36</v>
      </c>
      <c r="I1301" t="s">
        <v>2445</v>
      </c>
      <c r="J1301" t="s">
        <v>31</v>
      </c>
      <c r="K1301" t="s">
        <v>38</v>
      </c>
      <c r="L1301" t="s">
        <v>1380</v>
      </c>
      <c r="M1301" t="s">
        <v>1381</v>
      </c>
      <c r="N1301" t="s">
        <v>2446</v>
      </c>
      <c r="O1301" t="s">
        <v>2447</v>
      </c>
      <c r="P1301" t="s">
        <v>2448</v>
      </c>
      <c r="Q1301" t="s">
        <v>2449</v>
      </c>
      <c r="T1301">
        <v>41.881092774999999</v>
      </c>
      <c r="U1301">
        <v>-72.730792375999997</v>
      </c>
      <c r="V1301">
        <f>SUM(W1301:X1301)+(Y1301*0.8)+(Z1301*0.4)</f>
        <v>3</v>
      </c>
      <c r="W1301">
        <v>3</v>
      </c>
      <c r="X1301">
        <v>0</v>
      </c>
      <c r="Y1301">
        <v>0</v>
      </c>
      <c r="Z1301">
        <v>0</v>
      </c>
      <c r="AA1301" t="s">
        <v>43</v>
      </c>
      <c r="AB1301">
        <v>3</v>
      </c>
      <c r="AD1301" t="s">
        <v>2450</v>
      </c>
      <c r="AE1301" t="s">
        <v>2451</v>
      </c>
    </row>
    <row r="1302" spans="1:31" x14ac:dyDescent="0.25">
      <c r="A1302" t="s">
        <v>31</v>
      </c>
      <c r="C1302" t="s">
        <v>2064</v>
      </c>
      <c r="D1302" t="s">
        <v>2177</v>
      </c>
      <c r="E1302" t="s">
        <v>34</v>
      </c>
      <c r="F1302" t="s">
        <v>35</v>
      </c>
      <c r="G1302">
        <v>2000</v>
      </c>
      <c r="H1302" t="s">
        <v>36</v>
      </c>
      <c r="I1302" t="s">
        <v>2178</v>
      </c>
      <c r="J1302" t="s">
        <v>31</v>
      </c>
      <c r="K1302" t="s">
        <v>38</v>
      </c>
      <c r="L1302" t="s">
        <v>242</v>
      </c>
      <c r="M1302" t="s">
        <v>243</v>
      </c>
      <c r="N1302" t="s">
        <v>405</v>
      </c>
      <c r="O1302" t="s">
        <v>526</v>
      </c>
      <c r="P1302" t="s">
        <v>527</v>
      </c>
      <c r="T1302">
        <v>38.98442</v>
      </c>
      <c r="U1302">
        <v>-77.423779999999994</v>
      </c>
      <c r="V1302">
        <f>SUM(W1302:X1302)+(Y1302*0.8)+(Z1302*0.4)</f>
        <v>2.9</v>
      </c>
      <c r="W1302">
        <v>2.9</v>
      </c>
      <c r="X1302">
        <v>0</v>
      </c>
      <c r="Y1302">
        <v>0</v>
      </c>
      <c r="Z1302">
        <v>0</v>
      </c>
      <c r="AA1302" t="s">
        <v>43</v>
      </c>
      <c r="AB1302">
        <v>2.9</v>
      </c>
      <c r="AD1302" t="s">
        <v>2179</v>
      </c>
      <c r="AE1302" t="s">
        <v>2180</v>
      </c>
    </row>
    <row r="1303" spans="1:31" x14ac:dyDescent="0.25">
      <c r="A1303" t="s">
        <v>31</v>
      </c>
      <c r="C1303" t="s">
        <v>9092</v>
      </c>
      <c r="D1303" t="s">
        <v>9093</v>
      </c>
      <c r="E1303" t="s">
        <v>362</v>
      </c>
      <c r="F1303" t="s">
        <v>1803</v>
      </c>
      <c r="G1303">
        <v>2011</v>
      </c>
      <c r="H1303" t="s">
        <v>36</v>
      </c>
      <c r="I1303" t="s">
        <v>9094</v>
      </c>
      <c r="J1303" t="s">
        <v>31</v>
      </c>
      <c r="K1303" t="s">
        <v>38</v>
      </c>
      <c r="L1303" t="s">
        <v>39</v>
      </c>
      <c r="M1303" t="s">
        <v>40</v>
      </c>
      <c r="N1303" t="s">
        <v>253</v>
      </c>
      <c r="O1303" t="s">
        <v>9095</v>
      </c>
      <c r="P1303" t="s">
        <v>9096</v>
      </c>
      <c r="T1303">
        <v>40.346251457000001</v>
      </c>
      <c r="U1303">
        <v>-74.616204619000001</v>
      </c>
      <c r="V1303">
        <f>SUM(W1303:X1303)+(Y1303*0.8)+(Z1303*0.4)</f>
        <v>2.88</v>
      </c>
      <c r="W1303">
        <v>2.4</v>
      </c>
      <c r="X1303">
        <v>0</v>
      </c>
      <c r="Y1303">
        <v>0.6</v>
      </c>
      <c r="Z1303">
        <v>0</v>
      </c>
      <c r="AA1303" t="s">
        <v>43</v>
      </c>
      <c r="AB1303">
        <v>3</v>
      </c>
      <c r="AD1303" t="s">
        <v>9097</v>
      </c>
      <c r="AE1303" t="s">
        <v>9098</v>
      </c>
    </row>
    <row r="1304" spans="1:31" x14ac:dyDescent="0.25">
      <c r="A1304" t="s">
        <v>31</v>
      </c>
      <c r="C1304" t="s">
        <v>5644</v>
      </c>
      <c r="D1304" t="s">
        <v>5645</v>
      </c>
      <c r="E1304" t="s">
        <v>362</v>
      </c>
      <c r="F1304" t="s">
        <v>4135</v>
      </c>
      <c r="G1304">
        <v>2019</v>
      </c>
      <c r="H1304" t="s">
        <v>36</v>
      </c>
      <c r="I1304" t="s">
        <v>5646</v>
      </c>
      <c r="J1304" t="s">
        <v>31</v>
      </c>
      <c r="K1304" t="s">
        <v>38</v>
      </c>
      <c r="L1304" t="s">
        <v>1540</v>
      </c>
      <c r="M1304" t="s">
        <v>1541</v>
      </c>
      <c r="N1304" t="s">
        <v>5647</v>
      </c>
      <c r="O1304" t="s">
        <v>5648</v>
      </c>
      <c r="P1304" t="s">
        <v>5649</v>
      </c>
      <c r="T1304">
        <v>42.904949428000002</v>
      </c>
      <c r="U1304">
        <v>-112.463902645</v>
      </c>
      <c r="V1304">
        <f>SUM(W1304:X1304)+(Y1304*0.8)+(Z1304*0.4)</f>
        <v>2.86</v>
      </c>
      <c r="W1304">
        <v>2.2999999999999998</v>
      </c>
      <c r="X1304">
        <v>0</v>
      </c>
      <c r="Y1304">
        <v>0.7</v>
      </c>
      <c r="Z1304">
        <v>0</v>
      </c>
      <c r="AA1304" t="s">
        <v>43</v>
      </c>
      <c r="AB1304">
        <v>3</v>
      </c>
      <c r="AD1304" t="s">
        <v>5650</v>
      </c>
      <c r="AE1304" t="s">
        <v>5651</v>
      </c>
    </row>
    <row r="1305" spans="1:31" x14ac:dyDescent="0.25">
      <c r="A1305" t="s">
        <v>31</v>
      </c>
      <c r="C1305" t="s">
        <v>4801</v>
      </c>
      <c r="D1305" t="s">
        <v>4858</v>
      </c>
      <c r="E1305" t="s">
        <v>34</v>
      </c>
      <c r="F1305" t="s">
        <v>35</v>
      </c>
      <c r="G1305">
        <v>2024</v>
      </c>
      <c r="H1305" t="s">
        <v>36</v>
      </c>
      <c r="I1305" t="s">
        <v>4859</v>
      </c>
      <c r="J1305" t="s">
        <v>31</v>
      </c>
      <c r="K1305" t="s">
        <v>38</v>
      </c>
      <c r="L1305" t="s">
        <v>49</v>
      </c>
      <c r="M1305" t="s">
        <v>50</v>
      </c>
      <c r="N1305" t="s">
        <v>51</v>
      </c>
      <c r="O1305" t="s">
        <v>52</v>
      </c>
      <c r="P1305" t="s">
        <v>4855</v>
      </c>
      <c r="Q1305" t="s">
        <v>52</v>
      </c>
      <c r="S1305" t="s">
        <v>54</v>
      </c>
      <c r="T1305">
        <v>42.448305357999999</v>
      </c>
      <c r="U1305">
        <v>-83.261408488000001</v>
      </c>
      <c r="V1305">
        <f>SUM(W1305:X1305)+(Y1305*0.8)+(Z1305*0.4)</f>
        <v>2.8000000000000003</v>
      </c>
      <c r="W1305">
        <v>0</v>
      </c>
      <c r="X1305">
        <v>0</v>
      </c>
      <c r="Y1305">
        <v>0</v>
      </c>
      <c r="Z1305">
        <v>7</v>
      </c>
      <c r="AA1305" t="s">
        <v>43</v>
      </c>
      <c r="AB1305">
        <v>0</v>
      </c>
      <c r="AD1305" t="s">
        <v>4860</v>
      </c>
      <c r="AE1305" t="s">
        <v>4861</v>
      </c>
    </row>
    <row r="1306" spans="1:31" x14ac:dyDescent="0.25">
      <c r="A1306" t="s">
        <v>31</v>
      </c>
      <c r="B1306" t="s">
        <v>11350</v>
      </c>
      <c r="C1306" t="s">
        <v>647</v>
      </c>
      <c r="D1306" t="s">
        <v>981</v>
      </c>
      <c r="E1306" t="s">
        <v>362</v>
      </c>
      <c r="F1306" t="s">
        <v>649</v>
      </c>
      <c r="H1306" t="s">
        <v>36</v>
      </c>
      <c r="I1306" t="s">
        <v>982</v>
      </c>
      <c r="J1306" t="s">
        <v>31</v>
      </c>
      <c r="K1306" t="s">
        <v>38</v>
      </c>
      <c r="L1306" t="s">
        <v>68</v>
      </c>
      <c r="M1306" t="s">
        <v>69</v>
      </c>
      <c r="N1306" t="s">
        <v>297</v>
      </c>
      <c r="O1306" t="s">
        <v>983</v>
      </c>
      <c r="P1306" t="s">
        <v>984</v>
      </c>
      <c r="T1306">
        <v>32.624290195999997</v>
      </c>
      <c r="U1306">
        <v>-96.860109445999996</v>
      </c>
      <c r="V1306">
        <f>SUM(W1306:X1306)+(Y1306*0.8)+(Z1306*0.4)</f>
        <v>2.8000000000000003</v>
      </c>
      <c r="W1306">
        <v>0</v>
      </c>
      <c r="X1306">
        <v>0</v>
      </c>
      <c r="Y1306">
        <v>0</v>
      </c>
      <c r="Z1306">
        <v>7</v>
      </c>
      <c r="AA1306" t="s">
        <v>43</v>
      </c>
      <c r="AB1306">
        <v>0</v>
      </c>
      <c r="AD1306" t="s">
        <v>985</v>
      </c>
      <c r="AE1306" t="s">
        <v>986</v>
      </c>
    </row>
    <row r="1307" spans="1:31" x14ac:dyDescent="0.25">
      <c r="A1307" t="s">
        <v>31</v>
      </c>
      <c r="C1307" t="s">
        <v>10406</v>
      </c>
      <c r="D1307" t="s">
        <v>10509</v>
      </c>
      <c r="E1307" t="s">
        <v>34</v>
      </c>
      <c r="F1307" t="s">
        <v>35</v>
      </c>
      <c r="G1307">
        <v>2016</v>
      </c>
      <c r="H1307" t="s">
        <v>36</v>
      </c>
      <c r="I1307" t="s">
        <v>10510</v>
      </c>
      <c r="J1307" t="s">
        <v>31</v>
      </c>
      <c r="K1307" t="s">
        <v>38</v>
      </c>
      <c r="L1307" t="s">
        <v>1819</v>
      </c>
      <c r="M1307" t="s">
        <v>1820</v>
      </c>
      <c r="N1307" t="s">
        <v>8210</v>
      </c>
      <c r="O1307" t="s">
        <v>8208</v>
      </c>
      <c r="P1307" t="s">
        <v>10511</v>
      </c>
      <c r="T1307">
        <v>35.513650917</v>
      </c>
      <c r="U1307">
        <v>-97.595163659999997</v>
      </c>
      <c r="V1307">
        <f>SUM(W1307:X1307)+(Y1307*0.8)+(Z1307*0.4)</f>
        <v>2.8</v>
      </c>
      <c r="W1307">
        <v>2</v>
      </c>
      <c r="X1307">
        <v>0</v>
      </c>
      <c r="Y1307">
        <v>0</v>
      </c>
      <c r="Z1307">
        <v>2</v>
      </c>
      <c r="AA1307" t="s">
        <v>43</v>
      </c>
      <c r="AB1307">
        <v>1</v>
      </c>
      <c r="AD1307" t="s">
        <v>10512</v>
      </c>
      <c r="AE1307" t="s">
        <v>10513</v>
      </c>
    </row>
    <row r="1308" spans="1:31" x14ac:dyDescent="0.25">
      <c r="A1308" t="s">
        <v>31</v>
      </c>
      <c r="C1308" t="s">
        <v>2460</v>
      </c>
      <c r="D1308" t="s">
        <v>2465</v>
      </c>
      <c r="E1308" t="s">
        <v>362</v>
      </c>
      <c r="F1308" t="s">
        <v>1611</v>
      </c>
      <c r="G1308">
        <v>2011</v>
      </c>
      <c r="H1308" t="s">
        <v>36</v>
      </c>
      <c r="I1308" t="s">
        <v>2466</v>
      </c>
      <c r="J1308" t="s">
        <v>31</v>
      </c>
      <c r="K1308" t="s">
        <v>38</v>
      </c>
      <c r="L1308" t="s">
        <v>383</v>
      </c>
      <c r="M1308" t="s">
        <v>384</v>
      </c>
      <c r="N1308" t="s">
        <v>1372</v>
      </c>
      <c r="O1308" t="s">
        <v>2467</v>
      </c>
      <c r="P1308" t="s">
        <v>2468</v>
      </c>
      <c r="S1308" t="s">
        <v>2469</v>
      </c>
      <c r="T1308">
        <v>35.855331399000001</v>
      </c>
      <c r="U1308">
        <v>-78.868127950000002</v>
      </c>
      <c r="V1308">
        <f>SUM(W1308:X1308)+(Y1308*0.8)+(Z1308*0.4)</f>
        <v>2.8</v>
      </c>
      <c r="W1308">
        <v>2.8</v>
      </c>
      <c r="X1308">
        <v>0</v>
      </c>
      <c r="Y1308">
        <v>0</v>
      </c>
      <c r="Z1308">
        <v>0</v>
      </c>
      <c r="AA1308" t="s">
        <v>43</v>
      </c>
      <c r="AB1308">
        <v>2.8</v>
      </c>
      <c r="AD1308" t="s">
        <v>2470</v>
      </c>
      <c r="AE1308" t="s">
        <v>2471</v>
      </c>
    </row>
    <row r="1309" spans="1:31" x14ac:dyDescent="0.25">
      <c r="A1309" t="s">
        <v>31</v>
      </c>
      <c r="C1309" t="s">
        <v>6099</v>
      </c>
      <c r="D1309" t="s">
        <v>548</v>
      </c>
      <c r="E1309" t="s">
        <v>34</v>
      </c>
      <c r="F1309" t="s">
        <v>35</v>
      </c>
      <c r="G1309">
        <v>2009</v>
      </c>
      <c r="H1309" t="s">
        <v>36</v>
      </c>
      <c r="I1309" t="s">
        <v>6100</v>
      </c>
      <c r="J1309" t="s">
        <v>31</v>
      </c>
      <c r="K1309" t="s">
        <v>38</v>
      </c>
      <c r="L1309" t="s">
        <v>68</v>
      </c>
      <c r="M1309" t="s">
        <v>69</v>
      </c>
      <c r="N1309" t="s">
        <v>547</v>
      </c>
      <c r="O1309" t="s">
        <v>548</v>
      </c>
      <c r="P1309" t="s">
        <v>549</v>
      </c>
      <c r="T1309">
        <v>33.012442516</v>
      </c>
      <c r="U1309">
        <v>-96.683077213000004</v>
      </c>
      <c r="V1309">
        <f>SUM(W1309:X1309)+(Y1309*0.8)+(Z1309*0.4)</f>
        <v>2.8</v>
      </c>
      <c r="W1309">
        <v>2.8</v>
      </c>
      <c r="X1309">
        <v>0</v>
      </c>
      <c r="Y1309">
        <v>0</v>
      </c>
      <c r="Z1309">
        <v>0</v>
      </c>
      <c r="AA1309" t="s">
        <v>43</v>
      </c>
      <c r="AB1309">
        <v>2.8</v>
      </c>
      <c r="AD1309" t="s">
        <v>6101</v>
      </c>
      <c r="AE1309" t="s">
        <v>6102</v>
      </c>
    </row>
    <row r="1310" spans="1:31" x14ac:dyDescent="0.25">
      <c r="A1310" t="s">
        <v>31</v>
      </c>
      <c r="C1310" t="s">
        <v>1416</v>
      </c>
      <c r="D1310" t="s">
        <v>1424</v>
      </c>
      <c r="E1310" t="s">
        <v>34</v>
      </c>
      <c r="F1310" t="s">
        <v>66</v>
      </c>
      <c r="G1310">
        <v>2009</v>
      </c>
      <c r="H1310" t="s">
        <v>36</v>
      </c>
      <c r="I1310" t="s">
        <v>1425</v>
      </c>
      <c r="J1310" t="s">
        <v>31</v>
      </c>
      <c r="K1310" t="s">
        <v>38</v>
      </c>
      <c r="L1310" t="s">
        <v>326</v>
      </c>
      <c r="M1310" t="s">
        <v>327</v>
      </c>
      <c r="N1310" t="s">
        <v>1426</v>
      </c>
      <c r="O1310" t="s">
        <v>1424</v>
      </c>
      <c r="P1310" t="s">
        <v>1427</v>
      </c>
      <c r="T1310">
        <v>32.173551816</v>
      </c>
      <c r="U1310">
        <v>-110.913445459</v>
      </c>
      <c r="V1310">
        <f>SUM(W1310:X1310)+(Y1310*0.8)+(Z1310*0.4)</f>
        <v>2.8</v>
      </c>
      <c r="W1310">
        <v>2</v>
      </c>
      <c r="X1310">
        <v>0</v>
      </c>
      <c r="Y1310">
        <v>1</v>
      </c>
      <c r="Z1310">
        <v>0</v>
      </c>
      <c r="AA1310" t="s">
        <v>43</v>
      </c>
      <c r="AB1310">
        <v>0</v>
      </c>
      <c r="AD1310" t="s">
        <v>1428</v>
      </c>
      <c r="AE1310" t="s">
        <v>1429</v>
      </c>
    </row>
    <row r="1311" spans="1:31" x14ac:dyDescent="0.25">
      <c r="A1311" t="s">
        <v>31</v>
      </c>
      <c r="C1311" t="s">
        <v>5765</v>
      </c>
      <c r="D1311" t="s">
        <v>5823</v>
      </c>
      <c r="E1311" t="s">
        <v>34</v>
      </c>
      <c r="F1311" t="s">
        <v>35</v>
      </c>
      <c r="G1311">
        <v>2001</v>
      </c>
      <c r="H1311" t="s">
        <v>36</v>
      </c>
      <c r="I1311" t="s">
        <v>5824</v>
      </c>
      <c r="J1311" t="s">
        <v>31</v>
      </c>
      <c r="K1311" t="s">
        <v>38</v>
      </c>
      <c r="L1311" t="s">
        <v>242</v>
      </c>
      <c r="M1311" t="s">
        <v>243</v>
      </c>
      <c r="N1311" t="s">
        <v>1796</v>
      </c>
      <c r="O1311" t="s">
        <v>2341</v>
      </c>
      <c r="P1311" t="s">
        <v>5825</v>
      </c>
      <c r="T1311">
        <v>37.647211075999998</v>
      </c>
      <c r="U1311">
        <v>-77.438775518</v>
      </c>
      <c r="V1311">
        <f>SUM(W1311:X1311)+(Y1311*0.8)+(Z1311*0.4)</f>
        <v>2.8</v>
      </c>
      <c r="W1311">
        <v>2.8</v>
      </c>
      <c r="X1311">
        <v>0</v>
      </c>
      <c r="Y1311">
        <v>0</v>
      </c>
      <c r="Z1311">
        <v>0</v>
      </c>
      <c r="AA1311" t="s">
        <v>43</v>
      </c>
      <c r="AB1311">
        <v>2.75</v>
      </c>
      <c r="AD1311" t="s">
        <v>5826</v>
      </c>
      <c r="AE1311" t="s">
        <v>5827</v>
      </c>
    </row>
    <row r="1312" spans="1:31" x14ac:dyDescent="0.25">
      <c r="A1312" t="s">
        <v>31</v>
      </c>
      <c r="C1312" t="s">
        <v>169</v>
      </c>
      <c r="D1312" t="s">
        <v>249</v>
      </c>
      <c r="E1312" t="s">
        <v>34</v>
      </c>
      <c r="F1312" t="s">
        <v>35</v>
      </c>
      <c r="G1312">
        <v>2000</v>
      </c>
      <c r="H1312" t="s">
        <v>36</v>
      </c>
      <c r="I1312" t="s">
        <v>250</v>
      </c>
      <c r="J1312" t="s">
        <v>31</v>
      </c>
      <c r="K1312" t="s">
        <v>38</v>
      </c>
      <c r="L1312" t="s">
        <v>251</v>
      </c>
      <c r="M1312" t="s">
        <v>252</v>
      </c>
      <c r="N1312" t="s">
        <v>253</v>
      </c>
      <c r="O1312" t="s">
        <v>254</v>
      </c>
      <c r="P1312" t="s">
        <v>255</v>
      </c>
      <c r="T1312">
        <v>42.352545210999999</v>
      </c>
      <c r="U1312">
        <v>-71.586026715000003</v>
      </c>
      <c r="V1312">
        <f>SUM(W1312:X1312)+(Y1312*0.8)+(Z1312*0.4)</f>
        <v>2.8</v>
      </c>
      <c r="W1312">
        <v>2.8</v>
      </c>
      <c r="X1312">
        <v>0</v>
      </c>
      <c r="Y1312">
        <v>0</v>
      </c>
      <c r="Z1312">
        <v>0</v>
      </c>
      <c r="AA1312" t="s">
        <v>43</v>
      </c>
      <c r="AB1312">
        <v>2.7629999999999999</v>
      </c>
      <c r="AD1312" t="s">
        <v>256</v>
      </c>
      <c r="AE1312" t="s">
        <v>257</v>
      </c>
    </row>
    <row r="1313" spans="1:31" x14ac:dyDescent="0.25">
      <c r="A1313" t="s">
        <v>31</v>
      </c>
      <c r="C1313" t="s">
        <v>5181</v>
      </c>
      <c r="D1313" t="s">
        <v>5381</v>
      </c>
      <c r="E1313" t="s">
        <v>34</v>
      </c>
      <c r="F1313" t="s">
        <v>35</v>
      </c>
      <c r="G1313">
        <v>2014</v>
      </c>
      <c r="H1313" t="s">
        <v>36</v>
      </c>
      <c r="I1313" t="s">
        <v>5382</v>
      </c>
      <c r="J1313" t="s">
        <v>31</v>
      </c>
      <c r="K1313" t="s">
        <v>38</v>
      </c>
      <c r="L1313" t="s">
        <v>123</v>
      </c>
      <c r="M1313" t="s">
        <v>124</v>
      </c>
      <c r="N1313" t="s">
        <v>5383</v>
      </c>
      <c r="O1313" t="s">
        <v>5384</v>
      </c>
      <c r="P1313" t="s">
        <v>5385</v>
      </c>
      <c r="T1313">
        <v>41.070774</v>
      </c>
      <c r="U1313">
        <v>-73.820053000000001</v>
      </c>
      <c r="V1313">
        <f>SUM(W1313:X1313)+(Y1313*0.8)+(Z1313*0.4)</f>
        <v>2.7</v>
      </c>
      <c r="W1313">
        <v>2.7</v>
      </c>
      <c r="X1313">
        <v>0</v>
      </c>
      <c r="Y1313">
        <v>0</v>
      </c>
      <c r="Z1313">
        <v>0</v>
      </c>
      <c r="AA1313" t="s">
        <v>43</v>
      </c>
      <c r="AB1313">
        <v>2.5</v>
      </c>
      <c r="AD1313" t="s">
        <v>5386</v>
      </c>
      <c r="AE1313" t="s">
        <v>5387</v>
      </c>
    </row>
    <row r="1314" spans="1:31" x14ac:dyDescent="0.25">
      <c r="A1314" t="s">
        <v>31</v>
      </c>
      <c r="C1314" t="s">
        <v>9415</v>
      </c>
      <c r="D1314" t="s">
        <v>9422</v>
      </c>
      <c r="E1314" t="s">
        <v>34</v>
      </c>
      <c r="F1314" t="s">
        <v>35</v>
      </c>
      <c r="G1314">
        <v>2008</v>
      </c>
      <c r="H1314" t="s">
        <v>36</v>
      </c>
      <c r="I1314" t="s">
        <v>9423</v>
      </c>
      <c r="J1314" t="s">
        <v>31</v>
      </c>
      <c r="K1314" t="s">
        <v>38</v>
      </c>
      <c r="L1314" t="s">
        <v>39</v>
      </c>
      <c r="M1314" t="s">
        <v>40</v>
      </c>
      <c r="N1314" t="s">
        <v>210</v>
      </c>
      <c r="O1314" t="s">
        <v>533</v>
      </c>
      <c r="P1314" t="s">
        <v>3470</v>
      </c>
      <c r="T1314">
        <v>40.540941275000002</v>
      </c>
      <c r="U1314">
        <v>-74.536955731000006</v>
      </c>
      <c r="V1314">
        <f>SUM(W1314:X1314)+(Y1314*0.8)+(Z1314*0.4)</f>
        <v>2.7</v>
      </c>
      <c r="W1314">
        <v>2.7</v>
      </c>
      <c r="X1314">
        <v>0</v>
      </c>
      <c r="Y1314">
        <v>0</v>
      </c>
      <c r="Z1314">
        <v>0</v>
      </c>
      <c r="AA1314" t="s">
        <v>43</v>
      </c>
      <c r="AB1314">
        <v>2.6</v>
      </c>
      <c r="AD1314" t="s">
        <v>9424</v>
      </c>
      <c r="AE1314" t="s">
        <v>9425</v>
      </c>
    </row>
    <row r="1315" spans="1:31" x14ac:dyDescent="0.25">
      <c r="A1315" t="s">
        <v>31</v>
      </c>
      <c r="C1315" t="s">
        <v>5543</v>
      </c>
      <c r="D1315" t="s">
        <v>5578</v>
      </c>
      <c r="E1315" t="s">
        <v>34</v>
      </c>
      <c r="F1315" t="s">
        <v>35</v>
      </c>
      <c r="G1315">
        <v>2006</v>
      </c>
      <c r="H1315" t="s">
        <v>36</v>
      </c>
      <c r="I1315" t="s">
        <v>5579</v>
      </c>
      <c r="J1315" t="s">
        <v>31</v>
      </c>
      <c r="K1315" t="s">
        <v>38</v>
      </c>
      <c r="L1315" t="s">
        <v>317</v>
      </c>
      <c r="M1315" t="s">
        <v>318</v>
      </c>
      <c r="N1315" t="s">
        <v>1576</v>
      </c>
      <c r="O1315" t="s">
        <v>5580</v>
      </c>
      <c r="P1315" t="s">
        <v>5581</v>
      </c>
      <c r="Q1315" t="s">
        <v>5582</v>
      </c>
      <c r="T1315">
        <v>41.428128000000001</v>
      </c>
      <c r="U1315">
        <v>-81.574068999999994</v>
      </c>
      <c r="V1315">
        <f>SUM(W1315:X1315)+(Y1315*0.8)+(Z1315*0.4)</f>
        <v>2.7</v>
      </c>
      <c r="W1315">
        <v>2.7</v>
      </c>
      <c r="X1315">
        <v>0</v>
      </c>
      <c r="Y1315">
        <v>0</v>
      </c>
      <c r="Z1315">
        <v>0</v>
      </c>
      <c r="AA1315" t="s">
        <v>43</v>
      </c>
      <c r="AB1315">
        <v>1.9</v>
      </c>
      <c r="AD1315" t="s">
        <v>5583</v>
      </c>
      <c r="AE1315" t="s">
        <v>5584</v>
      </c>
    </row>
    <row r="1316" spans="1:31" x14ac:dyDescent="0.25">
      <c r="A1316" t="s">
        <v>31</v>
      </c>
      <c r="C1316" t="s">
        <v>169</v>
      </c>
      <c r="D1316" t="s">
        <v>291</v>
      </c>
      <c r="E1316" t="s">
        <v>34</v>
      </c>
      <c r="F1316" t="s">
        <v>35</v>
      </c>
      <c r="G1316">
        <v>2006</v>
      </c>
      <c r="H1316" t="s">
        <v>36</v>
      </c>
      <c r="I1316" t="s">
        <v>292</v>
      </c>
      <c r="J1316" t="s">
        <v>31</v>
      </c>
      <c r="K1316" t="s">
        <v>38</v>
      </c>
      <c r="L1316" t="s">
        <v>172</v>
      </c>
      <c r="M1316" t="s">
        <v>173</v>
      </c>
      <c r="N1316" t="s">
        <v>174</v>
      </c>
      <c r="O1316" t="s">
        <v>175</v>
      </c>
      <c r="P1316" t="s">
        <v>176</v>
      </c>
      <c r="T1316">
        <v>38.59635703</v>
      </c>
      <c r="U1316">
        <v>-121.272482731</v>
      </c>
      <c r="V1316">
        <f>SUM(W1316:X1316)+(Y1316*0.8)+(Z1316*0.4)</f>
        <v>2.7</v>
      </c>
      <c r="W1316">
        <v>2.7</v>
      </c>
      <c r="X1316">
        <v>0</v>
      </c>
      <c r="Y1316">
        <v>0</v>
      </c>
      <c r="Z1316">
        <v>0</v>
      </c>
      <c r="AA1316" t="s">
        <v>43</v>
      </c>
      <c r="AB1316">
        <v>2.4700000000000002</v>
      </c>
      <c r="AD1316" t="s">
        <v>293</v>
      </c>
      <c r="AE1316" t="s">
        <v>294</v>
      </c>
    </row>
    <row r="1317" spans="1:31" x14ac:dyDescent="0.25">
      <c r="A1317" t="s">
        <v>31</v>
      </c>
      <c r="C1317" t="s">
        <v>5181</v>
      </c>
      <c r="D1317" t="s">
        <v>5484</v>
      </c>
      <c r="E1317" t="s">
        <v>34</v>
      </c>
      <c r="F1317" t="s">
        <v>35</v>
      </c>
      <c r="G1317">
        <v>2004</v>
      </c>
      <c r="H1317" t="s">
        <v>36</v>
      </c>
      <c r="I1317" t="s">
        <v>5485</v>
      </c>
      <c r="J1317" t="s">
        <v>31</v>
      </c>
      <c r="K1317" t="s">
        <v>38</v>
      </c>
      <c r="L1317" t="s">
        <v>172</v>
      </c>
      <c r="M1317" t="s">
        <v>173</v>
      </c>
      <c r="N1317" t="s">
        <v>780</v>
      </c>
      <c r="O1317" t="s">
        <v>5486</v>
      </c>
      <c r="P1317" t="s">
        <v>5487</v>
      </c>
      <c r="Q1317" t="s">
        <v>5488</v>
      </c>
      <c r="T1317">
        <v>37.445957407999998</v>
      </c>
      <c r="U1317">
        <v>-122.160780116</v>
      </c>
      <c r="V1317">
        <f>SUM(W1317:X1317)+(Y1317*0.8)+(Z1317*0.4)</f>
        <v>2.7</v>
      </c>
      <c r="W1317">
        <v>2.7</v>
      </c>
      <c r="X1317">
        <v>0</v>
      </c>
      <c r="Y1317">
        <v>0</v>
      </c>
      <c r="Z1317">
        <v>0</v>
      </c>
      <c r="AA1317" t="s">
        <v>43</v>
      </c>
      <c r="AB1317">
        <v>2.7</v>
      </c>
      <c r="AD1317" t="s">
        <v>5489</v>
      </c>
      <c r="AE1317" t="s">
        <v>5490</v>
      </c>
    </row>
    <row r="1318" spans="1:31" x14ac:dyDescent="0.25">
      <c r="A1318" t="s">
        <v>31</v>
      </c>
      <c r="C1318" t="s">
        <v>3849</v>
      </c>
      <c r="D1318" t="s">
        <v>3414</v>
      </c>
      <c r="E1318" t="s">
        <v>34</v>
      </c>
      <c r="F1318" t="s">
        <v>66</v>
      </c>
      <c r="G1318">
        <v>2002</v>
      </c>
      <c r="H1318" t="s">
        <v>36</v>
      </c>
      <c r="I1318" t="s">
        <v>4454</v>
      </c>
      <c r="J1318" t="s">
        <v>31</v>
      </c>
      <c r="K1318" t="s">
        <v>38</v>
      </c>
      <c r="L1318" t="s">
        <v>68</v>
      </c>
      <c r="M1318" t="s">
        <v>69</v>
      </c>
      <c r="N1318" t="s">
        <v>297</v>
      </c>
      <c r="O1318" t="s">
        <v>2116</v>
      </c>
      <c r="P1318" t="s">
        <v>4455</v>
      </c>
      <c r="S1318" t="s">
        <v>4456</v>
      </c>
      <c r="T1318">
        <v>32.787219999999998</v>
      </c>
      <c r="U1318">
        <v>-96.794179</v>
      </c>
      <c r="V1318">
        <f>SUM(W1318:X1318)+(Y1318*0.8)+(Z1318*0.4)</f>
        <v>2.7</v>
      </c>
      <c r="W1318">
        <v>2.7</v>
      </c>
      <c r="X1318">
        <v>0</v>
      </c>
      <c r="Y1318">
        <v>0</v>
      </c>
      <c r="Z1318">
        <v>0</v>
      </c>
      <c r="AA1318" t="s">
        <v>43</v>
      </c>
      <c r="AB1318">
        <v>2.7</v>
      </c>
      <c r="AD1318" t="s">
        <v>4457</v>
      </c>
      <c r="AE1318" t="s">
        <v>4458</v>
      </c>
    </row>
    <row r="1319" spans="1:31" x14ac:dyDescent="0.25">
      <c r="A1319" t="s">
        <v>31</v>
      </c>
      <c r="C1319" t="s">
        <v>9430</v>
      </c>
      <c r="D1319" t="s">
        <v>9431</v>
      </c>
      <c r="E1319" t="s">
        <v>34</v>
      </c>
      <c r="F1319" t="s">
        <v>35</v>
      </c>
      <c r="G1319">
        <v>2001</v>
      </c>
      <c r="H1319" t="s">
        <v>36</v>
      </c>
      <c r="I1319" t="s">
        <v>9432</v>
      </c>
      <c r="J1319" t="s">
        <v>31</v>
      </c>
      <c r="K1319" t="s">
        <v>38</v>
      </c>
      <c r="L1319" t="s">
        <v>193</v>
      </c>
      <c r="M1319" t="s">
        <v>194</v>
      </c>
      <c r="O1319" t="s">
        <v>1343</v>
      </c>
      <c r="P1319" t="s">
        <v>3085</v>
      </c>
      <c r="Q1319" t="s">
        <v>3086</v>
      </c>
      <c r="T1319">
        <v>39.745761446000003</v>
      </c>
      <c r="U1319">
        <v>-104.994442217</v>
      </c>
      <c r="V1319">
        <f>SUM(W1319:X1319)+(Y1319*0.8)+(Z1319*0.4)</f>
        <v>2.7</v>
      </c>
      <c r="W1319">
        <v>2.7</v>
      </c>
      <c r="X1319">
        <v>0</v>
      </c>
      <c r="Y1319">
        <v>0</v>
      </c>
      <c r="Z1319">
        <v>0</v>
      </c>
      <c r="AA1319" t="s">
        <v>43</v>
      </c>
      <c r="AB1319">
        <v>2.7</v>
      </c>
      <c r="AC1319">
        <v>2</v>
      </c>
      <c r="AD1319" t="s">
        <v>9433</v>
      </c>
      <c r="AE1319" t="s">
        <v>9434</v>
      </c>
    </row>
    <row r="1320" spans="1:31" x14ac:dyDescent="0.25">
      <c r="A1320" t="s">
        <v>31</v>
      </c>
      <c r="C1320" t="s">
        <v>3849</v>
      </c>
      <c r="D1320" t="s">
        <v>4577</v>
      </c>
      <c r="E1320" t="s">
        <v>34</v>
      </c>
      <c r="F1320" t="s">
        <v>35</v>
      </c>
      <c r="G1320">
        <v>1995</v>
      </c>
      <c r="H1320" t="s">
        <v>36</v>
      </c>
      <c r="I1320" t="s">
        <v>4578</v>
      </c>
      <c r="J1320" t="s">
        <v>31</v>
      </c>
      <c r="K1320" t="s">
        <v>38</v>
      </c>
      <c r="L1320" t="s">
        <v>172</v>
      </c>
      <c r="M1320" t="s">
        <v>173</v>
      </c>
      <c r="N1320" t="s">
        <v>493</v>
      </c>
      <c r="O1320" t="s">
        <v>4273</v>
      </c>
      <c r="P1320" t="s">
        <v>4274</v>
      </c>
      <c r="T1320">
        <v>33.917679999999997</v>
      </c>
      <c r="U1320">
        <v>-118.38625</v>
      </c>
      <c r="V1320">
        <f>SUM(W1320:X1320)+(Y1320*0.8)+(Z1320*0.4)</f>
        <v>2.7</v>
      </c>
      <c r="W1320">
        <v>2.7</v>
      </c>
      <c r="X1320">
        <v>0</v>
      </c>
      <c r="Y1320">
        <v>0</v>
      </c>
      <c r="Z1320">
        <v>0</v>
      </c>
      <c r="AA1320" t="s">
        <v>43</v>
      </c>
      <c r="AB1320">
        <v>2.7</v>
      </c>
      <c r="AD1320" t="s">
        <v>4579</v>
      </c>
      <c r="AE1320" t="s">
        <v>4580</v>
      </c>
    </row>
    <row r="1321" spans="1:31" x14ac:dyDescent="0.25">
      <c r="A1321" t="s">
        <v>31</v>
      </c>
      <c r="C1321" t="s">
        <v>3710</v>
      </c>
      <c r="D1321" t="s">
        <v>3963</v>
      </c>
      <c r="E1321" t="s">
        <v>34</v>
      </c>
      <c r="F1321" t="s">
        <v>35</v>
      </c>
      <c r="G1321">
        <v>1994</v>
      </c>
      <c r="H1321" t="s">
        <v>36</v>
      </c>
      <c r="I1321" t="s">
        <v>3964</v>
      </c>
      <c r="J1321" t="s">
        <v>31</v>
      </c>
      <c r="K1321" t="s">
        <v>38</v>
      </c>
      <c r="L1321" t="s">
        <v>172</v>
      </c>
      <c r="M1321" t="s">
        <v>173</v>
      </c>
      <c r="N1321" t="s">
        <v>433</v>
      </c>
      <c r="O1321" t="s">
        <v>501</v>
      </c>
      <c r="P1321" t="s">
        <v>502</v>
      </c>
      <c r="S1321" t="s">
        <v>503</v>
      </c>
      <c r="T1321">
        <v>33.690610528000001</v>
      </c>
      <c r="U1321">
        <v>-117.840575702</v>
      </c>
      <c r="V1321">
        <f>SUM(W1321:X1321)+(Y1321*0.8)+(Z1321*0.4)</f>
        <v>2.7</v>
      </c>
      <c r="W1321">
        <v>2.7</v>
      </c>
      <c r="X1321">
        <v>0</v>
      </c>
      <c r="Y1321">
        <v>0</v>
      </c>
      <c r="Z1321">
        <v>0</v>
      </c>
      <c r="AA1321" t="s">
        <v>43</v>
      </c>
      <c r="AB1321">
        <v>2.7</v>
      </c>
      <c r="AD1321" t="s">
        <v>3965</v>
      </c>
      <c r="AE1321" t="s">
        <v>3966</v>
      </c>
    </row>
    <row r="1322" spans="1:31" x14ac:dyDescent="0.25">
      <c r="A1322" t="s">
        <v>31</v>
      </c>
      <c r="C1322" t="s">
        <v>8354</v>
      </c>
      <c r="D1322" t="s">
        <v>8355</v>
      </c>
      <c r="E1322" t="s">
        <v>362</v>
      </c>
      <c r="F1322" t="s">
        <v>381</v>
      </c>
      <c r="G1322">
        <v>2009</v>
      </c>
      <c r="H1322" t="s">
        <v>36</v>
      </c>
      <c r="I1322" t="s">
        <v>8356</v>
      </c>
      <c r="J1322" t="s">
        <v>31</v>
      </c>
      <c r="K1322" t="s">
        <v>38</v>
      </c>
      <c r="L1322" t="s">
        <v>383</v>
      </c>
      <c r="M1322" t="s">
        <v>384</v>
      </c>
      <c r="N1322" t="s">
        <v>1372</v>
      </c>
      <c r="P1322" t="s">
        <v>6671</v>
      </c>
      <c r="S1322" t="s">
        <v>2469</v>
      </c>
      <c r="T1322">
        <v>35.857413897000001</v>
      </c>
      <c r="U1322">
        <v>-78.885679314000001</v>
      </c>
      <c r="V1322">
        <f>SUM(W1322:X1322)+(Y1322*0.8)+(Z1322*0.4)</f>
        <v>2.6</v>
      </c>
      <c r="W1322">
        <v>2.6</v>
      </c>
      <c r="X1322">
        <v>0</v>
      </c>
      <c r="Y1322">
        <v>0</v>
      </c>
      <c r="Z1322">
        <v>0</v>
      </c>
      <c r="AA1322" t="s">
        <v>43</v>
      </c>
      <c r="AB1322">
        <v>2.6</v>
      </c>
      <c r="AC1322">
        <v>1.2</v>
      </c>
      <c r="AD1322" t="s">
        <v>8357</v>
      </c>
      <c r="AE1322" t="s">
        <v>8358</v>
      </c>
    </row>
    <row r="1323" spans="1:31" x14ac:dyDescent="0.25">
      <c r="A1323" t="s">
        <v>31</v>
      </c>
      <c r="C1323" t="s">
        <v>5181</v>
      </c>
      <c r="D1323" t="s">
        <v>5204</v>
      </c>
      <c r="E1323" t="s">
        <v>34</v>
      </c>
      <c r="F1323" t="s">
        <v>35</v>
      </c>
      <c r="G1323">
        <v>2002</v>
      </c>
      <c r="H1323" t="s">
        <v>36</v>
      </c>
      <c r="I1323" t="s">
        <v>5205</v>
      </c>
      <c r="J1323" t="s">
        <v>31</v>
      </c>
      <c r="K1323" t="s">
        <v>38</v>
      </c>
      <c r="L1323" t="s">
        <v>86</v>
      </c>
      <c r="M1323" t="s">
        <v>87</v>
      </c>
      <c r="N1323" t="s">
        <v>2215</v>
      </c>
      <c r="O1323" t="s">
        <v>5206</v>
      </c>
      <c r="P1323" t="s">
        <v>5207</v>
      </c>
      <c r="T1323">
        <v>41.812689712999997</v>
      </c>
      <c r="U1323">
        <v>-87.973034915</v>
      </c>
      <c r="V1323">
        <f>SUM(W1323:X1323)+(Y1323*0.8)+(Z1323*0.4)</f>
        <v>2.6</v>
      </c>
      <c r="W1323">
        <v>2.6</v>
      </c>
      <c r="X1323">
        <v>0</v>
      </c>
      <c r="Y1323">
        <v>0</v>
      </c>
      <c r="Z1323">
        <v>0</v>
      </c>
      <c r="AA1323" t="s">
        <v>43</v>
      </c>
      <c r="AB1323">
        <v>2.16</v>
      </c>
      <c r="AD1323" t="s">
        <v>5208</v>
      </c>
      <c r="AE1323" t="s">
        <v>5209</v>
      </c>
    </row>
    <row r="1324" spans="1:31" x14ac:dyDescent="0.25">
      <c r="A1324" t="s">
        <v>31</v>
      </c>
      <c r="C1324" t="s">
        <v>3849</v>
      </c>
      <c r="D1324" t="s">
        <v>4368</v>
      </c>
      <c r="E1324" t="s">
        <v>34</v>
      </c>
      <c r="F1324" t="s">
        <v>66</v>
      </c>
      <c r="G1324">
        <v>2000</v>
      </c>
      <c r="H1324" t="s">
        <v>36</v>
      </c>
      <c r="I1324" t="s">
        <v>4369</v>
      </c>
      <c r="J1324" t="s">
        <v>31</v>
      </c>
      <c r="K1324" t="s">
        <v>38</v>
      </c>
      <c r="L1324" t="s">
        <v>383</v>
      </c>
      <c r="M1324" t="s">
        <v>384</v>
      </c>
      <c r="N1324" t="s">
        <v>2270</v>
      </c>
      <c r="O1324" t="s">
        <v>2271</v>
      </c>
      <c r="P1324" t="s">
        <v>2272</v>
      </c>
      <c r="S1324" t="s">
        <v>2273</v>
      </c>
      <c r="T1324">
        <v>35.221547053000002</v>
      </c>
      <c r="U1324">
        <v>-80.836002601000004</v>
      </c>
      <c r="V1324">
        <f>SUM(W1324:X1324)+(Y1324*0.8)+(Z1324*0.4)</f>
        <v>2.6</v>
      </c>
      <c r="W1324">
        <v>2.6</v>
      </c>
      <c r="X1324">
        <v>0</v>
      </c>
      <c r="Y1324">
        <v>0</v>
      </c>
      <c r="Z1324">
        <v>0</v>
      </c>
      <c r="AA1324" t="s">
        <v>43</v>
      </c>
      <c r="AB1324">
        <v>2.6</v>
      </c>
      <c r="AD1324" t="s">
        <v>4370</v>
      </c>
      <c r="AE1324" t="s">
        <v>4371</v>
      </c>
    </row>
    <row r="1325" spans="1:31" x14ac:dyDescent="0.25">
      <c r="A1325" t="s">
        <v>31</v>
      </c>
      <c r="C1325" t="s">
        <v>7065</v>
      </c>
      <c r="D1325" t="s">
        <v>7066</v>
      </c>
      <c r="E1325" t="s">
        <v>362</v>
      </c>
      <c r="F1325" t="s">
        <v>43</v>
      </c>
      <c r="G1325">
        <v>1990</v>
      </c>
      <c r="H1325" t="s">
        <v>36</v>
      </c>
      <c r="I1325" t="s">
        <v>7067</v>
      </c>
      <c r="J1325" t="s">
        <v>31</v>
      </c>
      <c r="K1325" t="s">
        <v>38</v>
      </c>
      <c r="L1325" t="s">
        <v>317</v>
      </c>
      <c r="M1325" t="s">
        <v>318</v>
      </c>
      <c r="N1325" t="s">
        <v>665</v>
      </c>
      <c r="O1325" t="s">
        <v>668</v>
      </c>
      <c r="P1325" t="s">
        <v>7068</v>
      </c>
      <c r="Q1325" t="s">
        <v>668</v>
      </c>
      <c r="S1325" t="s">
        <v>1681</v>
      </c>
      <c r="T1325">
        <v>39.966526825000003</v>
      </c>
      <c r="U1325">
        <v>-83.121164039000007</v>
      </c>
      <c r="V1325">
        <f>SUM(W1325:X1325)+(Y1325*0.8)+(Z1325*0.4)</f>
        <v>2.6</v>
      </c>
      <c r="W1325">
        <v>2.6</v>
      </c>
      <c r="X1325">
        <v>0</v>
      </c>
      <c r="Y1325">
        <v>0</v>
      </c>
      <c r="Z1325">
        <v>0</v>
      </c>
      <c r="AA1325" t="s">
        <v>43</v>
      </c>
      <c r="AB1325">
        <v>2.6</v>
      </c>
      <c r="AD1325" t="s">
        <v>7069</v>
      </c>
      <c r="AE1325" t="s">
        <v>7070</v>
      </c>
    </row>
    <row r="1326" spans="1:31" x14ac:dyDescent="0.25">
      <c r="A1326" t="s">
        <v>31</v>
      </c>
      <c r="C1326" t="s">
        <v>9706</v>
      </c>
      <c r="D1326" t="s">
        <v>9707</v>
      </c>
      <c r="E1326" t="s">
        <v>362</v>
      </c>
      <c r="F1326" t="s">
        <v>381</v>
      </c>
      <c r="G1326">
        <v>2020</v>
      </c>
      <c r="H1326" t="s">
        <v>36</v>
      </c>
      <c r="I1326" t="s">
        <v>9708</v>
      </c>
      <c r="J1326" t="s">
        <v>31</v>
      </c>
      <c r="K1326" t="s">
        <v>38</v>
      </c>
      <c r="L1326" t="s">
        <v>77</v>
      </c>
      <c r="M1326" t="s">
        <v>78</v>
      </c>
      <c r="N1326" t="s">
        <v>9709</v>
      </c>
      <c r="O1326" t="s">
        <v>3635</v>
      </c>
      <c r="P1326" t="s">
        <v>9710</v>
      </c>
      <c r="Q1326" t="s">
        <v>3635</v>
      </c>
      <c r="T1326">
        <v>41.000623353999998</v>
      </c>
      <c r="U1326">
        <v>-80.346875800999996</v>
      </c>
      <c r="V1326">
        <f>SUM(W1326:X1326)+(Y1326*0.8)+(Z1326*0.4)</f>
        <v>2.5</v>
      </c>
      <c r="W1326">
        <v>2.5</v>
      </c>
      <c r="X1326">
        <v>0</v>
      </c>
      <c r="Y1326">
        <v>0</v>
      </c>
      <c r="Z1326">
        <v>0</v>
      </c>
      <c r="AA1326" t="s">
        <v>43</v>
      </c>
      <c r="AB1326">
        <v>2.5</v>
      </c>
      <c r="AD1326" t="s">
        <v>9711</v>
      </c>
      <c r="AE1326" t="s">
        <v>9712</v>
      </c>
    </row>
    <row r="1327" spans="1:31" x14ac:dyDescent="0.25">
      <c r="A1327" t="s">
        <v>31</v>
      </c>
      <c r="C1327" t="s">
        <v>9621</v>
      </c>
      <c r="D1327" t="s">
        <v>9622</v>
      </c>
      <c r="E1327" t="s">
        <v>362</v>
      </c>
      <c r="F1327" t="s">
        <v>372</v>
      </c>
      <c r="G1327">
        <v>2019</v>
      </c>
      <c r="H1327" t="s">
        <v>36</v>
      </c>
      <c r="I1327" t="s">
        <v>9623</v>
      </c>
      <c r="J1327" t="s">
        <v>31</v>
      </c>
      <c r="K1327" t="s">
        <v>38</v>
      </c>
      <c r="L1327" t="s">
        <v>843</v>
      </c>
      <c r="M1327" t="s">
        <v>1644</v>
      </c>
      <c r="N1327" t="s">
        <v>9624</v>
      </c>
      <c r="O1327" t="s">
        <v>9622</v>
      </c>
      <c r="P1327" t="s">
        <v>9625</v>
      </c>
      <c r="T1327">
        <v>45.622794206000002</v>
      </c>
      <c r="U1327">
        <v>-121.13753566299999</v>
      </c>
      <c r="V1327">
        <f>SUM(W1327:X1327)+(Y1327*0.8)+(Z1327*0.4)</f>
        <v>2.5</v>
      </c>
      <c r="W1327">
        <v>2.5</v>
      </c>
      <c r="X1327">
        <v>0</v>
      </c>
      <c r="Y1327">
        <v>0</v>
      </c>
      <c r="Z1327">
        <v>0</v>
      </c>
      <c r="AA1327" t="s">
        <v>43</v>
      </c>
      <c r="AB1327">
        <v>2.5</v>
      </c>
      <c r="AD1327" t="s">
        <v>9626</v>
      </c>
      <c r="AE1327" t="s">
        <v>9627</v>
      </c>
    </row>
    <row r="1328" spans="1:31" x14ac:dyDescent="0.25">
      <c r="A1328" t="s">
        <v>31</v>
      </c>
      <c r="C1328" t="s">
        <v>9384</v>
      </c>
      <c r="D1328" t="s">
        <v>9385</v>
      </c>
      <c r="E1328" t="s">
        <v>34</v>
      </c>
      <c r="F1328" t="s">
        <v>35</v>
      </c>
      <c r="G1328">
        <v>2017</v>
      </c>
      <c r="H1328" t="s">
        <v>36</v>
      </c>
      <c r="I1328" t="s">
        <v>9386</v>
      </c>
      <c r="J1328" t="s">
        <v>31</v>
      </c>
      <c r="K1328" t="s">
        <v>38</v>
      </c>
      <c r="L1328" t="s">
        <v>39</v>
      </c>
      <c r="M1328" t="s">
        <v>40</v>
      </c>
      <c r="N1328" t="s">
        <v>2140</v>
      </c>
      <c r="O1328" t="s">
        <v>2161</v>
      </c>
      <c r="P1328" t="s">
        <v>2162</v>
      </c>
      <c r="T1328">
        <v>40.786275715000002</v>
      </c>
      <c r="U1328">
        <v>-74.074283331000004</v>
      </c>
      <c r="V1328">
        <f>SUM(W1328:X1328)+(Y1328*0.8)+(Z1328*0.4)</f>
        <v>2.5</v>
      </c>
      <c r="W1328">
        <v>2.5</v>
      </c>
      <c r="X1328">
        <v>0</v>
      </c>
      <c r="Y1328">
        <v>0</v>
      </c>
      <c r="Z1328">
        <v>0</v>
      </c>
      <c r="AA1328" t="s">
        <v>43</v>
      </c>
      <c r="AB1328">
        <v>2.4049999999999998</v>
      </c>
      <c r="AD1328" t="s">
        <v>9387</v>
      </c>
      <c r="AE1328" t="s">
        <v>9388</v>
      </c>
    </row>
    <row r="1329" spans="1:31" x14ac:dyDescent="0.25">
      <c r="A1329" t="s">
        <v>31</v>
      </c>
      <c r="C1329" t="s">
        <v>4801</v>
      </c>
      <c r="D1329" t="s">
        <v>4893</v>
      </c>
      <c r="E1329" t="s">
        <v>34</v>
      </c>
      <c r="F1329" t="s">
        <v>35</v>
      </c>
      <c r="G1329">
        <v>2014</v>
      </c>
      <c r="H1329" t="s">
        <v>36</v>
      </c>
      <c r="I1329" t="s">
        <v>4894</v>
      </c>
      <c r="J1329" t="s">
        <v>31</v>
      </c>
      <c r="K1329" t="s">
        <v>38</v>
      </c>
      <c r="L1329" t="s">
        <v>260</v>
      </c>
      <c r="M1329" t="s">
        <v>261</v>
      </c>
      <c r="N1329" t="s">
        <v>262</v>
      </c>
      <c r="O1329" t="s">
        <v>263</v>
      </c>
      <c r="P1329" t="s">
        <v>4895</v>
      </c>
      <c r="S1329" t="s">
        <v>4896</v>
      </c>
      <c r="T1329">
        <v>36.145043999999999</v>
      </c>
      <c r="U1329">
        <v>-86.701860999999994</v>
      </c>
      <c r="V1329">
        <f>SUM(W1329:X1329)+(Y1329*0.8)+(Z1329*0.4)</f>
        <v>2.5</v>
      </c>
      <c r="W1329">
        <v>0.5</v>
      </c>
      <c r="X1329">
        <v>0</v>
      </c>
      <c r="Y1329">
        <v>2.5</v>
      </c>
      <c r="Z1329">
        <v>0</v>
      </c>
      <c r="AA1329" t="s">
        <v>43</v>
      </c>
      <c r="AB1329">
        <v>3</v>
      </c>
      <c r="AD1329" t="s">
        <v>4897</v>
      </c>
      <c r="AE1329" t="s">
        <v>4898</v>
      </c>
    </row>
    <row r="1330" spans="1:31" x14ac:dyDescent="0.25">
      <c r="A1330" t="s">
        <v>31</v>
      </c>
      <c r="C1330" t="s">
        <v>10406</v>
      </c>
      <c r="D1330" t="s">
        <v>10528</v>
      </c>
      <c r="E1330" t="s">
        <v>34</v>
      </c>
      <c r="F1330" t="s">
        <v>35</v>
      </c>
      <c r="G1330">
        <v>2013</v>
      </c>
      <c r="H1330" t="s">
        <v>36</v>
      </c>
      <c r="I1330" t="s">
        <v>10529</v>
      </c>
      <c r="J1330" t="s">
        <v>31</v>
      </c>
      <c r="K1330" t="s">
        <v>38</v>
      </c>
      <c r="L1330" t="s">
        <v>843</v>
      </c>
      <c r="M1330" t="s">
        <v>1644</v>
      </c>
      <c r="N1330" t="s">
        <v>2232</v>
      </c>
      <c r="O1330" t="s">
        <v>4155</v>
      </c>
      <c r="P1330" t="s">
        <v>5524</v>
      </c>
      <c r="Q1330" t="s">
        <v>6486</v>
      </c>
      <c r="S1330" t="s">
        <v>4157</v>
      </c>
      <c r="T1330">
        <v>47.619064307999999</v>
      </c>
      <c r="U1330">
        <v>-122.348512688</v>
      </c>
      <c r="V1330">
        <f>SUM(W1330:X1330)+(Y1330*0.8)+(Z1330*0.4)</f>
        <v>2.5</v>
      </c>
      <c r="W1330">
        <v>2.5</v>
      </c>
      <c r="X1330">
        <v>0</v>
      </c>
      <c r="Y1330">
        <v>0</v>
      </c>
      <c r="Z1330">
        <v>0</v>
      </c>
      <c r="AA1330" t="s">
        <v>43</v>
      </c>
      <c r="AB1330">
        <v>2.5</v>
      </c>
      <c r="AD1330" t="s">
        <v>10530</v>
      </c>
      <c r="AE1330" t="s">
        <v>10531</v>
      </c>
    </row>
    <row r="1331" spans="1:31" x14ac:dyDescent="0.25">
      <c r="A1331" t="s">
        <v>31</v>
      </c>
      <c r="C1331" t="s">
        <v>9655</v>
      </c>
      <c r="D1331" t="s">
        <v>9665</v>
      </c>
      <c r="E1331" t="s">
        <v>34</v>
      </c>
      <c r="F1331" t="s">
        <v>35</v>
      </c>
      <c r="G1331">
        <v>2012</v>
      </c>
      <c r="H1331" t="s">
        <v>36</v>
      </c>
      <c r="I1331" t="s">
        <v>9666</v>
      </c>
      <c r="J1331" t="s">
        <v>31</v>
      </c>
      <c r="K1331" t="s">
        <v>38</v>
      </c>
      <c r="L1331" t="s">
        <v>383</v>
      </c>
      <c r="M1331" t="s">
        <v>384</v>
      </c>
      <c r="N1331" t="s">
        <v>2270</v>
      </c>
      <c r="O1331" t="s">
        <v>2271</v>
      </c>
      <c r="P1331" t="s">
        <v>9662</v>
      </c>
      <c r="S1331" t="s">
        <v>9667</v>
      </c>
      <c r="T1331">
        <v>35.193837199000001</v>
      </c>
      <c r="U1331">
        <v>-80.938437668000006</v>
      </c>
      <c r="V1331">
        <f>SUM(W1331:X1331)+(Y1331*0.8)+(Z1331*0.4)</f>
        <v>2.5</v>
      </c>
      <c r="W1331">
        <v>2.5</v>
      </c>
      <c r="X1331">
        <v>0</v>
      </c>
      <c r="Y1331">
        <v>0</v>
      </c>
      <c r="Z1331">
        <v>0</v>
      </c>
      <c r="AA1331" t="s">
        <v>43</v>
      </c>
      <c r="AB1331">
        <v>0.5</v>
      </c>
      <c r="AD1331" t="s">
        <v>9668</v>
      </c>
      <c r="AE1331" t="s">
        <v>9669</v>
      </c>
    </row>
    <row r="1332" spans="1:31" x14ac:dyDescent="0.25">
      <c r="A1332" t="s">
        <v>31</v>
      </c>
      <c r="C1332" t="s">
        <v>9616</v>
      </c>
      <c r="D1332" t="s">
        <v>9617</v>
      </c>
      <c r="E1332" t="s">
        <v>34</v>
      </c>
      <c r="F1332" t="s">
        <v>35</v>
      </c>
      <c r="G1332">
        <v>2011</v>
      </c>
      <c r="H1332" t="s">
        <v>36</v>
      </c>
      <c r="I1332" t="s">
        <v>9618</v>
      </c>
      <c r="J1332" t="s">
        <v>31</v>
      </c>
      <c r="K1332" t="s">
        <v>38</v>
      </c>
      <c r="L1332" t="s">
        <v>172</v>
      </c>
      <c r="M1332" t="s">
        <v>173</v>
      </c>
      <c r="N1332" t="s">
        <v>2023</v>
      </c>
      <c r="O1332" t="s">
        <v>2021</v>
      </c>
      <c r="P1332" t="s">
        <v>2024</v>
      </c>
      <c r="S1332" t="s">
        <v>2025</v>
      </c>
      <c r="T1332">
        <v>32.838353318999999</v>
      </c>
      <c r="U1332">
        <v>-117.13313145799999</v>
      </c>
      <c r="V1332">
        <f>SUM(W1332:X1332)+(Y1332*0.8)+(Z1332*0.4)</f>
        <v>2.5</v>
      </c>
      <c r="W1332">
        <v>2.5</v>
      </c>
      <c r="X1332">
        <v>0</v>
      </c>
      <c r="Y1332">
        <v>0</v>
      </c>
      <c r="Z1332">
        <v>0</v>
      </c>
      <c r="AA1332" t="s">
        <v>43</v>
      </c>
      <c r="AB1332">
        <v>2.2999999999999998</v>
      </c>
      <c r="AD1332" t="s">
        <v>9619</v>
      </c>
      <c r="AE1332" t="s">
        <v>9620</v>
      </c>
    </row>
    <row r="1333" spans="1:31" x14ac:dyDescent="0.25">
      <c r="A1333" t="s">
        <v>31</v>
      </c>
      <c r="C1333" t="s">
        <v>9393</v>
      </c>
      <c r="D1333" t="s">
        <v>9394</v>
      </c>
      <c r="E1333" t="s">
        <v>34</v>
      </c>
      <c r="F1333" t="s">
        <v>35</v>
      </c>
      <c r="G1333">
        <v>2010</v>
      </c>
      <c r="H1333" t="s">
        <v>36</v>
      </c>
      <c r="I1333" t="s">
        <v>9395</v>
      </c>
      <c r="J1333" t="s">
        <v>31</v>
      </c>
      <c r="K1333" t="s">
        <v>38</v>
      </c>
      <c r="L1333" t="s">
        <v>68</v>
      </c>
      <c r="M1333" t="s">
        <v>69</v>
      </c>
      <c r="N1333" t="s">
        <v>1951</v>
      </c>
      <c r="O1333" t="s">
        <v>1952</v>
      </c>
      <c r="P1333" t="s">
        <v>7193</v>
      </c>
      <c r="S1333" t="s">
        <v>138</v>
      </c>
      <c r="T1333">
        <v>29.760312595999999</v>
      </c>
      <c r="U1333">
        <v>-95.361914396000003</v>
      </c>
      <c r="V1333">
        <f>SUM(W1333:X1333)+(Y1333*0.8)+(Z1333*0.4)</f>
        <v>2.5</v>
      </c>
      <c r="W1333">
        <v>2.5</v>
      </c>
      <c r="X1333">
        <v>0</v>
      </c>
      <c r="Y1333">
        <v>0</v>
      </c>
      <c r="Z1333">
        <v>0</v>
      </c>
      <c r="AA1333" t="s">
        <v>43</v>
      </c>
      <c r="AB1333">
        <v>1.5</v>
      </c>
      <c r="AD1333" t="s">
        <v>9396</v>
      </c>
      <c r="AE1333" t="s">
        <v>9397</v>
      </c>
    </row>
    <row r="1334" spans="1:31" x14ac:dyDescent="0.25">
      <c r="A1334" t="s">
        <v>31</v>
      </c>
      <c r="C1334" t="s">
        <v>9655</v>
      </c>
      <c r="D1334" t="s">
        <v>9678</v>
      </c>
      <c r="E1334" t="s">
        <v>34</v>
      </c>
      <c r="F1334" t="s">
        <v>35</v>
      </c>
      <c r="G1334">
        <v>2008</v>
      </c>
      <c r="H1334" t="s">
        <v>36</v>
      </c>
      <c r="I1334" t="s">
        <v>9679</v>
      </c>
      <c r="J1334" t="s">
        <v>31</v>
      </c>
      <c r="K1334" t="s">
        <v>38</v>
      </c>
      <c r="L1334" t="s">
        <v>383</v>
      </c>
      <c r="M1334" t="s">
        <v>384</v>
      </c>
      <c r="N1334" t="s">
        <v>9680</v>
      </c>
      <c r="O1334" t="s">
        <v>9681</v>
      </c>
      <c r="P1334" t="s">
        <v>9682</v>
      </c>
      <c r="T1334">
        <v>36.055709999999998</v>
      </c>
      <c r="U1334">
        <v>-80.227745420999995</v>
      </c>
      <c r="V1334">
        <f>SUM(W1334:X1334)+(Y1334*0.8)+(Z1334*0.4)</f>
        <v>2.5</v>
      </c>
      <c r="W1334">
        <v>2.5</v>
      </c>
      <c r="X1334">
        <v>0</v>
      </c>
      <c r="Y1334">
        <v>0</v>
      </c>
      <c r="Z1334">
        <v>0</v>
      </c>
      <c r="AA1334" t="s">
        <v>43</v>
      </c>
      <c r="AB1334">
        <v>0.2</v>
      </c>
      <c r="AD1334" t="s">
        <v>9683</v>
      </c>
      <c r="AE1334" t="s">
        <v>9684</v>
      </c>
    </row>
    <row r="1335" spans="1:31" x14ac:dyDescent="0.25">
      <c r="A1335" t="s">
        <v>31</v>
      </c>
      <c r="C1335" t="s">
        <v>2840</v>
      </c>
      <c r="D1335" t="s">
        <v>2856</v>
      </c>
      <c r="E1335" t="s">
        <v>362</v>
      </c>
      <c r="F1335" t="s">
        <v>1611</v>
      </c>
      <c r="G1335">
        <v>2008</v>
      </c>
      <c r="H1335" t="s">
        <v>36</v>
      </c>
      <c r="I1335" t="s">
        <v>2857</v>
      </c>
      <c r="J1335" t="s">
        <v>31</v>
      </c>
      <c r="K1335" t="s">
        <v>38</v>
      </c>
      <c r="L1335" t="s">
        <v>193</v>
      </c>
      <c r="M1335" t="s">
        <v>194</v>
      </c>
      <c r="N1335" t="s">
        <v>2858</v>
      </c>
      <c r="O1335" t="s">
        <v>2859</v>
      </c>
      <c r="P1335" t="s">
        <v>2129</v>
      </c>
      <c r="T1335">
        <v>39.588229079999998</v>
      </c>
      <c r="U1335">
        <v>-104.83309090900001</v>
      </c>
      <c r="V1335">
        <f>SUM(W1335:X1335)+(Y1335*0.8)+(Z1335*0.4)</f>
        <v>2.5</v>
      </c>
      <c r="W1335">
        <v>2.5</v>
      </c>
      <c r="X1335">
        <v>0</v>
      </c>
      <c r="Y1335">
        <v>0</v>
      </c>
      <c r="Z1335">
        <v>0</v>
      </c>
      <c r="AA1335" t="s">
        <v>43</v>
      </c>
      <c r="AB1335">
        <v>2.5</v>
      </c>
      <c r="AD1335" t="s">
        <v>2860</v>
      </c>
      <c r="AE1335" t="s">
        <v>2861</v>
      </c>
    </row>
    <row r="1336" spans="1:31" x14ac:dyDescent="0.25">
      <c r="A1336" t="s">
        <v>31</v>
      </c>
      <c r="C1336" t="s">
        <v>8728</v>
      </c>
      <c r="D1336" t="s">
        <v>8729</v>
      </c>
      <c r="E1336" t="s">
        <v>34</v>
      </c>
      <c r="F1336" t="s">
        <v>35</v>
      </c>
      <c r="G1336">
        <v>2007</v>
      </c>
      <c r="H1336" t="s">
        <v>36</v>
      </c>
      <c r="I1336" t="s">
        <v>8730</v>
      </c>
      <c r="J1336" t="s">
        <v>31</v>
      </c>
      <c r="K1336" t="s">
        <v>38</v>
      </c>
      <c r="L1336" t="s">
        <v>123</v>
      </c>
      <c r="M1336" t="s">
        <v>124</v>
      </c>
      <c r="N1336" t="s">
        <v>7206</v>
      </c>
      <c r="O1336" t="s">
        <v>8731</v>
      </c>
      <c r="P1336" t="s">
        <v>8732</v>
      </c>
      <c r="T1336">
        <v>40.723086336000001</v>
      </c>
      <c r="U1336">
        <v>-73.631618915999994</v>
      </c>
      <c r="V1336">
        <f>SUM(W1336:X1336)+(Y1336*0.8)+(Z1336*0.4)</f>
        <v>2.5</v>
      </c>
      <c r="W1336">
        <v>2.5</v>
      </c>
      <c r="X1336">
        <v>0</v>
      </c>
      <c r="Y1336">
        <v>0</v>
      </c>
      <c r="Z1336">
        <v>0</v>
      </c>
      <c r="AA1336" t="s">
        <v>43</v>
      </c>
      <c r="AB1336">
        <v>2.4</v>
      </c>
      <c r="AD1336" t="s">
        <v>8733</v>
      </c>
      <c r="AE1336" t="s">
        <v>8734</v>
      </c>
    </row>
    <row r="1337" spans="1:31" x14ac:dyDescent="0.25">
      <c r="A1337" t="s">
        <v>31</v>
      </c>
      <c r="C1337" t="s">
        <v>2706</v>
      </c>
      <c r="D1337" t="s">
        <v>2787</v>
      </c>
      <c r="E1337" t="s">
        <v>34</v>
      </c>
      <c r="F1337" t="s">
        <v>43</v>
      </c>
      <c r="G1337">
        <v>2006</v>
      </c>
      <c r="H1337" t="s">
        <v>36</v>
      </c>
      <c r="I1337" t="s">
        <v>2788</v>
      </c>
      <c r="J1337" t="s">
        <v>31</v>
      </c>
      <c r="K1337" t="s">
        <v>38</v>
      </c>
      <c r="L1337" t="s">
        <v>39</v>
      </c>
      <c r="M1337" t="s">
        <v>40</v>
      </c>
      <c r="N1337" t="s">
        <v>2789</v>
      </c>
      <c r="O1337" t="s">
        <v>2790</v>
      </c>
      <c r="P1337" t="s">
        <v>2791</v>
      </c>
      <c r="T1337">
        <v>40.840164999999999</v>
      </c>
      <c r="U1337">
        <v>-74.460071999999997</v>
      </c>
      <c r="V1337">
        <f>SUM(W1337:X1337)+(Y1337*0.8)+(Z1337*0.4)</f>
        <v>2.5</v>
      </c>
      <c r="W1337">
        <v>2.5</v>
      </c>
      <c r="X1337">
        <v>0</v>
      </c>
      <c r="Y1337">
        <v>0</v>
      </c>
      <c r="Z1337">
        <v>0</v>
      </c>
      <c r="AA1337" t="s">
        <v>43</v>
      </c>
      <c r="AB1337">
        <v>2.5</v>
      </c>
      <c r="AC1337">
        <v>1.7</v>
      </c>
      <c r="AD1337" t="s">
        <v>2792</v>
      </c>
      <c r="AE1337" t="s">
        <v>2793</v>
      </c>
    </row>
    <row r="1338" spans="1:31" x14ac:dyDescent="0.25">
      <c r="A1338" t="s">
        <v>31</v>
      </c>
      <c r="C1338" t="s">
        <v>2706</v>
      </c>
      <c r="D1338" t="s">
        <v>2794</v>
      </c>
      <c r="E1338" t="s">
        <v>34</v>
      </c>
      <c r="F1338" t="s">
        <v>35</v>
      </c>
      <c r="G1338">
        <v>2005</v>
      </c>
      <c r="H1338" t="s">
        <v>36</v>
      </c>
      <c r="I1338" t="s">
        <v>2795</v>
      </c>
      <c r="J1338" t="s">
        <v>31</v>
      </c>
      <c r="K1338" t="s">
        <v>38</v>
      </c>
      <c r="L1338" t="s">
        <v>39</v>
      </c>
      <c r="M1338" t="s">
        <v>40</v>
      </c>
      <c r="N1338" t="s">
        <v>2789</v>
      </c>
      <c r="O1338" t="s">
        <v>2796</v>
      </c>
      <c r="P1338" t="s">
        <v>2797</v>
      </c>
      <c r="Q1338" t="s">
        <v>2798</v>
      </c>
      <c r="T1338">
        <v>40.831948875999998</v>
      </c>
      <c r="U1338">
        <v>-74.448737260000001</v>
      </c>
      <c r="V1338">
        <f>SUM(W1338:X1338)+(Y1338*0.8)+(Z1338*0.4)</f>
        <v>2.5</v>
      </c>
      <c r="W1338">
        <v>2.5</v>
      </c>
      <c r="X1338">
        <v>0</v>
      </c>
      <c r="Y1338">
        <v>0</v>
      </c>
      <c r="Z1338">
        <v>0</v>
      </c>
      <c r="AA1338" t="s">
        <v>43</v>
      </c>
      <c r="AB1338">
        <v>2.4</v>
      </c>
      <c r="AC1338">
        <v>1.25</v>
      </c>
      <c r="AD1338" t="s">
        <v>2799</v>
      </c>
      <c r="AE1338" t="s">
        <v>2800</v>
      </c>
    </row>
    <row r="1339" spans="1:31" x14ac:dyDescent="0.25">
      <c r="A1339" t="s">
        <v>31</v>
      </c>
      <c r="C1339" t="s">
        <v>6381</v>
      </c>
      <c r="D1339" t="s">
        <v>6442</v>
      </c>
      <c r="E1339" t="s">
        <v>34</v>
      </c>
      <c r="F1339" t="s">
        <v>35</v>
      </c>
      <c r="G1339">
        <v>2001</v>
      </c>
      <c r="H1339" t="s">
        <v>36</v>
      </c>
      <c r="I1339" t="s">
        <v>6443</v>
      </c>
      <c r="J1339" t="s">
        <v>31</v>
      </c>
      <c r="K1339" t="s">
        <v>38</v>
      </c>
      <c r="L1339" t="s">
        <v>39</v>
      </c>
      <c r="M1339" t="s">
        <v>40</v>
      </c>
      <c r="N1339" t="s">
        <v>2140</v>
      </c>
      <c r="O1339" t="s">
        <v>2161</v>
      </c>
      <c r="P1339" t="s">
        <v>2162</v>
      </c>
      <c r="Q1339" t="s">
        <v>2161</v>
      </c>
      <c r="T1339">
        <v>40.785442080999999</v>
      </c>
      <c r="U1339">
        <v>-74.074969343999996</v>
      </c>
      <c r="V1339">
        <f>SUM(W1339:X1339)+(Y1339*0.8)+(Z1339*0.4)</f>
        <v>2.5</v>
      </c>
      <c r="W1339">
        <v>2.5</v>
      </c>
      <c r="X1339">
        <v>0</v>
      </c>
      <c r="Y1339">
        <v>0</v>
      </c>
      <c r="Z1339">
        <v>0</v>
      </c>
      <c r="AA1339" t="s">
        <v>43</v>
      </c>
      <c r="AB1339">
        <v>2.4</v>
      </c>
      <c r="AD1339" t="s">
        <v>6444</v>
      </c>
      <c r="AE1339" t="s">
        <v>6445</v>
      </c>
    </row>
    <row r="1340" spans="1:31" x14ac:dyDescent="0.25">
      <c r="A1340" t="s">
        <v>31</v>
      </c>
      <c r="C1340" t="s">
        <v>4708</v>
      </c>
      <c r="D1340" t="s">
        <v>4709</v>
      </c>
      <c r="E1340" t="s">
        <v>34</v>
      </c>
      <c r="F1340" t="s">
        <v>35</v>
      </c>
      <c r="G1340">
        <v>2000</v>
      </c>
      <c r="H1340" t="s">
        <v>36</v>
      </c>
      <c r="I1340" t="s">
        <v>4710</v>
      </c>
      <c r="J1340" t="s">
        <v>31</v>
      </c>
      <c r="K1340" t="s">
        <v>38</v>
      </c>
      <c r="L1340" t="s">
        <v>103</v>
      </c>
      <c r="M1340" t="s">
        <v>104</v>
      </c>
      <c r="N1340" t="s">
        <v>4001</v>
      </c>
      <c r="O1340" t="s">
        <v>105</v>
      </c>
      <c r="P1340" t="s">
        <v>4711</v>
      </c>
      <c r="S1340" t="s">
        <v>4712</v>
      </c>
      <c r="T1340">
        <v>21.334780339999998</v>
      </c>
      <c r="U1340">
        <v>-157.918255956</v>
      </c>
      <c r="V1340">
        <f>SUM(W1340:X1340)+(Y1340*0.8)+(Z1340*0.4)</f>
        <v>2.5</v>
      </c>
      <c r="W1340">
        <v>2.5</v>
      </c>
      <c r="X1340">
        <v>0</v>
      </c>
      <c r="Y1340">
        <v>0</v>
      </c>
      <c r="Z1340">
        <v>0</v>
      </c>
      <c r="AA1340" t="s">
        <v>43</v>
      </c>
      <c r="AB1340">
        <v>2.12</v>
      </c>
      <c r="AD1340" t="s">
        <v>4713</v>
      </c>
      <c r="AE1340" t="s">
        <v>4714</v>
      </c>
    </row>
    <row r="1341" spans="1:31" x14ac:dyDescent="0.25">
      <c r="A1341" t="s">
        <v>31</v>
      </c>
      <c r="C1341" t="s">
        <v>3849</v>
      </c>
      <c r="D1341" t="s">
        <v>4212</v>
      </c>
      <c r="E1341" t="s">
        <v>34</v>
      </c>
      <c r="F1341" t="s">
        <v>43</v>
      </c>
      <c r="G1341">
        <v>2000</v>
      </c>
      <c r="H1341" t="s">
        <v>36</v>
      </c>
      <c r="I1341" t="s">
        <v>4213</v>
      </c>
      <c r="J1341" t="s">
        <v>31</v>
      </c>
      <c r="K1341" t="s">
        <v>38</v>
      </c>
      <c r="L1341" t="s">
        <v>383</v>
      </c>
      <c r="M1341" t="s">
        <v>384</v>
      </c>
      <c r="N1341" t="s">
        <v>2270</v>
      </c>
      <c r="O1341" t="s">
        <v>2271</v>
      </c>
      <c r="P1341" t="s">
        <v>2272</v>
      </c>
      <c r="S1341" t="s">
        <v>2273</v>
      </c>
      <c r="T1341">
        <v>35.221846999999997</v>
      </c>
      <c r="U1341">
        <v>-80.835548000000003</v>
      </c>
      <c r="V1341">
        <f>SUM(W1341:X1341)+(Y1341*0.8)+(Z1341*0.4)</f>
        <v>2.5</v>
      </c>
      <c r="W1341">
        <v>2.5</v>
      </c>
      <c r="X1341">
        <v>0</v>
      </c>
      <c r="Y1341">
        <v>0</v>
      </c>
      <c r="Z1341">
        <v>0</v>
      </c>
      <c r="AA1341" t="s">
        <v>43</v>
      </c>
      <c r="AB1341">
        <v>2.25</v>
      </c>
      <c r="AD1341" t="s">
        <v>4214</v>
      </c>
      <c r="AE1341" t="s">
        <v>4215</v>
      </c>
    </row>
    <row r="1342" spans="1:31" x14ac:dyDescent="0.25">
      <c r="A1342" t="s">
        <v>31</v>
      </c>
      <c r="C1342" t="s">
        <v>64</v>
      </c>
      <c r="D1342" t="s">
        <v>101</v>
      </c>
      <c r="E1342" t="s">
        <v>34</v>
      </c>
      <c r="F1342" t="s">
        <v>35</v>
      </c>
      <c r="G1342">
        <v>2000</v>
      </c>
      <c r="H1342" t="s">
        <v>36</v>
      </c>
      <c r="I1342" t="s">
        <v>102</v>
      </c>
      <c r="J1342" t="s">
        <v>31</v>
      </c>
      <c r="K1342" t="s">
        <v>38</v>
      </c>
      <c r="L1342" t="s">
        <v>103</v>
      </c>
      <c r="M1342" t="s">
        <v>104</v>
      </c>
      <c r="N1342" t="s">
        <v>105</v>
      </c>
      <c r="O1342" t="s">
        <v>106</v>
      </c>
      <c r="P1342" t="s">
        <v>107</v>
      </c>
      <c r="T1342">
        <v>21.336932572999999</v>
      </c>
      <c r="U1342">
        <v>-158.09022413700001</v>
      </c>
      <c r="V1342">
        <f>SUM(W1342:X1342)+(Y1342*0.8)+(Z1342*0.4)</f>
        <v>2.5</v>
      </c>
      <c r="W1342">
        <v>1</v>
      </c>
      <c r="X1342">
        <v>1.5</v>
      </c>
      <c r="Y1342">
        <v>0</v>
      </c>
      <c r="Z1342">
        <v>0</v>
      </c>
      <c r="AA1342" t="s">
        <v>43</v>
      </c>
      <c r="AB1342">
        <v>2.39</v>
      </c>
      <c r="AC1342">
        <v>1.3</v>
      </c>
      <c r="AD1342" t="s">
        <v>108</v>
      </c>
      <c r="AE1342" t="s">
        <v>109</v>
      </c>
    </row>
    <row r="1343" spans="1:31" x14ac:dyDescent="0.25">
      <c r="A1343" t="s">
        <v>31</v>
      </c>
      <c r="C1343" t="s">
        <v>5499</v>
      </c>
      <c r="D1343" t="s">
        <v>2741</v>
      </c>
      <c r="E1343" t="s">
        <v>34</v>
      </c>
      <c r="F1343" t="s">
        <v>66</v>
      </c>
      <c r="G1343">
        <v>1998</v>
      </c>
      <c r="H1343" t="s">
        <v>36</v>
      </c>
      <c r="I1343" t="s">
        <v>5504</v>
      </c>
      <c r="J1343" t="s">
        <v>31</v>
      </c>
      <c r="K1343" t="s">
        <v>38</v>
      </c>
      <c r="L1343" t="s">
        <v>68</v>
      </c>
      <c r="M1343" t="s">
        <v>69</v>
      </c>
      <c r="N1343" t="s">
        <v>547</v>
      </c>
      <c r="O1343" t="s">
        <v>5505</v>
      </c>
      <c r="P1343" t="s">
        <v>5506</v>
      </c>
      <c r="T1343">
        <v>33.172124418999999</v>
      </c>
      <c r="U1343">
        <v>-96.725505057999996</v>
      </c>
      <c r="V1343">
        <f>SUM(W1343:X1343)+(Y1343*0.8)+(Z1343*0.4)</f>
        <v>2.5</v>
      </c>
      <c r="W1343">
        <v>2.5</v>
      </c>
      <c r="X1343">
        <v>0</v>
      </c>
      <c r="Y1343">
        <v>0</v>
      </c>
      <c r="Z1343">
        <v>0</v>
      </c>
      <c r="AA1343" t="s">
        <v>43</v>
      </c>
      <c r="AB1343">
        <v>2.5</v>
      </c>
      <c r="AD1343" t="s">
        <v>5507</v>
      </c>
      <c r="AE1343" t="s">
        <v>5508</v>
      </c>
    </row>
    <row r="1344" spans="1:31" x14ac:dyDescent="0.25">
      <c r="A1344" t="s">
        <v>31</v>
      </c>
      <c r="C1344" t="s">
        <v>5086</v>
      </c>
      <c r="D1344" t="s">
        <v>5098</v>
      </c>
      <c r="E1344" t="s">
        <v>34</v>
      </c>
      <c r="F1344" t="s">
        <v>35</v>
      </c>
      <c r="G1344">
        <v>1993</v>
      </c>
      <c r="H1344" t="s">
        <v>36</v>
      </c>
      <c r="I1344" t="s">
        <v>5099</v>
      </c>
      <c r="J1344" t="s">
        <v>31</v>
      </c>
      <c r="K1344" t="s">
        <v>38</v>
      </c>
      <c r="L1344" t="s">
        <v>86</v>
      </c>
      <c r="M1344" t="s">
        <v>87</v>
      </c>
      <c r="N1344" t="s">
        <v>2215</v>
      </c>
      <c r="O1344" t="s">
        <v>5095</v>
      </c>
      <c r="P1344" t="s">
        <v>4445</v>
      </c>
      <c r="T1344">
        <v>41.974228361999998</v>
      </c>
      <c r="U1344">
        <v>-87.967220343999998</v>
      </c>
      <c r="V1344">
        <f>SUM(W1344:X1344)+(Y1344*0.8)+(Z1344*0.4)</f>
        <v>2.5</v>
      </c>
      <c r="W1344">
        <v>2.5</v>
      </c>
      <c r="X1344">
        <v>0</v>
      </c>
      <c r="Y1344">
        <v>0</v>
      </c>
      <c r="Z1344">
        <v>0</v>
      </c>
      <c r="AA1344" t="s">
        <v>43</v>
      </c>
      <c r="AB1344">
        <v>2.33</v>
      </c>
      <c r="AD1344" t="s">
        <v>5100</v>
      </c>
      <c r="AE1344" t="s">
        <v>5101</v>
      </c>
    </row>
    <row r="1345" spans="1:31" x14ac:dyDescent="0.25">
      <c r="A1345" t="s">
        <v>31</v>
      </c>
      <c r="C1345" t="s">
        <v>10406</v>
      </c>
      <c r="D1345" t="s">
        <v>10412</v>
      </c>
      <c r="E1345" t="s">
        <v>34</v>
      </c>
      <c r="F1345" t="s">
        <v>35</v>
      </c>
      <c r="G1345">
        <v>1990</v>
      </c>
      <c r="H1345" t="s">
        <v>36</v>
      </c>
      <c r="I1345" t="s">
        <v>10413</v>
      </c>
      <c r="J1345" t="s">
        <v>31</v>
      </c>
      <c r="K1345" t="s">
        <v>38</v>
      </c>
      <c r="L1345" t="s">
        <v>251</v>
      </c>
      <c r="M1345" t="s">
        <v>252</v>
      </c>
      <c r="N1345" t="s">
        <v>163</v>
      </c>
      <c r="O1345" t="s">
        <v>8317</v>
      </c>
      <c r="P1345" t="s">
        <v>8320</v>
      </c>
      <c r="T1345">
        <v>42.685726602000003</v>
      </c>
      <c r="U1345">
        <v>-71.208724719000003</v>
      </c>
      <c r="V1345">
        <f>SUM(W1345:X1345)+(Y1345*0.8)+(Z1345*0.4)</f>
        <v>2.5</v>
      </c>
      <c r="W1345">
        <v>2.5</v>
      </c>
      <c r="X1345">
        <v>0</v>
      </c>
      <c r="Y1345">
        <v>0</v>
      </c>
      <c r="Z1345">
        <v>0</v>
      </c>
      <c r="AA1345" t="s">
        <v>43</v>
      </c>
      <c r="AB1345">
        <v>2.4</v>
      </c>
      <c r="AD1345" t="s">
        <v>10414</v>
      </c>
      <c r="AE1345" t="s">
        <v>10415</v>
      </c>
    </row>
    <row r="1346" spans="1:31" x14ac:dyDescent="0.25">
      <c r="A1346" t="s">
        <v>31</v>
      </c>
      <c r="C1346" t="s">
        <v>5181</v>
      </c>
      <c r="D1346" t="s">
        <v>2114</v>
      </c>
      <c r="E1346" t="s">
        <v>34</v>
      </c>
      <c r="F1346" t="s">
        <v>35</v>
      </c>
      <c r="G1346">
        <v>2011</v>
      </c>
      <c r="H1346" t="s">
        <v>36</v>
      </c>
      <c r="I1346" t="s">
        <v>5238</v>
      </c>
      <c r="J1346" t="s">
        <v>31</v>
      </c>
      <c r="K1346" t="s">
        <v>38</v>
      </c>
      <c r="L1346" t="s">
        <v>68</v>
      </c>
      <c r="M1346" t="s">
        <v>69</v>
      </c>
      <c r="N1346" t="s">
        <v>297</v>
      </c>
      <c r="O1346" t="s">
        <v>2116</v>
      </c>
      <c r="P1346" t="s">
        <v>2738</v>
      </c>
      <c r="T1346">
        <v>32.800635999999997</v>
      </c>
      <c r="U1346">
        <v>-96.819160999999994</v>
      </c>
      <c r="V1346">
        <f>SUM(W1346:X1346)+(Y1346*0.8)+(Z1346*0.4)</f>
        <v>2.46</v>
      </c>
      <c r="W1346">
        <v>2.46</v>
      </c>
      <c r="X1346">
        <v>0</v>
      </c>
      <c r="Y1346">
        <v>0</v>
      </c>
      <c r="Z1346">
        <v>0</v>
      </c>
      <c r="AA1346" t="s">
        <v>43</v>
      </c>
      <c r="AB1346">
        <v>2.35</v>
      </c>
      <c r="AD1346" t="s">
        <v>5239</v>
      </c>
      <c r="AE1346" t="s">
        <v>5240</v>
      </c>
    </row>
    <row r="1347" spans="1:31" x14ac:dyDescent="0.25">
      <c r="A1347" t="s">
        <v>31</v>
      </c>
      <c r="C1347" t="s">
        <v>6345</v>
      </c>
      <c r="D1347" t="s">
        <v>6346</v>
      </c>
      <c r="E1347" t="s">
        <v>34</v>
      </c>
      <c r="F1347" t="s">
        <v>76</v>
      </c>
      <c r="G1347">
        <v>2026</v>
      </c>
      <c r="H1347" t="s">
        <v>36</v>
      </c>
      <c r="I1347" t="s">
        <v>6347</v>
      </c>
      <c r="J1347" t="s">
        <v>31</v>
      </c>
      <c r="K1347" t="s">
        <v>38</v>
      </c>
      <c r="L1347" t="s">
        <v>1380</v>
      </c>
      <c r="M1347" t="s">
        <v>1381</v>
      </c>
      <c r="N1347" t="s">
        <v>6010</v>
      </c>
      <c r="O1347" t="s">
        <v>6348</v>
      </c>
      <c r="P1347" t="s">
        <v>6349</v>
      </c>
      <c r="Q1347" t="s">
        <v>6350</v>
      </c>
      <c r="T1347">
        <v>41.669848879</v>
      </c>
      <c r="U1347">
        <v>-72.934552214999997</v>
      </c>
      <c r="V1347">
        <f>SUM(W1347:X1347)+(Y1347*0.8)+(Z1347*0.4)</f>
        <v>2.4000000000000004</v>
      </c>
      <c r="W1347">
        <v>0</v>
      </c>
      <c r="X1347">
        <v>0</v>
      </c>
      <c r="Y1347">
        <v>3</v>
      </c>
      <c r="Z1347">
        <v>0</v>
      </c>
      <c r="AA1347" t="s">
        <v>43</v>
      </c>
      <c r="AB1347">
        <v>0</v>
      </c>
      <c r="AC1347">
        <v>1.19</v>
      </c>
      <c r="AD1347" t="s">
        <v>6351</v>
      </c>
      <c r="AE1347" t="s">
        <v>6352</v>
      </c>
    </row>
    <row r="1348" spans="1:31" x14ac:dyDescent="0.25">
      <c r="A1348" t="s">
        <v>31</v>
      </c>
      <c r="C1348" t="s">
        <v>10667</v>
      </c>
      <c r="D1348" t="s">
        <v>3561</v>
      </c>
      <c r="E1348" t="s">
        <v>34</v>
      </c>
      <c r="F1348" t="s">
        <v>35</v>
      </c>
      <c r="G1348">
        <v>2014</v>
      </c>
      <c r="H1348" t="s">
        <v>36</v>
      </c>
      <c r="I1348" t="s">
        <v>10668</v>
      </c>
      <c r="J1348" t="s">
        <v>31</v>
      </c>
      <c r="K1348" t="s">
        <v>38</v>
      </c>
      <c r="L1348" t="s">
        <v>2620</v>
      </c>
      <c r="M1348" t="s">
        <v>2621</v>
      </c>
      <c r="N1348" t="s">
        <v>3560</v>
      </c>
      <c r="O1348" t="s">
        <v>3561</v>
      </c>
      <c r="P1348" t="s">
        <v>10669</v>
      </c>
      <c r="T1348">
        <v>30.387530700999999</v>
      </c>
      <c r="U1348">
        <v>-91.092460222</v>
      </c>
      <c r="V1348">
        <f>SUM(W1348:X1348)+(Y1348*0.8)+(Z1348*0.4)</f>
        <v>2.4000000000000004</v>
      </c>
      <c r="W1348">
        <v>0.8</v>
      </c>
      <c r="X1348">
        <v>0</v>
      </c>
      <c r="Y1348">
        <v>2</v>
      </c>
      <c r="Z1348">
        <v>0</v>
      </c>
      <c r="AA1348" t="s">
        <v>43</v>
      </c>
      <c r="AB1348">
        <v>0.7</v>
      </c>
      <c r="AD1348" t="s">
        <v>10670</v>
      </c>
      <c r="AE1348" t="s">
        <v>10671</v>
      </c>
    </row>
    <row r="1349" spans="1:31" x14ac:dyDescent="0.25">
      <c r="A1349" t="s">
        <v>31</v>
      </c>
      <c r="C1349" t="s">
        <v>3849</v>
      </c>
      <c r="D1349" t="s">
        <v>4448</v>
      </c>
      <c r="E1349" t="s">
        <v>34</v>
      </c>
      <c r="F1349" t="s">
        <v>66</v>
      </c>
      <c r="G1349">
        <v>2024</v>
      </c>
      <c r="H1349" t="s">
        <v>36</v>
      </c>
      <c r="I1349" t="s">
        <v>4449</v>
      </c>
      <c r="J1349" t="s">
        <v>31</v>
      </c>
      <c r="K1349" t="s">
        <v>38</v>
      </c>
      <c r="L1349" t="s">
        <v>68</v>
      </c>
      <c r="M1349" t="s">
        <v>69</v>
      </c>
      <c r="N1349" t="s">
        <v>2377</v>
      </c>
      <c r="O1349" t="s">
        <v>4450</v>
      </c>
      <c r="P1349" t="s">
        <v>4451</v>
      </c>
      <c r="T1349">
        <v>33.002559519999998</v>
      </c>
      <c r="U1349">
        <v>-97.005265575999999</v>
      </c>
      <c r="V1349">
        <f>SUM(W1349:X1349)+(Y1349*0.8)+(Z1349*0.4)</f>
        <v>2.4</v>
      </c>
      <c r="W1349">
        <v>2.4</v>
      </c>
      <c r="X1349">
        <v>0</v>
      </c>
      <c r="Y1349">
        <v>0</v>
      </c>
      <c r="Z1349">
        <v>0</v>
      </c>
      <c r="AA1349" t="s">
        <v>43</v>
      </c>
      <c r="AB1349">
        <v>0.8</v>
      </c>
      <c r="AD1349" t="s">
        <v>4452</v>
      </c>
      <c r="AE1349" t="s">
        <v>4453</v>
      </c>
    </row>
    <row r="1350" spans="1:31" x14ac:dyDescent="0.25">
      <c r="A1350" t="s">
        <v>31</v>
      </c>
      <c r="C1350" t="s">
        <v>9398</v>
      </c>
      <c r="D1350" t="s">
        <v>9399</v>
      </c>
      <c r="E1350" t="s">
        <v>34</v>
      </c>
      <c r="F1350" t="s">
        <v>35</v>
      </c>
      <c r="G1350">
        <v>2015</v>
      </c>
      <c r="H1350" t="s">
        <v>36</v>
      </c>
      <c r="I1350" t="s">
        <v>9400</v>
      </c>
      <c r="J1350" t="s">
        <v>31</v>
      </c>
      <c r="K1350" t="s">
        <v>38</v>
      </c>
      <c r="L1350" t="s">
        <v>172</v>
      </c>
      <c r="M1350" t="s">
        <v>173</v>
      </c>
      <c r="N1350" t="s">
        <v>9401</v>
      </c>
      <c r="O1350" t="s">
        <v>9402</v>
      </c>
      <c r="P1350" t="s">
        <v>9403</v>
      </c>
      <c r="T1350">
        <v>38.790951147999998</v>
      </c>
      <c r="U1350">
        <v>-121.31780128699999</v>
      </c>
      <c r="V1350">
        <f>SUM(W1350:X1350)+(Y1350*0.8)+(Z1350*0.4)</f>
        <v>2.4</v>
      </c>
      <c r="W1350">
        <v>2.4</v>
      </c>
      <c r="X1350">
        <v>0</v>
      </c>
      <c r="Y1350">
        <v>0</v>
      </c>
      <c r="Z1350">
        <v>0</v>
      </c>
      <c r="AA1350" t="s">
        <v>43</v>
      </c>
      <c r="AB1350">
        <v>0.85</v>
      </c>
      <c r="AD1350" t="s">
        <v>9404</v>
      </c>
      <c r="AE1350" t="s">
        <v>9405</v>
      </c>
    </row>
    <row r="1351" spans="1:31" x14ac:dyDescent="0.25">
      <c r="A1351" t="s">
        <v>31</v>
      </c>
      <c r="C1351" t="s">
        <v>8535</v>
      </c>
      <c r="D1351" t="s">
        <v>2134</v>
      </c>
      <c r="E1351" t="s">
        <v>362</v>
      </c>
      <c r="F1351" t="s">
        <v>1302</v>
      </c>
      <c r="G1351">
        <v>2015</v>
      </c>
      <c r="H1351" t="s">
        <v>36</v>
      </c>
      <c r="I1351" t="s">
        <v>8536</v>
      </c>
      <c r="J1351" t="s">
        <v>31</v>
      </c>
      <c r="K1351" t="s">
        <v>38</v>
      </c>
      <c r="L1351" t="s">
        <v>68</v>
      </c>
      <c r="M1351" t="s">
        <v>69</v>
      </c>
      <c r="N1351" t="s">
        <v>540</v>
      </c>
      <c r="O1351" t="s">
        <v>2134</v>
      </c>
      <c r="P1351" t="s">
        <v>8537</v>
      </c>
      <c r="T1351">
        <v>32.651264054000002</v>
      </c>
      <c r="U1351">
        <v>-97.319776474999998</v>
      </c>
      <c r="V1351">
        <f>SUM(W1351:X1351)+(Y1351*0.8)+(Z1351*0.4)</f>
        <v>2.4</v>
      </c>
      <c r="W1351">
        <v>2</v>
      </c>
      <c r="X1351">
        <v>0</v>
      </c>
      <c r="Y1351">
        <v>0</v>
      </c>
      <c r="Z1351">
        <v>1</v>
      </c>
      <c r="AA1351" t="s">
        <v>43</v>
      </c>
      <c r="AB1351">
        <v>2</v>
      </c>
      <c r="AD1351" t="s">
        <v>8538</v>
      </c>
      <c r="AE1351" t="s">
        <v>8539</v>
      </c>
    </row>
    <row r="1352" spans="1:31" x14ac:dyDescent="0.25">
      <c r="A1352" t="s">
        <v>31</v>
      </c>
      <c r="C1352" t="s">
        <v>2064</v>
      </c>
      <c r="D1352" t="s">
        <v>2207</v>
      </c>
      <c r="E1352" t="s">
        <v>34</v>
      </c>
      <c r="F1352" t="s">
        <v>35</v>
      </c>
      <c r="G1352">
        <v>2014</v>
      </c>
      <c r="H1352" t="s">
        <v>36</v>
      </c>
      <c r="I1352" t="s">
        <v>2208</v>
      </c>
      <c r="J1352" t="s">
        <v>31</v>
      </c>
      <c r="K1352" t="s">
        <v>38</v>
      </c>
      <c r="L1352" t="s">
        <v>828</v>
      </c>
      <c r="M1352" t="s">
        <v>829</v>
      </c>
      <c r="N1352" t="s">
        <v>1893</v>
      </c>
      <c r="O1352" t="s">
        <v>2209</v>
      </c>
      <c r="P1352" t="s">
        <v>2210</v>
      </c>
      <c r="T1352">
        <v>44.778820000000003</v>
      </c>
      <c r="U1352">
        <v>-93.461979999999997</v>
      </c>
      <c r="V1352">
        <f>SUM(W1352:X1352)+(Y1352*0.8)+(Z1352*0.4)</f>
        <v>2.4</v>
      </c>
      <c r="W1352">
        <v>2.4</v>
      </c>
      <c r="X1352">
        <v>0</v>
      </c>
      <c r="Y1352">
        <v>0</v>
      </c>
      <c r="Z1352">
        <v>0</v>
      </c>
      <c r="AA1352" t="s">
        <v>43</v>
      </c>
      <c r="AB1352">
        <v>2.36</v>
      </c>
      <c r="AD1352" t="s">
        <v>2211</v>
      </c>
      <c r="AE1352" t="s">
        <v>2212</v>
      </c>
    </row>
    <row r="1353" spans="1:31" x14ac:dyDescent="0.25">
      <c r="A1353" t="s">
        <v>31</v>
      </c>
      <c r="C1353" t="s">
        <v>6048</v>
      </c>
      <c r="D1353" t="s">
        <v>6049</v>
      </c>
      <c r="E1353" t="s">
        <v>362</v>
      </c>
      <c r="F1353" t="s">
        <v>1302</v>
      </c>
      <c r="G1353">
        <v>2009</v>
      </c>
      <c r="H1353" t="s">
        <v>36</v>
      </c>
      <c r="I1353" t="s">
        <v>6050</v>
      </c>
      <c r="J1353" t="s">
        <v>31</v>
      </c>
      <c r="K1353" t="s">
        <v>38</v>
      </c>
      <c r="L1353" t="s">
        <v>317</v>
      </c>
      <c r="M1353" t="s">
        <v>318</v>
      </c>
      <c r="N1353" t="s">
        <v>2036</v>
      </c>
      <c r="O1353" t="s">
        <v>4084</v>
      </c>
      <c r="P1353" t="s">
        <v>6051</v>
      </c>
      <c r="Q1353" t="s">
        <v>6052</v>
      </c>
      <c r="T1353">
        <v>39.2881085</v>
      </c>
      <c r="U1353">
        <v>-84.321268630999995</v>
      </c>
      <c r="V1353">
        <f>SUM(W1353:X1353)+(Y1353*0.8)+(Z1353*0.4)</f>
        <v>2.4</v>
      </c>
      <c r="W1353">
        <v>2</v>
      </c>
      <c r="X1353">
        <v>0</v>
      </c>
      <c r="Y1353">
        <v>0.5</v>
      </c>
      <c r="Z1353">
        <v>0</v>
      </c>
      <c r="AA1353" t="s">
        <v>43</v>
      </c>
      <c r="AB1353">
        <v>2.5</v>
      </c>
      <c r="AD1353" t="s">
        <v>6053</v>
      </c>
      <c r="AE1353" t="s">
        <v>6054</v>
      </c>
    </row>
    <row r="1354" spans="1:31" x14ac:dyDescent="0.25">
      <c r="A1354" t="s">
        <v>31</v>
      </c>
      <c r="C1354" t="s">
        <v>3052</v>
      </c>
      <c r="D1354" t="s">
        <v>3115</v>
      </c>
      <c r="E1354" t="s">
        <v>34</v>
      </c>
      <c r="F1354" t="s">
        <v>35</v>
      </c>
      <c r="G1354">
        <v>2007</v>
      </c>
      <c r="H1354" t="s">
        <v>36</v>
      </c>
      <c r="I1354" t="s">
        <v>3116</v>
      </c>
      <c r="J1354" t="s">
        <v>31</v>
      </c>
      <c r="K1354" t="s">
        <v>38</v>
      </c>
      <c r="L1354" t="s">
        <v>123</v>
      </c>
      <c r="M1354" t="s">
        <v>124</v>
      </c>
      <c r="N1354" t="s">
        <v>270</v>
      </c>
      <c r="O1354" t="s">
        <v>123</v>
      </c>
      <c r="P1354" t="s">
        <v>3117</v>
      </c>
      <c r="Q1354" t="s">
        <v>272</v>
      </c>
      <c r="S1354" t="s">
        <v>273</v>
      </c>
      <c r="T1354">
        <v>40.720196848000001</v>
      </c>
      <c r="U1354">
        <v>-74.004822903999994</v>
      </c>
      <c r="V1354">
        <f>SUM(W1354:X1354)+(Y1354*0.8)+(Z1354*0.4)</f>
        <v>2.4</v>
      </c>
      <c r="W1354">
        <v>2.4</v>
      </c>
      <c r="X1354">
        <v>0</v>
      </c>
      <c r="Y1354">
        <v>0</v>
      </c>
      <c r="Z1354">
        <v>0</v>
      </c>
      <c r="AA1354" t="s">
        <v>43</v>
      </c>
      <c r="AB1354">
        <v>2.35</v>
      </c>
      <c r="AD1354" t="s">
        <v>3118</v>
      </c>
      <c r="AE1354" t="s">
        <v>3119</v>
      </c>
    </row>
    <row r="1355" spans="1:31" x14ac:dyDescent="0.25">
      <c r="A1355" t="s">
        <v>31</v>
      </c>
      <c r="C1355" t="s">
        <v>2064</v>
      </c>
      <c r="D1355" t="s">
        <v>2197</v>
      </c>
      <c r="E1355" t="s">
        <v>34</v>
      </c>
      <c r="F1355" t="s">
        <v>35</v>
      </c>
      <c r="G1355">
        <v>2001</v>
      </c>
      <c r="H1355" t="s">
        <v>36</v>
      </c>
      <c r="I1355" t="s">
        <v>2198</v>
      </c>
      <c r="J1355" t="s">
        <v>31</v>
      </c>
      <c r="K1355" t="s">
        <v>38</v>
      </c>
      <c r="L1355" t="s">
        <v>172</v>
      </c>
      <c r="M1355" t="s">
        <v>173</v>
      </c>
      <c r="N1355" t="s">
        <v>493</v>
      </c>
      <c r="O1355" t="s">
        <v>2199</v>
      </c>
      <c r="P1355" t="s">
        <v>2200</v>
      </c>
      <c r="T1355">
        <v>33.924441182000002</v>
      </c>
      <c r="U1355">
        <v>-118.320834589</v>
      </c>
      <c r="V1355">
        <f>SUM(W1355:X1355)+(Y1355*0.8)+(Z1355*0.4)</f>
        <v>2.4</v>
      </c>
      <c r="W1355">
        <v>2.4</v>
      </c>
      <c r="X1355">
        <v>0</v>
      </c>
      <c r="Y1355">
        <v>0</v>
      </c>
      <c r="Z1355">
        <v>0</v>
      </c>
      <c r="AA1355" t="s">
        <v>43</v>
      </c>
      <c r="AB1355">
        <v>2.15</v>
      </c>
      <c r="AC1355">
        <v>1.6</v>
      </c>
      <c r="AD1355" t="s">
        <v>2201</v>
      </c>
      <c r="AE1355" t="s">
        <v>2202</v>
      </c>
    </row>
    <row r="1356" spans="1:31" x14ac:dyDescent="0.25">
      <c r="A1356" t="s">
        <v>31</v>
      </c>
      <c r="C1356" t="s">
        <v>169</v>
      </c>
      <c r="D1356" t="s">
        <v>170</v>
      </c>
      <c r="E1356" t="s">
        <v>34</v>
      </c>
      <c r="F1356" t="s">
        <v>35</v>
      </c>
      <c r="G1356">
        <v>1995</v>
      </c>
      <c r="H1356" t="s">
        <v>36</v>
      </c>
      <c r="I1356" t="s">
        <v>171</v>
      </c>
      <c r="J1356" t="s">
        <v>31</v>
      </c>
      <c r="K1356" t="s">
        <v>38</v>
      </c>
      <c r="L1356" t="s">
        <v>172</v>
      </c>
      <c r="M1356" t="s">
        <v>173</v>
      </c>
      <c r="N1356" t="s">
        <v>174</v>
      </c>
      <c r="O1356" t="s">
        <v>175</v>
      </c>
      <c r="P1356" t="s">
        <v>176</v>
      </c>
      <c r="T1356">
        <v>38.592597957000002</v>
      </c>
      <c r="U1356">
        <v>-121.272071387</v>
      </c>
      <c r="V1356">
        <f>SUM(W1356:X1356)+(Y1356*0.8)+(Z1356*0.4)</f>
        <v>2.4</v>
      </c>
      <c r="W1356">
        <v>2.4</v>
      </c>
      <c r="X1356">
        <v>0</v>
      </c>
      <c r="Y1356">
        <v>0</v>
      </c>
      <c r="Z1356">
        <v>0</v>
      </c>
      <c r="AA1356" t="s">
        <v>43</v>
      </c>
      <c r="AB1356">
        <v>2.4</v>
      </c>
      <c r="AD1356" t="s">
        <v>177</v>
      </c>
      <c r="AE1356" t="s">
        <v>178</v>
      </c>
    </row>
    <row r="1357" spans="1:31" x14ac:dyDescent="0.25">
      <c r="A1357" t="s">
        <v>31</v>
      </c>
      <c r="C1357" t="s">
        <v>3849</v>
      </c>
      <c r="D1357" t="s">
        <v>4196</v>
      </c>
      <c r="E1357" t="s">
        <v>34</v>
      </c>
      <c r="F1357" t="s">
        <v>43</v>
      </c>
      <c r="G1357">
        <v>2013</v>
      </c>
      <c r="H1357" t="s">
        <v>36</v>
      </c>
      <c r="I1357" t="s">
        <v>4197</v>
      </c>
      <c r="J1357" t="s">
        <v>31</v>
      </c>
      <c r="K1357" t="s">
        <v>38</v>
      </c>
      <c r="L1357" t="s">
        <v>251</v>
      </c>
      <c r="M1357" t="s">
        <v>252</v>
      </c>
      <c r="N1357" t="s">
        <v>4198</v>
      </c>
      <c r="O1357" t="s">
        <v>4199</v>
      </c>
      <c r="P1357" t="s">
        <v>4200</v>
      </c>
      <c r="S1357" t="s">
        <v>4201</v>
      </c>
      <c r="T1357">
        <v>42.302208</v>
      </c>
      <c r="U1357">
        <v>-71.219593000000003</v>
      </c>
      <c r="V1357">
        <f>SUM(W1357:X1357)+(Y1357*0.8)+(Z1357*0.4)</f>
        <v>2.2999999999999998</v>
      </c>
      <c r="W1357">
        <v>2.2999999999999998</v>
      </c>
      <c r="X1357">
        <v>0</v>
      </c>
      <c r="Y1357">
        <v>0</v>
      </c>
      <c r="Z1357">
        <v>0</v>
      </c>
      <c r="AA1357" t="s">
        <v>43</v>
      </c>
      <c r="AB1357">
        <v>1.1990000000000001</v>
      </c>
      <c r="AC1357">
        <v>1.5</v>
      </c>
      <c r="AD1357" t="s">
        <v>4202</v>
      </c>
      <c r="AE1357" t="s">
        <v>4203</v>
      </c>
    </row>
    <row r="1358" spans="1:31" x14ac:dyDescent="0.25">
      <c r="A1358" t="s">
        <v>31</v>
      </c>
      <c r="C1358" t="s">
        <v>3849</v>
      </c>
      <c r="D1358" t="s">
        <v>4641</v>
      </c>
      <c r="E1358" t="s">
        <v>34</v>
      </c>
      <c r="F1358" t="s">
        <v>35</v>
      </c>
      <c r="G1358">
        <v>2009</v>
      </c>
      <c r="H1358" t="s">
        <v>36</v>
      </c>
      <c r="I1358" t="s">
        <v>4642</v>
      </c>
      <c r="J1358" t="s">
        <v>31</v>
      </c>
      <c r="K1358" t="s">
        <v>38</v>
      </c>
      <c r="L1358" t="s">
        <v>172</v>
      </c>
      <c r="M1358" t="s">
        <v>173</v>
      </c>
      <c r="N1358" t="s">
        <v>780</v>
      </c>
      <c r="O1358" t="s">
        <v>781</v>
      </c>
      <c r="P1358" t="s">
        <v>3145</v>
      </c>
      <c r="T1358">
        <v>37.374943000000002</v>
      </c>
      <c r="U1358">
        <v>-121.95409100000001</v>
      </c>
      <c r="V1358">
        <f>SUM(W1358:X1358)+(Y1358*0.8)+(Z1358*0.4)</f>
        <v>2.2999999999999998</v>
      </c>
      <c r="W1358">
        <v>2.2999999999999998</v>
      </c>
      <c r="X1358">
        <v>0</v>
      </c>
      <c r="Y1358">
        <v>0</v>
      </c>
      <c r="Z1358">
        <v>0</v>
      </c>
      <c r="AA1358" t="s">
        <v>43</v>
      </c>
      <c r="AB1358">
        <v>2.2999999999999998</v>
      </c>
      <c r="AD1358" t="s">
        <v>4643</v>
      </c>
      <c r="AE1358" t="s">
        <v>4644</v>
      </c>
    </row>
    <row r="1359" spans="1:31" x14ac:dyDescent="0.25">
      <c r="A1359" t="s">
        <v>31</v>
      </c>
      <c r="C1359" t="s">
        <v>169</v>
      </c>
      <c r="D1359" t="s">
        <v>208</v>
      </c>
      <c r="E1359" t="s">
        <v>34</v>
      </c>
      <c r="F1359" t="s">
        <v>35</v>
      </c>
      <c r="G1359">
        <v>2006</v>
      </c>
      <c r="H1359" t="s">
        <v>36</v>
      </c>
      <c r="I1359" t="s">
        <v>209</v>
      </c>
      <c r="J1359" t="s">
        <v>31</v>
      </c>
      <c r="K1359" t="s">
        <v>38</v>
      </c>
      <c r="L1359" t="s">
        <v>39</v>
      </c>
      <c r="M1359" t="s">
        <v>40</v>
      </c>
      <c r="N1359" t="s">
        <v>210</v>
      </c>
      <c r="O1359" t="s">
        <v>211</v>
      </c>
      <c r="P1359" t="s">
        <v>212</v>
      </c>
      <c r="T1359">
        <v>40.581623116999999</v>
      </c>
      <c r="U1359">
        <v>-74.573880602000003</v>
      </c>
      <c r="V1359">
        <f>SUM(W1359:X1359)+(Y1359*0.8)+(Z1359*0.4)</f>
        <v>2.2999999999999998</v>
      </c>
      <c r="W1359">
        <v>2.2999999999999998</v>
      </c>
      <c r="X1359">
        <v>0</v>
      </c>
      <c r="Y1359">
        <v>0</v>
      </c>
      <c r="Z1359">
        <v>0</v>
      </c>
      <c r="AA1359" t="s">
        <v>43</v>
      </c>
      <c r="AB1359">
        <v>1.78</v>
      </c>
      <c r="AD1359" t="s">
        <v>213</v>
      </c>
      <c r="AE1359" t="s">
        <v>214</v>
      </c>
    </row>
    <row r="1360" spans="1:31" x14ac:dyDescent="0.25">
      <c r="A1360" t="s">
        <v>31</v>
      </c>
      <c r="C1360" t="s">
        <v>7218</v>
      </c>
      <c r="D1360" t="s">
        <v>3139</v>
      </c>
      <c r="E1360" t="s">
        <v>34</v>
      </c>
      <c r="F1360" t="s">
        <v>35</v>
      </c>
      <c r="G1360">
        <v>2002</v>
      </c>
      <c r="H1360" t="s">
        <v>36</v>
      </c>
      <c r="I1360" t="s">
        <v>7413</v>
      </c>
      <c r="J1360" t="s">
        <v>31</v>
      </c>
      <c r="K1360" t="s">
        <v>38</v>
      </c>
      <c r="L1360" t="s">
        <v>202</v>
      </c>
      <c r="M1360" t="s">
        <v>203</v>
      </c>
      <c r="N1360" t="s">
        <v>433</v>
      </c>
      <c r="O1360" t="s">
        <v>3139</v>
      </c>
      <c r="P1360" t="s">
        <v>7414</v>
      </c>
      <c r="S1360" t="s">
        <v>7415</v>
      </c>
      <c r="T1360">
        <v>28.615925000000001</v>
      </c>
      <c r="U1360">
        <v>-81.388991000000004</v>
      </c>
      <c r="V1360">
        <f>SUM(W1360:X1360)+(Y1360*0.8)+(Z1360*0.4)</f>
        <v>2.2999999999999998</v>
      </c>
      <c r="W1360">
        <v>2.2999999999999998</v>
      </c>
      <c r="X1360">
        <v>0</v>
      </c>
      <c r="Y1360">
        <v>0</v>
      </c>
      <c r="Z1360">
        <v>0</v>
      </c>
      <c r="AA1360" t="s">
        <v>43</v>
      </c>
      <c r="AB1360">
        <v>2.2999999999999998</v>
      </c>
      <c r="AD1360" t="s">
        <v>7416</v>
      </c>
      <c r="AE1360" t="s">
        <v>7417</v>
      </c>
    </row>
    <row r="1361" spans="1:31" x14ac:dyDescent="0.25">
      <c r="A1361" t="s">
        <v>31</v>
      </c>
      <c r="C1361" t="s">
        <v>3551</v>
      </c>
      <c r="D1361" t="s">
        <v>3565</v>
      </c>
      <c r="E1361" t="s">
        <v>34</v>
      </c>
      <c r="F1361" t="s">
        <v>35</v>
      </c>
      <c r="G1361">
        <v>2014</v>
      </c>
      <c r="H1361" t="s">
        <v>36</v>
      </c>
      <c r="I1361" t="s">
        <v>3566</v>
      </c>
      <c r="J1361" t="s">
        <v>31</v>
      </c>
      <c r="K1361" t="s">
        <v>38</v>
      </c>
      <c r="L1361" t="s">
        <v>2620</v>
      </c>
      <c r="M1361" t="s">
        <v>2621</v>
      </c>
      <c r="N1361" t="s">
        <v>3560</v>
      </c>
      <c r="O1361" t="s">
        <v>3561</v>
      </c>
      <c r="P1361" t="s">
        <v>3562</v>
      </c>
      <c r="T1361">
        <v>30.453993247</v>
      </c>
      <c r="U1361">
        <v>-91.11543399</v>
      </c>
      <c r="V1361">
        <f>SUM(W1361:X1361)+(Y1361*0.8)+(Z1361*0.4)</f>
        <v>2.2800000000000002</v>
      </c>
      <c r="W1361">
        <v>1.8</v>
      </c>
      <c r="X1361">
        <v>0</v>
      </c>
      <c r="Y1361">
        <v>0.6</v>
      </c>
      <c r="Z1361">
        <v>0</v>
      </c>
      <c r="AA1361" t="s">
        <v>43</v>
      </c>
      <c r="AB1361">
        <v>1.8</v>
      </c>
      <c r="AD1361" t="s">
        <v>3567</v>
      </c>
      <c r="AE1361" t="s">
        <v>3568</v>
      </c>
    </row>
    <row r="1362" spans="1:31" x14ac:dyDescent="0.25">
      <c r="A1362" t="s">
        <v>31</v>
      </c>
      <c r="C1362" t="s">
        <v>10406</v>
      </c>
      <c r="D1362" t="s">
        <v>10445</v>
      </c>
      <c r="E1362" t="s">
        <v>34</v>
      </c>
      <c r="F1362" t="s">
        <v>35</v>
      </c>
      <c r="G1362">
        <v>1999</v>
      </c>
      <c r="H1362" t="s">
        <v>36</v>
      </c>
      <c r="I1362" t="s">
        <v>10446</v>
      </c>
      <c r="J1362" t="s">
        <v>31</v>
      </c>
      <c r="K1362" t="s">
        <v>38</v>
      </c>
      <c r="L1362" t="s">
        <v>383</v>
      </c>
      <c r="M1362" t="s">
        <v>384</v>
      </c>
      <c r="N1362" t="s">
        <v>2270</v>
      </c>
      <c r="O1362" t="s">
        <v>2271</v>
      </c>
      <c r="P1362" t="s">
        <v>2402</v>
      </c>
      <c r="T1362">
        <v>35.173224685000001</v>
      </c>
      <c r="U1362">
        <v>-80.928096642</v>
      </c>
      <c r="V1362">
        <f>SUM(W1362:X1362)+(Y1362*0.8)+(Z1362*0.4)</f>
        <v>2.25</v>
      </c>
      <c r="W1362">
        <v>2.25</v>
      </c>
      <c r="X1362">
        <v>0</v>
      </c>
      <c r="Y1362">
        <v>0</v>
      </c>
      <c r="Z1362">
        <v>0</v>
      </c>
      <c r="AA1362" t="s">
        <v>43</v>
      </c>
      <c r="AB1362">
        <v>1.89</v>
      </c>
      <c r="AD1362" t="s">
        <v>10447</v>
      </c>
      <c r="AE1362" t="s">
        <v>10448</v>
      </c>
    </row>
    <row r="1363" spans="1:31" x14ac:dyDescent="0.25">
      <c r="A1363" t="s">
        <v>31</v>
      </c>
      <c r="C1363" t="s">
        <v>10815</v>
      </c>
      <c r="D1363" t="s">
        <v>10829</v>
      </c>
      <c r="E1363" t="s">
        <v>34</v>
      </c>
      <c r="F1363" t="s">
        <v>35</v>
      </c>
      <c r="G1363">
        <v>2020</v>
      </c>
      <c r="H1363" t="s">
        <v>36</v>
      </c>
      <c r="I1363" t="s">
        <v>10830</v>
      </c>
      <c r="J1363" t="s">
        <v>31</v>
      </c>
      <c r="K1363" t="s">
        <v>38</v>
      </c>
      <c r="L1363" t="s">
        <v>49</v>
      </c>
      <c r="M1363" t="s">
        <v>50</v>
      </c>
      <c r="N1363" t="s">
        <v>8434</v>
      </c>
      <c r="O1363" t="s">
        <v>10831</v>
      </c>
      <c r="P1363" t="s">
        <v>10832</v>
      </c>
      <c r="Q1363" t="s">
        <v>8781</v>
      </c>
      <c r="T1363">
        <v>42.235569492000003</v>
      </c>
      <c r="U1363">
        <v>-83.443742248000007</v>
      </c>
      <c r="V1363">
        <f>SUM(W1363:X1363)+(Y1363*0.8)+(Z1363*0.4)</f>
        <v>2.2000000000000002</v>
      </c>
      <c r="W1363">
        <v>0.5</v>
      </c>
      <c r="X1363">
        <v>0.5</v>
      </c>
      <c r="Y1363">
        <v>0</v>
      </c>
      <c r="Z1363">
        <v>3</v>
      </c>
      <c r="AA1363" t="s">
        <v>43</v>
      </c>
      <c r="AB1363">
        <v>0.35</v>
      </c>
      <c r="AD1363" t="s">
        <v>10833</v>
      </c>
      <c r="AE1363" t="s">
        <v>10834</v>
      </c>
    </row>
    <row r="1364" spans="1:31" x14ac:dyDescent="0.25">
      <c r="A1364" t="s">
        <v>31</v>
      </c>
      <c r="C1364" t="s">
        <v>5154</v>
      </c>
      <c r="D1364" t="s">
        <v>5155</v>
      </c>
      <c r="E1364" t="s">
        <v>34</v>
      </c>
      <c r="F1364" t="s">
        <v>35</v>
      </c>
      <c r="G1364">
        <v>2012</v>
      </c>
      <c r="H1364" t="s">
        <v>36</v>
      </c>
      <c r="I1364" t="s">
        <v>5156</v>
      </c>
      <c r="J1364" t="s">
        <v>31</v>
      </c>
      <c r="K1364" t="s">
        <v>38</v>
      </c>
      <c r="L1364" t="s">
        <v>1433</v>
      </c>
      <c r="M1364" t="s">
        <v>1434</v>
      </c>
      <c r="N1364" t="s">
        <v>1582</v>
      </c>
      <c r="O1364" t="s">
        <v>5157</v>
      </c>
      <c r="P1364" t="s">
        <v>5158</v>
      </c>
      <c r="T1364">
        <v>42.056337096999997</v>
      </c>
      <c r="U1364">
        <v>-91.679553003999999</v>
      </c>
      <c r="V1364">
        <f>SUM(W1364:X1364)+(Y1364*0.8)+(Z1364*0.4)</f>
        <v>2.2000000000000002</v>
      </c>
      <c r="W1364">
        <v>1</v>
      </c>
      <c r="X1364">
        <v>0</v>
      </c>
      <c r="Y1364">
        <v>0</v>
      </c>
      <c r="Z1364">
        <v>3</v>
      </c>
      <c r="AA1364" t="s">
        <v>43</v>
      </c>
      <c r="AB1364">
        <v>1</v>
      </c>
      <c r="AD1364" t="s">
        <v>5159</v>
      </c>
      <c r="AE1364" t="s">
        <v>5160</v>
      </c>
    </row>
    <row r="1365" spans="1:31" x14ac:dyDescent="0.25">
      <c r="A1365" t="s">
        <v>31</v>
      </c>
      <c r="C1365" t="s">
        <v>6020</v>
      </c>
      <c r="D1365" t="s">
        <v>6028</v>
      </c>
      <c r="E1365" t="s">
        <v>362</v>
      </c>
      <c r="F1365" t="s">
        <v>1611</v>
      </c>
      <c r="G1365">
        <v>1991</v>
      </c>
      <c r="H1365" t="s">
        <v>36</v>
      </c>
      <c r="I1365" t="s">
        <v>6029</v>
      </c>
      <c r="J1365" t="s">
        <v>31</v>
      </c>
      <c r="K1365" t="s">
        <v>38</v>
      </c>
      <c r="L1365" t="s">
        <v>172</v>
      </c>
      <c r="M1365" t="s">
        <v>173</v>
      </c>
      <c r="N1365" t="s">
        <v>433</v>
      </c>
      <c r="O1365" t="s">
        <v>6030</v>
      </c>
      <c r="P1365" t="s">
        <v>6031</v>
      </c>
      <c r="T1365">
        <v>33.707470110000003</v>
      </c>
      <c r="U1365">
        <v>-118.00035851600001</v>
      </c>
      <c r="V1365">
        <f>SUM(W1365:X1365)+(Y1365*0.8)+(Z1365*0.4)</f>
        <v>2.2000000000000002</v>
      </c>
      <c r="W1365">
        <v>2.2000000000000002</v>
      </c>
      <c r="X1365">
        <v>0</v>
      </c>
      <c r="Y1365">
        <v>0</v>
      </c>
      <c r="Z1365">
        <v>0</v>
      </c>
      <c r="AA1365" t="s">
        <v>43</v>
      </c>
      <c r="AB1365">
        <v>2.2000000000000002</v>
      </c>
      <c r="AD1365" t="s">
        <v>6032</v>
      </c>
      <c r="AE1365" t="s">
        <v>6033</v>
      </c>
    </row>
    <row r="1366" spans="1:31" x14ac:dyDescent="0.25">
      <c r="A1366" t="s">
        <v>31</v>
      </c>
      <c r="C1366" t="s">
        <v>10406</v>
      </c>
      <c r="D1366" t="s">
        <v>2685</v>
      </c>
      <c r="E1366" t="s">
        <v>34</v>
      </c>
      <c r="F1366" t="s">
        <v>35</v>
      </c>
      <c r="G1366">
        <v>2000</v>
      </c>
      <c r="H1366" t="s">
        <v>36</v>
      </c>
      <c r="I1366" t="s">
        <v>10434</v>
      </c>
      <c r="J1366" t="s">
        <v>31</v>
      </c>
      <c r="K1366" t="s">
        <v>38</v>
      </c>
      <c r="L1366" t="s">
        <v>153</v>
      </c>
      <c r="M1366" t="s">
        <v>154</v>
      </c>
      <c r="N1366" t="s">
        <v>5682</v>
      </c>
      <c r="O1366" t="s">
        <v>2685</v>
      </c>
      <c r="P1366" t="s">
        <v>10435</v>
      </c>
      <c r="Q1366" t="s">
        <v>2685</v>
      </c>
      <c r="T1366">
        <v>41.177032398000001</v>
      </c>
      <c r="U1366">
        <v>-95.924640885000002</v>
      </c>
      <c r="V1366">
        <f>SUM(W1366:X1366)+(Y1366*0.8)+(Z1366*0.4)</f>
        <v>2.165</v>
      </c>
      <c r="W1366">
        <v>2.165</v>
      </c>
      <c r="X1366">
        <v>0</v>
      </c>
      <c r="Y1366">
        <v>0</v>
      </c>
      <c r="Z1366">
        <v>0</v>
      </c>
      <c r="AA1366" t="s">
        <v>43</v>
      </c>
      <c r="AB1366">
        <v>1.9650000000000001</v>
      </c>
      <c r="AD1366" t="s">
        <v>10436</v>
      </c>
      <c r="AE1366" t="s">
        <v>10437</v>
      </c>
    </row>
    <row r="1367" spans="1:31" x14ac:dyDescent="0.25">
      <c r="A1367" t="s">
        <v>31</v>
      </c>
      <c r="C1367" t="s">
        <v>10406</v>
      </c>
      <c r="D1367" t="s">
        <v>10421</v>
      </c>
      <c r="E1367" t="s">
        <v>34</v>
      </c>
      <c r="F1367" t="s">
        <v>35</v>
      </c>
      <c r="G1367">
        <v>2018</v>
      </c>
      <c r="H1367" t="s">
        <v>36</v>
      </c>
      <c r="I1367" t="s">
        <v>10422</v>
      </c>
      <c r="J1367" t="s">
        <v>31</v>
      </c>
      <c r="K1367" t="s">
        <v>38</v>
      </c>
      <c r="L1367" t="s">
        <v>448</v>
      </c>
      <c r="M1367" t="s">
        <v>449</v>
      </c>
      <c r="N1367" t="s">
        <v>457</v>
      </c>
      <c r="O1367" t="s">
        <v>10423</v>
      </c>
      <c r="P1367" t="s">
        <v>10424</v>
      </c>
      <c r="S1367" t="s">
        <v>10425</v>
      </c>
      <c r="T1367">
        <v>39.213528910000001</v>
      </c>
      <c r="U1367">
        <v>-76.683038771</v>
      </c>
      <c r="V1367">
        <f>SUM(W1367:X1367)+(Y1367*0.8)+(Z1367*0.4)</f>
        <v>2.1</v>
      </c>
      <c r="W1367">
        <v>1.3</v>
      </c>
      <c r="X1367">
        <v>0</v>
      </c>
      <c r="Y1367">
        <v>1</v>
      </c>
      <c r="Z1367">
        <v>0</v>
      </c>
      <c r="AA1367" t="s">
        <v>43</v>
      </c>
      <c r="AB1367">
        <v>1</v>
      </c>
      <c r="AD1367" t="s">
        <v>10426</v>
      </c>
      <c r="AE1367" t="s">
        <v>10427</v>
      </c>
    </row>
    <row r="1368" spans="1:31" x14ac:dyDescent="0.25">
      <c r="A1368" t="s">
        <v>31</v>
      </c>
      <c r="C1368" t="s">
        <v>3849</v>
      </c>
      <c r="D1368" t="s">
        <v>4573</v>
      </c>
      <c r="E1368" t="s">
        <v>34</v>
      </c>
      <c r="F1368" t="s">
        <v>66</v>
      </c>
      <c r="G1368">
        <v>2015</v>
      </c>
      <c r="H1368" t="s">
        <v>36</v>
      </c>
      <c r="I1368" t="s">
        <v>4574</v>
      </c>
      <c r="J1368" t="s">
        <v>31</v>
      </c>
      <c r="K1368" t="s">
        <v>38</v>
      </c>
      <c r="L1368" t="s">
        <v>123</v>
      </c>
      <c r="M1368" t="s">
        <v>124</v>
      </c>
      <c r="N1368" t="s">
        <v>270</v>
      </c>
      <c r="O1368" t="s">
        <v>123</v>
      </c>
      <c r="P1368" t="s">
        <v>3117</v>
      </c>
      <c r="Q1368" t="s">
        <v>272</v>
      </c>
      <c r="S1368" t="s">
        <v>273</v>
      </c>
      <c r="T1368">
        <v>40.719870999999998</v>
      </c>
      <c r="U1368">
        <v>-74.004696999999993</v>
      </c>
      <c r="V1368">
        <f>SUM(W1368:X1368)+(Y1368*0.8)+(Z1368*0.4)</f>
        <v>2.1</v>
      </c>
      <c r="W1368">
        <v>2.1</v>
      </c>
      <c r="X1368">
        <v>0</v>
      </c>
      <c r="Y1368">
        <v>0</v>
      </c>
      <c r="Z1368">
        <v>0</v>
      </c>
      <c r="AA1368" t="s">
        <v>43</v>
      </c>
      <c r="AB1368">
        <v>1.8</v>
      </c>
      <c r="AD1368" t="s">
        <v>4575</v>
      </c>
      <c r="AE1368" t="s">
        <v>4576</v>
      </c>
    </row>
    <row r="1369" spans="1:31" x14ac:dyDescent="0.25">
      <c r="A1369" t="s">
        <v>31</v>
      </c>
      <c r="C1369" t="s">
        <v>3551</v>
      </c>
      <c r="D1369" t="s">
        <v>3604</v>
      </c>
      <c r="E1369" t="s">
        <v>34</v>
      </c>
      <c r="F1369" t="s">
        <v>35</v>
      </c>
      <c r="G1369">
        <v>2012</v>
      </c>
      <c r="H1369" t="s">
        <v>36</v>
      </c>
      <c r="I1369" t="s">
        <v>3605</v>
      </c>
      <c r="J1369" t="s">
        <v>31</v>
      </c>
      <c r="K1369" t="s">
        <v>38</v>
      </c>
      <c r="L1369" t="s">
        <v>2437</v>
      </c>
      <c r="M1369" t="s">
        <v>2438</v>
      </c>
      <c r="N1369" t="s">
        <v>3606</v>
      </c>
      <c r="O1369" t="s">
        <v>3604</v>
      </c>
      <c r="P1369" t="s">
        <v>3607</v>
      </c>
      <c r="T1369">
        <v>32.964896322999998</v>
      </c>
      <c r="U1369">
        <v>-80.101225657000001</v>
      </c>
      <c r="V1369">
        <f>SUM(W1369:X1369)+(Y1369*0.8)+(Z1369*0.4)</f>
        <v>2.1</v>
      </c>
      <c r="W1369">
        <v>1.5</v>
      </c>
      <c r="X1369">
        <v>0</v>
      </c>
      <c r="Y1369">
        <v>0</v>
      </c>
      <c r="Z1369">
        <v>1.5</v>
      </c>
      <c r="AA1369" t="s">
        <v>43</v>
      </c>
      <c r="AB1369">
        <v>1</v>
      </c>
      <c r="AD1369" t="s">
        <v>3608</v>
      </c>
      <c r="AE1369" t="s">
        <v>3609</v>
      </c>
    </row>
    <row r="1370" spans="1:31" x14ac:dyDescent="0.25">
      <c r="A1370" t="s">
        <v>31</v>
      </c>
      <c r="C1370" t="s">
        <v>3710</v>
      </c>
      <c r="D1370" t="s">
        <v>3889</v>
      </c>
      <c r="E1370" t="s">
        <v>34</v>
      </c>
      <c r="F1370" t="s">
        <v>35</v>
      </c>
      <c r="G1370">
        <v>2003</v>
      </c>
      <c r="H1370" t="s">
        <v>36</v>
      </c>
      <c r="I1370" t="s">
        <v>3890</v>
      </c>
      <c r="J1370" t="s">
        <v>31</v>
      </c>
      <c r="K1370" t="s">
        <v>38</v>
      </c>
      <c r="L1370" t="s">
        <v>143</v>
      </c>
      <c r="M1370" t="s">
        <v>144</v>
      </c>
      <c r="N1370" t="s">
        <v>3891</v>
      </c>
      <c r="O1370" t="s">
        <v>2037</v>
      </c>
      <c r="P1370" t="s">
        <v>3892</v>
      </c>
      <c r="Q1370" t="s">
        <v>3893</v>
      </c>
      <c r="S1370" t="s">
        <v>3894</v>
      </c>
      <c r="T1370">
        <v>39.759366206999999</v>
      </c>
      <c r="U1370">
        <v>-86.172280947000004</v>
      </c>
      <c r="V1370">
        <f>SUM(W1370:X1370)+(Y1370*0.8)+(Z1370*0.4)</f>
        <v>2.1</v>
      </c>
      <c r="W1370">
        <v>2.1</v>
      </c>
      <c r="X1370">
        <v>0</v>
      </c>
      <c r="Y1370">
        <v>0</v>
      </c>
      <c r="Z1370">
        <v>0</v>
      </c>
      <c r="AA1370" t="s">
        <v>43</v>
      </c>
      <c r="AB1370">
        <v>1.8</v>
      </c>
      <c r="AD1370" t="s">
        <v>3895</v>
      </c>
      <c r="AE1370" t="s">
        <v>3896</v>
      </c>
    </row>
    <row r="1371" spans="1:31" x14ac:dyDescent="0.25">
      <c r="A1371" t="s">
        <v>31</v>
      </c>
      <c r="C1371" t="s">
        <v>4148</v>
      </c>
      <c r="D1371" t="s">
        <v>4169</v>
      </c>
      <c r="E1371" t="s">
        <v>34</v>
      </c>
      <c r="F1371" t="s">
        <v>35</v>
      </c>
      <c r="G1371">
        <v>2002</v>
      </c>
      <c r="H1371" t="s">
        <v>36</v>
      </c>
      <c r="I1371" t="s">
        <v>4170</v>
      </c>
      <c r="J1371" t="s">
        <v>31</v>
      </c>
      <c r="K1371" t="s">
        <v>38</v>
      </c>
      <c r="L1371" t="s">
        <v>133</v>
      </c>
      <c r="M1371" t="s">
        <v>134</v>
      </c>
      <c r="N1371" t="s">
        <v>135</v>
      </c>
      <c r="O1371" t="s">
        <v>136</v>
      </c>
      <c r="P1371" t="s">
        <v>4171</v>
      </c>
      <c r="S1371" t="s">
        <v>138</v>
      </c>
      <c r="T1371">
        <v>45.521343727000001</v>
      </c>
      <c r="U1371">
        <v>-122.681843767</v>
      </c>
      <c r="V1371">
        <f>SUM(W1371:X1371)+(Y1371*0.8)+(Z1371*0.4)</f>
        <v>2.1</v>
      </c>
      <c r="W1371">
        <v>2.1</v>
      </c>
      <c r="X1371">
        <v>0</v>
      </c>
      <c r="Y1371">
        <v>0</v>
      </c>
      <c r="Z1371">
        <v>0</v>
      </c>
      <c r="AA1371" t="s">
        <v>43</v>
      </c>
      <c r="AB1371">
        <v>2.1</v>
      </c>
      <c r="AD1371" t="s">
        <v>4172</v>
      </c>
      <c r="AE1371" t="s">
        <v>4173</v>
      </c>
    </row>
    <row r="1372" spans="1:31" x14ac:dyDescent="0.25">
      <c r="A1372" t="s">
        <v>31</v>
      </c>
      <c r="C1372" t="s">
        <v>3710</v>
      </c>
      <c r="D1372" t="s">
        <v>3738</v>
      </c>
      <c r="E1372" t="s">
        <v>34</v>
      </c>
      <c r="F1372" t="s">
        <v>35</v>
      </c>
      <c r="G1372">
        <v>2016</v>
      </c>
      <c r="H1372" t="s">
        <v>36</v>
      </c>
      <c r="I1372" t="s">
        <v>3739</v>
      </c>
      <c r="J1372" t="s">
        <v>31</v>
      </c>
      <c r="K1372" t="s">
        <v>38</v>
      </c>
      <c r="L1372" t="s">
        <v>86</v>
      </c>
      <c r="M1372" t="s">
        <v>87</v>
      </c>
      <c r="N1372" t="s">
        <v>88</v>
      </c>
      <c r="O1372" t="s">
        <v>2574</v>
      </c>
      <c r="P1372" t="s">
        <v>2575</v>
      </c>
      <c r="Q1372" t="s">
        <v>555</v>
      </c>
      <c r="T1372">
        <v>42.078344000000001</v>
      </c>
      <c r="U1372">
        <v>-87.923349999999999</v>
      </c>
      <c r="V1372">
        <f>SUM(W1372:X1372)+(Y1372*0.8)+(Z1372*0.4)</f>
        <v>2.0499999999999998</v>
      </c>
      <c r="W1372">
        <v>2.0499999999999998</v>
      </c>
      <c r="X1372">
        <v>0</v>
      </c>
      <c r="Y1372">
        <v>0</v>
      </c>
      <c r="Z1372">
        <v>0</v>
      </c>
      <c r="AA1372" t="s">
        <v>43</v>
      </c>
      <c r="AB1372">
        <v>1.5</v>
      </c>
      <c r="AD1372" t="s">
        <v>3740</v>
      </c>
      <c r="AE1372" t="s">
        <v>3741</v>
      </c>
    </row>
    <row r="1373" spans="1:31" x14ac:dyDescent="0.25">
      <c r="A1373" t="s">
        <v>31</v>
      </c>
      <c r="C1373" t="s">
        <v>10863</v>
      </c>
      <c r="D1373" t="s">
        <v>1543</v>
      </c>
      <c r="E1373" t="s">
        <v>34</v>
      </c>
      <c r="F1373" t="s">
        <v>35</v>
      </c>
      <c r="G1373">
        <v>2000</v>
      </c>
      <c r="H1373" t="s">
        <v>36</v>
      </c>
      <c r="I1373" t="s">
        <v>10864</v>
      </c>
      <c r="J1373" t="s">
        <v>31</v>
      </c>
      <c r="K1373" t="s">
        <v>38</v>
      </c>
      <c r="L1373" t="s">
        <v>1540</v>
      </c>
      <c r="M1373" t="s">
        <v>1541</v>
      </c>
      <c r="N1373" t="s">
        <v>1542</v>
      </c>
      <c r="O1373" t="s">
        <v>1543</v>
      </c>
      <c r="P1373" t="s">
        <v>10865</v>
      </c>
      <c r="T1373">
        <v>43.607991499999997</v>
      </c>
      <c r="U1373">
        <v>-116.31007353299999</v>
      </c>
      <c r="V1373">
        <f>SUM(W1373:X1373)+(Y1373*0.8)+(Z1373*0.4)</f>
        <v>2.0030000000000001</v>
      </c>
      <c r="W1373">
        <v>2.0030000000000001</v>
      </c>
      <c r="X1373">
        <v>0</v>
      </c>
      <c r="Y1373">
        <v>0</v>
      </c>
      <c r="Z1373">
        <v>0</v>
      </c>
      <c r="AA1373" t="s">
        <v>43</v>
      </c>
      <c r="AB1373">
        <v>2.0030000000000001</v>
      </c>
      <c r="AD1373" t="s">
        <v>10866</v>
      </c>
      <c r="AE1373" t="s">
        <v>10867</v>
      </c>
    </row>
    <row r="1374" spans="1:31" x14ac:dyDescent="0.25">
      <c r="A1374" t="s">
        <v>31</v>
      </c>
      <c r="C1374" t="s">
        <v>4778</v>
      </c>
      <c r="D1374" t="s">
        <v>4790</v>
      </c>
      <c r="E1374" t="s">
        <v>34</v>
      </c>
      <c r="F1374" t="s">
        <v>35</v>
      </c>
      <c r="G1374">
        <v>2023</v>
      </c>
      <c r="H1374" t="s">
        <v>36</v>
      </c>
      <c r="I1374" t="s">
        <v>4791</v>
      </c>
      <c r="J1374" t="s">
        <v>31</v>
      </c>
      <c r="K1374" t="s">
        <v>38</v>
      </c>
      <c r="L1374" t="s">
        <v>1900</v>
      </c>
      <c r="M1374" t="s">
        <v>1901</v>
      </c>
      <c r="O1374" t="s">
        <v>4786</v>
      </c>
      <c r="P1374" t="s">
        <v>4792</v>
      </c>
      <c r="Q1374" t="s">
        <v>138</v>
      </c>
      <c r="T1374">
        <v>38.630968703999997</v>
      </c>
      <c r="U1374">
        <v>-90.192862036999998</v>
      </c>
      <c r="V1374">
        <f>SUM(W1374:X1374)+(Y1374*0.8)+(Z1374*0.4)</f>
        <v>2</v>
      </c>
      <c r="W1374">
        <v>2</v>
      </c>
      <c r="X1374">
        <v>0</v>
      </c>
      <c r="Y1374">
        <v>0</v>
      </c>
      <c r="Z1374">
        <v>0</v>
      </c>
      <c r="AA1374" t="s">
        <v>43</v>
      </c>
      <c r="AB1374">
        <v>1</v>
      </c>
      <c r="AD1374" t="s">
        <v>4793</v>
      </c>
      <c r="AE1374" t="s">
        <v>4794</v>
      </c>
    </row>
    <row r="1375" spans="1:31" x14ac:dyDescent="0.25">
      <c r="A1375" t="s">
        <v>31</v>
      </c>
      <c r="C1375" t="s">
        <v>2836</v>
      </c>
      <c r="D1375" t="s">
        <v>1881</v>
      </c>
      <c r="E1375" t="s">
        <v>34</v>
      </c>
      <c r="F1375" t="s">
        <v>35</v>
      </c>
      <c r="G1375">
        <v>2023</v>
      </c>
      <c r="H1375" t="s">
        <v>36</v>
      </c>
      <c r="I1375" t="s">
        <v>2837</v>
      </c>
      <c r="J1375" t="s">
        <v>31</v>
      </c>
      <c r="K1375" t="s">
        <v>38</v>
      </c>
      <c r="L1375" t="s">
        <v>326</v>
      </c>
      <c r="M1375" t="s">
        <v>327</v>
      </c>
      <c r="N1375" t="s">
        <v>328</v>
      </c>
      <c r="O1375" t="s">
        <v>1160</v>
      </c>
      <c r="P1375" t="s">
        <v>1165</v>
      </c>
      <c r="T1375">
        <v>33.355151894000002</v>
      </c>
      <c r="U1375">
        <v>-111.635196609</v>
      </c>
      <c r="V1375">
        <f>SUM(W1375:X1375)+(Y1375*0.8)+(Z1375*0.4)</f>
        <v>2</v>
      </c>
      <c r="W1375">
        <v>2</v>
      </c>
      <c r="X1375">
        <v>0</v>
      </c>
      <c r="Y1375">
        <v>0</v>
      </c>
      <c r="Z1375">
        <v>0</v>
      </c>
      <c r="AA1375" t="s">
        <v>43</v>
      </c>
      <c r="AB1375">
        <v>2</v>
      </c>
      <c r="AD1375" t="s">
        <v>2838</v>
      </c>
      <c r="AE1375" t="s">
        <v>2839</v>
      </c>
    </row>
    <row r="1376" spans="1:31" x14ac:dyDescent="0.25">
      <c r="A1376" t="s">
        <v>31</v>
      </c>
      <c r="C1376" t="s">
        <v>3622</v>
      </c>
      <c r="D1376" t="s">
        <v>3647</v>
      </c>
      <c r="E1376" t="s">
        <v>34</v>
      </c>
      <c r="F1376" t="s">
        <v>35</v>
      </c>
      <c r="G1376">
        <v>2021</v>
      </c>
      <c r="H1376" t="s">
        <v>36</v>
      </c>
      <c r="I1376" t="s">
        <v>3648</v>
      </c>
      <c r="J1376" t="s">
        <v>31</v>
      </c>
      <c r="K1376" t="s">
        <v>38</v>
      </c>
      <c r="L1376" t="s">
        <v>77</v>
      </c>
      <c r="M1376" t="s">
        <v>78</v>
      </c>
      <c r="N1376" t="s">
        <v>3641</v>
      </c>
      <c r="O1376" t="s">
        <v>3649</v>
      </c>
      <c r="P1376" t="s">
        <v>3650</v>
      </c>
      <c r="Q1376" t="s">
        <v>3644</v>
      </c>
      <c r="T1376">
        <v>40.075217659000003</v>
      </c>
      <c r="U1376">
        <v>-75.333734022000002</v>
      </c>
      <c r="V1376">
        <f>SUM(W1376:X1376)+(Y1376*0.8)+(Z1376*0.4)</f>
        <v>2</v>
      </c>
      <c r="W1376">
        <v>2</v>
      </c>
      <c r="X1376">
        <v>0</v>
      </c>
      <c r="Y1376">
        <v>0</v>
      </c>
      <c r="Z1376">
        <v>0</v>
      </c>
      <c r="AA1376" t="s">
        <v>43</v>
      </c>
      <c r="AB1376">
        <v>1.92</v>
      </c>
      <c r="AD1376" t="s">
        <v>3651</v>
      </c>
      <c r="AE1376" t="s">
        <v>3652</v>
      </c>
    </row>
    <row r="1377" spans="1:31" x14ac:dyDescent="0.25">
      <c r="A1377" t="s">
        <v>31</v>
      </c>
      <c r="C1377" t="s">
        <v>10815</v>
      </c>
      <c r="D1377" t="s">
        <v>2037</v>
      </c>
      <c r="E1377" t="s">
        <v>34</v>
      </c>
      <c r="F1377" t="s">
        <v>35</v>
      </c>
      <c r="G1377">
        <v>2020</v>
      </c>
      <c r="H1377" t="s">
        <v>36</v>
      </c>
      <c r="I1377" t="s">
        <v>10840</v>
      </c>
      <c r="J1377" t="s">
        <v>31</v>
      </c>
      <c r="K1377" t="s">
        <v>38</v>
      </c>
      <c r="L1377" t="s">
        <v>143</v>
      </c>
      <c r="M1377" t="s">
        <v>144</v>
      </c>
      <c r="N1377" t="s">
        <v>3891</v>
      </c>
      <c r="O1377" t="s">
        <v>2037</v>
      </c>
      <c r="P1377" t="s">
        <v>10841</v>
      </c>
      <c r="T1377">
        <v>39.870319838999997</v>
      </c>
      <c r="U1377">
        <v>-86.236883163000002</v>
      </c>
      <c r="V1377">
        <f>SUM(W1377:X1377)+(Y1377*0.8)+(Z1377*0.4)</f>
        <v>2</v>
      </c>
      <c r="W1377">
        <v>2</v>
      </c>
      <c r="X1377">
        <v>0</v>
      </c>
      <c r="Y1377">
        <v>0</v>
      </c>
      <c r="Z1377">
        <v>0</v>
      </c>
      <c r="AA1377" t="s">
        <v>43</v>
      </c>
      <c r="AB1377">
        <v>0.4</v>
      </c>
      <c r="AD1377" t="s">
        <v>10842</v>
      </c>
      <c r="AE1377" t="s">
        <v>10843</v>
      </c>
    </row>
    <row r="1378" spans="1:31" x14ac:dyDescent="0.25">
      <c r="A1378" t="s">
        <v>31</v>
      </c>
      <c r="C1378" t="s">
        <v>9759</v>
      </c>
      <c r="D1378" t="s">
        <v>9760</v>
      </c>
      <c r="E1378" t="s">
        <v>34</v>
      </c>
      <c r="F1378" t="s">
        <v>35</v>
      </c>
      <c r="G1378">
        <v>2020</v>
      </c>
      <c r="H1378" t="s">
        <v>36</v>
      </c>
      <c r="I1378" t="s">
        <v>9761</v>
      </c>
      <c r="J1378" t="s">
        <v>31</v>
      </c>
      <c r="K1378" t="s">
        <v>38</v>
      </c>
      <c r="L1378" t="s">
        <v>103</v>
      </c>
      <c r="M1378" t="s">
        <v>104</v>
      </c>
      <c r="N1378" t="s">
        <v>105</v>
      </c>
      <c r="O1378" t="s">
        <v>9762</v>
      </c>
      <c r="P1378" t="s">
        <v>9763</v>
      </c>
      <c r="T1378">
        <v>21.481022177</v>
      </c>
      <c r="U1378">
        <v>-158.01928823700001</v>
      </c>
      <c r="V1378">
        <f>SUM(W1378:X1378)+(Y1378*0.8)+(Z1378*0.4)</f>
        <v>2</v>
      </c>
      <c r="W1378">
        <v>2</v>
      </c>
      <c r="X1378">
        <v>0</v>
      </c>
      <c r="Y1378">
        <v>0</v>
      </c>
      <c r="Z1378">
        <v>0</v>
      </c>
      <c r="AA1378" t="s">
        <v>43</v>
      </c>
      <c r="AB1378">
        <v>1.47</v>
      </c>
      <c r="AD1378" t="s">
        <v>9764</v>
      </c>
      <c r="AE1378" t="s">
        <v>9765</v>
      </c>
    </row>
    <row r="1379" spans="1:31" x14ac:dyDescent="0.25">
      <c r="A1379" t="s">
        <v>31</v>
      </c>
      <c r="C1379" t="s">
        <v>379</v>
      </c>
      <c r="D1379" t="s">
        <v>390</v>
      </c>
      <c r="E1379" t="s">
        <v>362</v>
      </c>
      <c r="F1379" t="s">
        <v>381</v>
      </c>
      <c r="G1379">
        <v>2020</v>
      </c>
      <c r="H1379" t="s">
        <v>36</v>
      </c>
      <c r="I1379" t="s">
        <v>391</v>
      </c>
      <c r="J1379" t="s">
        <v>31</v>
      </c>
      <c r="K1379" t="s">
        <v>38</v>
      </c>
      <c r="L1379" t="s">
        <v>202</v>
      </c>
      <c r="M1379" t="s">
        <v>203</v>
      </c>
      <c r="N1379" t="s">
        <v>309</v>
      </c>
      <c r="O1379" t="s">
        <v>310</v>
      </c>
      <c r="P1379" t="s">
        <v>311</v>
      </c>
      <c r="T1379">
        <v>27.949109662000001</v>
      </c>
      <c r="U1379">
        <v>-82.456982976999996</v>
      </c>
      <c r="V1379">
        <f>SUM(W1379:X1379)+(Y1379*0.8)+(Z1379*0.4)</f>
        <v>2</v>
      </c>
      <c r="W1379">
        <v>2</v>
      </c>
      <c r="X1379">
        <v>0</v>
      </c>
      <c r="Y1379">
        <v>0</v>
      </c>
      <c r="Z1379">
        <v>0</v>
      </c>
      <c r="AA1379" t="s">
        <v>43</v>
      </c>
      <c r="AB1379">
        <v>2</v>
      </c>
      <c r="AD1379" t="s">
        <v>392</v>
      </c>
      <c r="AE1379" t="s">
        <v>393</v>
      </c>
    </row>
    <row r="1380" spans="1:31" x14ac:dyDescent="0.25">
      <c r="A1380" t="s">
        <v>31</v>
      </c>
      <c r="C1380" t="s">
        <v>2374</v>
      </c>
      <c r="D1380" t="s">
        <v>2375</v>
      </c>
      <c r="E1380" t="s">
        <v>362</v>
      </c>
      <c r="F1380" t="s">
        <v>630</v>
      </c>
      <c r="G1380">
        <v>2019</v>
      </c>
      <c r="H1380" t="s">
        <v>36</v>
      </c>
      <c r="I1380" t="s">
        <v>2376</v>
      </c>
      <c r="J1380" t="s">
        <v>31</v>
      </c>
      <c r="K1380" t="s">
        <v>38</v>
      </c>
      <c r="L1380" t="s">
        <v>68</v>
      </c>
      <c r="M1380" t="s">
        <v>69</v>
      </c>
      <c r="N1380" t="s">
        <v>2377</v>
      </c>
      <c r="O1380" t="s">
        <v>2134</v>
      </c>
      <c r="P1380" t="s">
        <v>2378</v>
      </c>
      <c r="S1380" t="s">
        <v>2379</v>
      </c>
      <c r="T1380">
        <v>33.004472833000001</v>
      </c>
      <c r="U1380">
        <v>-97.246090605999996</v>
      </c>
      <c r="V1380">
        <f>SUM(W1380:X1380)+(Y1380*0.8)+(Z1380*0.4)</f>
        <v>2</v>
      </c>
      <c r="W1380">
        <v>2</v>
      </c>
      <c r="X1380">
        <v>0</v>
      </c>
      <c r="Y1380">
        <v>0</v>
      </c>
      <c r="Z1380">
        <v>0</v>
      </c>
      <c r="AA1380" t="s">
        <v>43</v>
      </c>
      <c r="AB1380">
        <v>2</v>
      </c>
      <c r="AD1380" t="s">
        <v>2380</v>
      </c>
      <c r="AE1380" t="s">
        <v>2381</v>
      </c>
    </row>
    <row r="1381" spans="1:31" x14ac:dyDescent="0.25">
      <c r="A1381" t="s">
        <v>31</v>
      </c>
      <c r="C1381" t="s">
        <v>1300</v>
      </c>
      <c r="D1381" t="s">
        <v>1308</v>
      </c>
      <c r="E1381" t="s">
        <v>362</v>
      </c>
      <c r="F1381" t="s">
        <v>1302</v>
      </c>
      <c r="G1381">
        <v>2019</v>
      </c>
      <c r="H1381" t="s">
        <v>36</v>
      </c>
      <c r="I1381" t="s">
        <v>1309</v>
      </c>
      <c r="J1381" t="s">
        <v>31</v>
      </c>
      <c r="K1381" t="s">
        <v>38</v>
      </c>
      <c r="L1381" t="s">
        <v>317</v>
      </c>
      <c r="M1381" t="s">
        <v>318</v>
      </c>
      <c r="N1381" t="s">
        <v>665</v>
      </c>
      <c r="O1381" t="s">
        <v>1310</v>
      </c>
      <c r="P1381" t="s">
        <v>1311</v>
      </c>
      <c r="Q1381" t="s">
        <v>1312</v>
      </c>
      <c r="S1381" t="s">
        <v>1313</v>
      </c>
      <c r="T1381">
        <v>39.881069556</v>
      </c>
      <c r="U1381">
        <v>-82.881960965000005</v>
      </c>
      <c r="V1381">
        <f>SUM(W1381:X1381)+(Y1381*0.8)+(Z1381*0.4)</f>
        <v>2</v>
      </c>
      <c r="W1381">
        <v>2</v>
      </c>
      <c r="X1381">
        <v>0</v>
      </c>
      <c r="Y1381">
        <v>0</v>
      </c>
      <c r="Z1381">
        <v>0</v>
      </c>
      <c r="AA1381" t="s">
        <v>43</v>
      </c>
      <c r="AB1381">
        <v>2</v>
      </c>
      <c r="AD1381" t="s">
        <v>1314</v>
      </c>
      <c r="AE1381" t="s">
        <v>1315</v>
      </c>
    </row>
    <row r="1382" spans="1:31" x14ac:dyDescent="0.25">
      <c r="A1382" t="s">
        <v>31</v>
      </c>
      <c r="C1382" t="s">
        <v>10406</v>
      </c>
      <c r="D1382" t="s">
        <v>10468</v>
      </c>
      <c r="E1382" t="s">
        <v>34</v>
      </c>
      <c r="F1382" t="s">
        <v>35</v>
      </c>
      <c r="G1382">
        <v>2018</v>
      </c>
      <c r="H1382" t="s">
        <v>36</v>
      </c>
      <c r="I1382" t="s">
        <v>10469</v>
      </c>
      <c r="J1382" t="s">
        <v>31</v>
      </c>
      <c r="K1382" t="s">
        <v>38</v>
      </c>
      <c r="L1382" t="s">
        <v>123</v>
      </c>
      <c r="M1382" t="s">
        <v>124</v>
      </c>
      <c r="N1382" t="s">
        <v>5383</v>
      </c>
      <c r="O1382" t="s">
        <v>10470</v>
      </c>
      <c r="P1382" t="s">
        <v>10471</v>
      </c>
      <c r="T1382">
        <v>41.086631666000002</v>
      </c>
      <c r="U1382">
        <v>-73.817418387000004</v>
      </c>
      <c r="V1382">
        <f>SUM(W1382:X1382)+(Y1382*0.8)+(Z1382*0.4)</f>
        <v>2</v>
      </c>
      <c r="W1382">
        <v>2</v>
      </c>
      <c r="X1382">
        <v>0</v>
      </c>
      <c r="Y1382">
        <v>0</v>
      </c>
      <c r="Z1382">
        <v>0</v>
      </c>
      <c r="AA1382" t="s">
        <v>43</v>
      </c>
      <c r="AB1382">
        <v>1.83</v>
      </c>
      <c r="AD1382" t="s">
        <v>10472</v>
      </c>
      <c r="AE1382" t="s">
        <v>10473</v>
      </c>
    </row>
    <row r="1383" spans="1:31" x14ac:dyDescent="0.25">
      <c r="A1383" t="s">
        <v>31</v>
      </c>
      <c r="C1383" t="s">
        <v>10406</v>
      </c>
      <c r="D1383" t="s">
        <v>10459</v>
      </c>
      <c r="E1383" t="s">
        <v>34</v>
      </c>
      <c r="F1383" t="s">
        <v>35</v>
      </c>
      <c r="G1383">
        <v>2017</v>
      </c>
      <c r="H1383" t="s">
        <v>36</v>
      </c>
      <c r="I1383" t="s">
        <v>10460</v>
      </c>
      <c r="J1383" t="s">
        <v>31</v>
      </c>
      <c r="K1383" t="s">
        <v>38</v>
      </c>
      <c r="L1383" t="s">
        <v>68</v>
      </c>
      <c r="M1383" t="s">
        <v>69</v>
      </c>
      <c r="N1383" t="s">
        <v>547</v>
      </c>
      <c r="O1383" t="s">
        <v>2081</v>
      </c>
      <c r="P1383" t="s">
        <v>10461</v>
      </c>
      <c r="T1383">
        <v>33.137944333</v>
      </c>
      <c r="U1383">
        <v>-96.657528366999998</v>
      </c>
      <c r="V1383">
        <f>SUM(W1383:X1383)+(Y1383*0.8)+(Z1383*0.4)</f>
        <v>2</v>
      </c>
      <c r="W1383">
        <v>2</v>
      </c>
      <c r="X1383">
        <v>0</v>
      </c>
      <c r="Y1383">
        <v>0</v>
      </c>
      <c r="Z1383">
        <v>0</v>
      </c>
      <c r="AA1383" t="s">
        <v>43</v>
      </c>
      <c r="AB1383">
        <v>2</v>
      </c>
      <c r="AD1383" t="s">
        <v>10462</v>
      </c>
      <c r="AE1383" t="s">
        <v>10463</v>
      </c>
    </row>
    <row r="1384" spans="1:31" x14ac:dyDescent="0.25">
      <c r="A1384" t="s">
        <v>31</v>
      </c>
      <c r="C1384" t="s">
        <v>10102</v>
      </c>
      <c r="D1384" t="s">
        <v>10111</v>
      </c>
      <c r="E1384" t="s">
        <v>34</v>
      </c>
      <c r="F1384" t="s">
        <v>35</v>
      </c>
      <c r="G1384">
        <v>2017</v>
      </c>
      <c r="H1384" t="s">
        <v>36</v>
      </c>
      <c r="I1384" t="s">
        <v>10112</v>
      </c>
      <c r="J1384" t="s">
        <v>31</v>
      </c>
      <c r="K1384" t="s">
        <v>38</v>
      </c>
      <c r="L1384" t="s">
        <v>1457</v>
      </c>
      <c r="M1384" t="s">
        <v>1458</v>
      </c>
      <c r="N1384" t="s">
        <v>319</v>
      </c>
      <c r="O1384" t="s">
        <v>10113</v>
      </c>
      <c r="P1384" t="s">
        <v>10114</v>
      </c>
      <c r="T1384">
        <v>36.059143478000003</v>
      </c>
      <c r="U1384">
        <v>-115.213671265</v>
      </c>
      <c r="V1384">
        <f>SUM(W1384:X1384)+(Y1384*0.8)+(Z1384*0.4)</f>
        <v>2</v>
      </c>
      <c r="W1384">
        <v>2</v>
      </c>
      <c r="X1384">
        <v>0</v>
      </c>
      <c r="Y1384">
        <v>0</v>
      </c>
      <c r="Z1384">
        <v>0</v>
      </c>
      <c r="AA1384" t="s">
        <v>43</v>
      </c>
      <c r="AB1384">
        <v>2</v>
      </c>
      <c r="AD1384" t="s">
        <v>10115</v>
      </c>
      <c r="AE1384" t="s">
        <v>10116</v>
      </c>
    </row>
    <row r="1385" spans="1:31" x14ac:dyDescent="0.25">
      <c r="A1385" t="s">
        <v>31</v>
      </c>
      <c r="C1385" t="s">
        <v>8260</v>
      </c>
      <c r="D1385" t="s">
        <v>8261</v>
      </c>
      <c r="E1385" t="s">
        <v>362</v>
      </c>
      <c r="F1385" t="s">
        <v>1302</v>
      </c>
      <c r="G1385">
        <v>2017</v>
      </c>
      <c r="H1385" t="s">
        <v>36</v>
      </c>
      <c r="I1385" t="s">
        <v>8262</v>
      </c>
      <c r="J1385" t="s">
        <v>31</v>
      </c>
      <c r="K1385" t="s">
        <v>38</v>
      </c>
      <c r="L1385" t="s">
        <v>242</v>
      </c>
      <c r="M1385" t="s">
        <v>243</v>
      </c>
      <c r="N1385" t="s">
        <v>8263</v>
      </c>
      <c r="O1385" t="s">
        <v>5192</v>
      </c>
      <c r="P1385" t="s">
        <v>8264</v>
      </c>
      <c r="T1385">
        <v>37.088361998000003</v>
      </c>
      <c r="U1385">
        <v>-76.378788052999994</v>
      </c>
      <c r="V1385">
        <f>SUM(W1385:X1385)+(Y1385*0.8)+(Z1385*0.4)</f>
        <v>2</v>
      </c>
      <c r="W1385">
        <v>2</v>
      </c>
      <c r="X1385">
        <v>0</v>
      </c>
      <c r="Y1385">
        <v>0</v>
      </c>
      <c r="Z1385">
        <v>0</v>
      </c>
      <c r="AA1385" t="s">
        <v>43</v>
      </c>
      <c r="AB1385">
        <v>2</v>
      </c>
      <c r="AD1385" t="s">
        <v>8265</v>
      </c>
      <c r="AE1385" t="s">
        <v>8266</v>
      </c>
    </row>
    <row r="1386" spans="1:31" x14ac:dyDescent="0.25">
      <c r="A1386" t="s">
        <v>31</v>
      </c>
      <c r="C1386" t="s">
        <v>4035</v>
      </c>
      <c r="D1386" t="s">
        <v>4053</v>
      </c>
      <c r="E1386" t="s">
        <v>34</v>
      </c>
      <c r="F1386" t="s">
        <v>35</v>
      </c>
      <c r="G1386">
        <v>2017</v>
      </c>
      <c r="H1386" t="s">
        <v>36</v>
      </c>
      <c r="I1386" t="s">
        <v>4054</v>
      </c>
      <c r="J1386" t="s">
        <v>31</v>
      </c>
      <c r="K1386" t="s">
        <v>38</v>
      </c>
      <c r="L1386" t="s">
        <v>260</v>
      </c>
      <c r="M1386" t="s">
        <v>261</v>
      </c>
      <c r="N1386" t="s">
        <v>2036</v>
      </c>
      <c r="O1386" t="s">
        <v>4053</v>
      </c>
      <c r="P1386" t="s">
        <v>4055</v>
      </c>
      <c r="T1386">
        <v>35.031633999999997</v>
      </c>
      <c r="U1386">
        <v>-85.297262000000003</v>
      </c>
      <c r="V1386">
        <f>SUM(W1386:X1386)+(Y1386*0.8)+(Z1386*0.4)</f>
        <v>2</v>
      </c>
      <c r="W1386">
        <v>1</v>
      </c>
      <c r="X1386">
        <v>0</v>
      </c>
      <c r="Y1386">
        <v>0</v>
      </c>
      <c r="Z1386">
        <v>2.5</v>
      </c>
      <c r="AA1386" t="s">
        <v>43</v>
      </c>
      <c r="AB1386">
        <v>0.1</v>
      </c>
      <c r="AD1386" t="s">
        <v>4056</v>
      </c>
      <c r="AE1386" t="s">
        <v>4057</v>
      </c>
    </row>
    <row r="1387" spans="1:31" x14ac:dyDescent="0.25">
      <c r="A1387" t="s">
        <v>31</v>
      </c>
      <c r="C1387" t="s">
        <v>1530</v>
      </c>
      <c r="D1387" t="s">
        <v>1574</v>
      </c>
      <c r="E1387" t="s">
        <v>34</v>
      </c>
      <c r="F1387" t="s">
        <v>35</v>
      </c>
      <c r="G1387">
        <v>2017</v>
      </c>
      <c r="H1387" t="s">
        <v>36</v>
      </c>
      <c r="I1387" t="s">
        <v>1575</v>
      </c>
      <c r="J1387" t="s">
        <v>31</v>
      </c>
      <c r="K1387" t="s">
        <v>38</v>
      </c>
      <c r="L1387" t="s">
        <v>317</v>
      </c>
      <c r="M1387" t="s">
        <v>318</v>
      </c>
      <c r="N1387" t="s">
        <v>1576</v>
      </c>
      <c r="O1387" t="s">
        <v>1574</v>
      </c>
      <c r="P1387" t="s">
        <v>1577</v>
      </c>
      <c r="T1387">
        <v>41.361221428</v>
      </c>
      <c r="U1387">
        <v>-81.632601041000001</v>
      </c>
      <c r="V1387">
        <f>SUM(W1387:X1387)+(Y1387*0.8)+(Z1387*0.4)</f>
        <v>2</v>
      </c>
      <c r="W1387">
        <v>2</v>
      </c>
      <c r="X1387">
        <v>0</v>
      </c>
      <c r="Y1387">
        <v>0</v>
      </c>
      <c r="Z1387">
        <v>0</v>
      </c>
      <c r="AA1387" t="s">
        <v>43</v>
      </c>
      <c r="AB1387">
        <v>1</v>
      </c>
      <c r="AD1387" t="s">
        <v>1578</v>
      </c>
      <c r="AE1387" t="s">
        <v>1579</v>
      </c>
    </row>
    <row r="1388" spans="1:31" x14ac:dyDescent="0.25">
      <c r="A1388" t="s">
        <v>31</v>
      </c>
      <c r="C1388" t="s">
        <v>169</v>
      </c>
      <c r="D1388" t="s">
        <v>200</v>
      </c>
      <c r="E1388" t="s">
        <v>34</v>
      </c>
      <c r="F1388" t="s">
        <v>35</v>
      </c>
      <c r="G1388">
        <v>2017</v>
      </c>
      <c r="H1388" t="s">
        <v>36</v>
      </c>
      <c r="I1388" t="s">
        <v>201</v>
      </c>
      <c r="J1388" t="s">
        <v>31</v>
      </c>
      <c r="K1388" t="s">
        <v>38</v>
      </c>
      <c r="L1388" t="s">
        <v>202</v>
      </c>
      <c r="M1388" t="s">
        <v>203</v>
      </c>
      <c r="N1388" t="s">
        <v>204</v>
      </c>
      <c r="O1388" t="s">
        <v>200</v>
      </c>
      <c r="P1388" t="s">
        <v>205</v>
      </c>
      <c r="T1388">
        <v>26.381807540000001</v>
      </c>
      <c r="U1388">
        <v>-80.083963334000003</v>
      </c>
      <c r="V1388">
        <f>SUM(W1388:X1388)+(Y1388*0.8)+(Z1388*0.4)</f>
        <v>2</v>
      </c>
      <c r="W1388">
        <v>2</v>
      </c>
      <c r="X1388">
        <v>0</v>
      </c>
      <c r="Y1388">
        <v>0</v>
      </c>
      <c r="Z1388">
        <v>0</v>
      </c>
      <c r="AA1388" t="s">
        <v>43</v>
      </c>
      <c r="AB1388">
        <v>1.68</v>
      </c>
      <c r="AD1388" t="s">
        <v>206</v>
      </c>
      <c r="AE1388" t="s">
        <v>207</v>
      </c>
    </row>
    <row r="1389" spans="1:31" x14ac:dyDescent="0.25">
      <c r="A1389" t="s">
        <v>31</v>
      </c>
      <c r="C1389" t="s">
        <v>7218</v>
      </c>
      <c r="D1389" t="s">
        <v>7285</v>
      </c>
      <c r="E1389" t="s">
        <v>362</v>
      </c>
      <c r="F1389" t="s">
        <v>1611</v>
      </c>
      <c r="G1389">
        <v>2016</v>
      </c>
      <c r="H1389" t="s">
        <v>36</v>
      </c>
      <c r="I1389" t="s">
        <v>7286</v>
      </c>
      <c r="J1389" t="s">
        <v>31</v>
      </c>
      <c r="K1389" t="s">
        <v>38</v>
      </c>
      <c r="L1389" t="s">
        <v>251</v>
      </c>
      <c r="M1389" t="s">
        <v>252</v>
      </c>
      <c r="N1389" t="s">
        <v>253</v>
      </c>
      <c r="O1389" t="s">
        <v>1622</v>
      </c>
      <c r="P1389" t="s">
        <v>7287</v>
      </c>
      <c r="Q1389" t="s">
        <v>1625</v>
      </c>
      <c r="S1389" t="s">
        <v>1626</v>
      </c>
      <c r="T1389">
        <v>42.367495892000001</v>
      </c>
      <c r="U1389">
        <v>-71.086555617000002</v>
      </c>
      <c r="V1389">
        <f>SUM(W1389:X1389)+(Y1389*0.8)+(Z1389*0.4)</f>
        <v>2</v>
      </c>
      <c r="W1389">
        <v>2</v>
      </c>
      <c r="X1389">
        <v>0</v>
      </c>
      <c r="Y1389">
        <v>0</v>
      </c>
      <c r="Z1389">
        <v>0</v>
      </c>
      <c r="AA1389" t="s">
        <v>43</v>
      </c>
      <c r="AB1389">
        <v>2</v>
      </c>
      <c r="AD1389" t="s">
        <v>7288</v>
      </c>
      <c r="AE1389" t="s">
        <v>7289</v>
      </c>
    </row>
    <row r="1390" spans="1:31" x14ac:dyDescent="0.25">
      <c r="A1390" t="s">
        <v>31</v>
      </c>
      <c r="C1390" t="s">
        <v>3710</v>
      </c>
      <c r="D1390" t="s">
        <v>3734</v>
      </c>
      <c r="E1390" t="s">
        <v>34</v>
      </c>
      <c r="F1390" t="s">
        <v>35</v>
      </c>
      <c r="G1390">
        <v>2016</v>
      </c>
      <c r="H1390" t="s">
        <v>36</v>
      </c>
      <c r="I1390" t="s">
        <v>3735</v>
      </c>
      <c r="J1390" t="s">
        <v>31</v>
      </c>
      <c r="K1390" t="s">
        <v>38</v>
      </c>
      <c r="L1390" t="s">
        <v>86</v>
      </c>
      <c r="M1390" t="s">
        <v>87</v>
      </c>
      <c r="N1390" t="s">
        <v>88</v>
      </c>
      <c r="O1390" t="s">
        <v>89</v>
      </c>
      <c r="P1390" t="s">
        <v>96</v>
      </c>
      <c r="S1390" t="s">
        <v>3070</v>
      </c>
      <c r="T1390">
        <v>41.870950000000001</v>
      </c>
      <c r="U1390">
        <v>-87.640078000000003</v>
      </c>
      <c r="V1390">
        <f>SUM(W1390:X1390)+(Y1390*0.8)+(Z1390*0.4)</f>
        <v>2</v>
      </c>
      <c r="W1390">
        <v>2</v>
      </c>
      <c r="X1390">
        <v>0</v>
      </c>
      <c r="Y1390">
        <v>0</v>
      </c>
      <c r="Z1390">
        <v>0</v>
      </c>
      <c r="AA1390" t="s">
        <v>43</v>
      </c>
      <c r="AB1390">
        <v>1.3</v>
      </c>
      <c r="AD1390" t="s">
        <v>3736</v>
      </c>
      <c r="AE1390" t="s">
        <v>3737</v>
      </c>
    </row>
    <row r="1391" spans="1:31" x14ac:dyDescent="0.25">
      <c r="A1391" t="s">
        <v>31</v>
      </c>
      <c r="C1391" t="s">
        <v>10815</v>
      </c>
      <c r="D1391" t="s">
        <v>10822</v>
      </c>
      <c r="E1391" t="s">
        <v>34</v>
      </c>
      <c r="F1391" t="s">
        <v>35</v>
      </c>
      <c r="G1391">
        <v>2015</v>
      </c>
      <c r="H1391" t="s">
        <v>36</v>
      </c>
      <c r="I1391" t="s">
        <v>10823</v>
      </c>
      <c r="J1391" t="s">
        <v>31</v>
      </c>
      <c r="K1391" t="s">
        <v>38</v>
      </c>
      <c r="L1391" t="s">
        <v>193</v>
      </c>
      <c r="M1391" t="s">
        <v>194</v>
      </c>
      <c r="N1391" t="s">
        <v>155</v>
      </c>
      <c r="O1391" t="s">
        <v>2128</v>
      </c>
      <c r="P1391" t="s">
        <v>2129</v>
      </c>
      <c r="T1391">
        <v>39.559137980999999</v>
      </c>
      <c r="U1391">
        <v>-104.833591842</v>
      </c>
      <c r="V1391">
        <f>SUM(W1391:X1391)+(Y1391*0.8)+(Z1391*0.4)</f>
        <v>2</v>
      </c>
      <c r="W1391">
        <v>2</v>
      </c>
      <c r="X1391">
        <v>0</v>
      </c>
      <c r="Y1391">
        <v>0</v>
      </c>
      <c r="Z1391">
        <v>0</v>
      </c>
      <c r="AA1391" t="s">
        <v>43</v>
      </c>
      <c r="AB1391">
        <v>1.6</v>
      </c>
      <c r="AD1391" t="s">
        <v>10824</v>
      </c>
      <c r="AE1391" t="s">
        <v>10825</v>
      </c>
    </row>
    <row r="1392" spans="1:31" x14ac:dyDescent="0.25">
      <c r="A1392" t="s">
        <v>31</v>
      </c>
      <c r="C1392" t="s">
        <v>7531</v>
      </c>
      <c r="D1392" t="s">
        <v>7532</v>
      </c>
      <c r="E1392" t="s">
        <v>362</v>
      </c>
      <c r="F1392" t="s">
        <v>381</v>
      </c>
      <c r="G1392">
        <v>2015</v>
      </c>
      <c r="H1392" t="s">
        <v>36</v>
      </c>
      <c r="I1392" t="s">
        <v>7533</v>
      </c>
      <c r="J1392" t="s">
        <v>31</v>
      </c>
      <c r="K1392" t="s">
        <v>38</v>
      </c>
      <c r="L1392" t="s">
        <v>383</v>
      </c>
      <c r="M1392" t="s">
        <v>384</v>
      </c>
      <c r="N1392" t="s">
        <v>2270</v>
      </c>
      <c r="O1392" t="s">
        <v>2271</v>
      </c>
      <c r="P1392" t="s">
        <v>2402</v>
      </c>
      <c r="S1392" t="s">
        <v>7534</v>
      </c>
      <c r="T1392">
        <v>35.180129504</v>
      </c>
      <c r="U1392">
        <v>-80.922663217999997</v>
      </c>
      <c r="V1392">
        <f>SUM(W1392:X1392)+(Y1392*0.8)+(Z1392*0.4)</f>
        <v>2</v>
      </c>
      <c r="W1392">
        <v>2</v>
      </c>
      <c r="X1392">
        <v>0</v>
      </c>
      <c r="Y1392">
        <v>0</v>
      </c>
      <c r="Z1392">
        <v>0</v>
      </c>
      <c r="AA1392" t="s">
        <v>43</v>
      </c>
      <c r="AB1392">
        <v>2</v>
      </c>
      <c r="AD1392" t="s">
        <v>7535</v>
      </c>
      <c r="AE1392" t="s">
        <v>7536</v>
      </c>
    </row>
    <row r="1393" spans="1:31" x14ac:dyDescent="0.25">
      <c r="A1393" t="s">
        <v>31</v>
      </c>
      <c r="C1393" t="s">
        <v>7511</v>
      </c>
      <c r="D1393" t="s">
        <v>7512</v>
      </c>
      <c r="E1393" t="s">
        <v>34</v>
      </c>
      <c r="F1393" t="s">
        <v>35</v>
      </c>
      <c r="G1393">
        <v>2015</v>
      </c>
      <c r="H1393" t="s">
        <v>36</v>
      </c>
      <c r="I1393" t="s">
        <v>7513</v>
      </c>
      <c r="J1393" t="s">
        <v>31</v>
      </c>
      <c r="K1393" t="s">
        <v>38</v>
      </c>
      <c r="L1393" t="s">
        <v>77</v>
      </c>
      <c r="M1393" t="s">
        <v>78</v>
      </c>
      <c r="N1393" t="s">
        <v>1358</v>
      </c>
      <c r="O1393" t="s">
        <v>1518</v>
      </c>
      <c r="P1393" t="s">
        <v>7514</v>
      </c>
      <c r="Q1393" t="s">
        <v>7515</v>
      </c>
      <c r="S1393" t="s">
        <v>7516</v>
      </c>
      <c r="T1393">
        <v>40.518711832000001</v>
      </c>
      <c r="U1393">
        <v>-80.015131011999998</v>
      </c>
      <c r="V1393">
        <f>SUM(W1393:X1393)+(Y1393*0.8)+(Z1393*0.4)</f>
        <v>2</v>
      </c>
      <c r="W1393">
        <v>2</v>
      </c>
      <c r="X1393">
        <v>0</v>
      </c>
      <c r="Y1393">
        <v>0</v>
      </c>
      <c r="Z1393">
        <v>0</v>
      </c>
      <c r="AA1393" t="s">
        <v>43</v>
      </c>
      <c r="AB1393">
        <v>1.85</v>
      </c>
      <c r="AD1393" t="s">
        <v>7517</v>
      </c>
      <c r="AE1393" t="s">
        <v>7518</v>
      </c>
    </row>
    <row r="1394" spans="1:31" x14ac:dyDescent="0.25">
      <c r="A1394" t="s">
        <v>31</v>
      </c>
      <c r="C1394" t="s">
        <v>2064</v>
      </c>
      <c r="D1394" t="s">
        <v>2073</v>
      </c>
      <c r="E1394" t="s">
        <v>34</v>
      </c>
      <c r="F1394" t="s">
        <v>35</v>
      </c>
      <c r="G1394">
        <v>2013</v>
      </c>
      <c r="H1394" t="s">
        <v>36</v>
      </c>
      <c r="I1394" t="s">
        <v>2074</v>
      </c>
      <c r="J1394" t="s">
        <v>31</v>
      </c>
      <c r="K1394" t="s">
        <v>38</v>
      </c>
      <c r="L1394" t="s">
        <v>1959</v>
      </c>
      <c r="M1394" t="s">
        <v>1960</v>
      </c>
      <c r="N1394" t="s">
        <v>2075</v>
      </c>
      <c r="O1394" t="s">
        <v>2076</v>
      </c>
      <c r="P1394" t="s">
        <v>2077</v>
      </c>
      <c r="S1394" t="s">
        <v>2078</v>
      </c>
      <c r="T1394">
        <v>35.085929999999998</v>
      </c>
      <c r="U1394">
        <v>-106.65188000000001</v>
      </c>
      <c r="V1394">
        <f>SUM(W1394:X1394)+(Y1394*0.8)+(Z1394*0.4)</f>
        <v>2</v>
      </c>
      <c r="W1394">
        <v>2</v>
      </c>
      <c r="X1394">
        <v>0</v>
      </c>
      <c r="Y1394">
        <v>0</v>
      </c>
      <c r="Z1394">
        <v>0</v>
      </c>
      <c r="AA1394" t="s">
        <v>43</v>
      </c>
      <c r="AB1394">
        <v>0.9</v>
      </c>
      <c r="AD1394" t="s">
        <v>2079</v>
      </c>
      <c r="AE1394" t="s">
        <v>2080</v>
      </c>
    </row>
    <row r="1395" spans="1:31" x14ac:dyDescent="0.25">
      <c r="A1395" t="s">
        <v>31</v>
      </c>
      <c r="C1395" t="s">
        <v>1530</v>
      </c>
      <c r="D1395" t="s">
        <v>1424</v>
      </c>
      <c r="E1395" t="s">
        <v>34</v>
      </c>
      <c r="F1395" t="s">
        <v>35</v>
      </c>
      <c r="G1395">
        <v>2013</v>
      </c>
      <c r="H1395" t="s">
        <v>36</v>
      </c>
      <c r="I1395" t="s">
        <v>1593</v>
      </c>
      <c r="J1395" t="s">
        <v>31</v>
      </c>
      <c r="K1395" t="s">
        <v>38</v>
      </c>
      <c r="L1395" t="s">
        <v>326</v>
      </c>
      <c r="M1395" t="s">
        <v>327</v>
      </c>
      <c r="N1395" t="s">
        <v>1426</v>
      </c>
      <c r="O1395" t="s">
        <v>1424</v>
      </c>
      <c r="P1395" t="s">
        <v>1427</v>
      </c>
      <c r="T1395">
        <v>32.172302242000001</v>
      </c>
      <c r="U1395">
        <v>-110.954445097</v>
      </c>
      <c r="V1395">
        <f>SUM(W1395:X1395)+(Y1395*0.8)+(Z1395*0.4)</f>
        <v>2</v>
      </c>
      <c r="W1395">
        <v>2</v>
      </c>
      <c r="X1395">
        <v>0</v>
      </c>
      <c r="Y1395">
        <v>0</v>
      </c>
      <c r="Z1395">
        <v>0</v>
      </c>
      <c r="AA1395" t="s">
        <v>43</v>
      </c>
      <c r="AB1395">
        <v>2</v>
      </c>
      <c r="AD1395" t="s">
        <v>1594</v>
      </c>
      <c r="AE1395" t="s">
        <v>1595</v>
      </c>
    </row>
    <row r="1396" spans="1:31" x14ac:dyDescent="0.25">
      <c r="A1396" t="s">
        <v>31</v>
      </c>
      <c r="C1396" t="s">
        <v>5181</v>
      </c>
      <c r="D1396" t="s">
        <v>5360</v>
      </c>
      <c r="E1396" t="s">
        <v>34</v>
      </c>
      <c r="F1396" t="s">
        <v>35</v>
      </c>
      <c r="G1396">
        <v>2012</v>
      </c>
      <c r="H1396" t="s">
        <v>36</v>
      </c>
      <c r="I1396" t="s">
        <v>5361</v>
      </c>
      <c r="J1396" t="s">
        <v>31</v>
      </c>
      <c r="K1396" t="s">
        <v>38</v>
      </c>
      <c r="L1396" t="s">
        <v>202</v>
      </c>
      <c r="M1396" t="s">
        <v>203</v>
      </c>
      <c r="N1396" t="s">
        <v>204</v>
      </c>
      <c r="O1396" t="s">
        <v>200</v>
      </c>
      <c r="P1396" t="s">
        <v>205</v>
      </c>
      <c r="T1396">
        <v>26.388138100999999</v>
      </c>
      <c r="U1396">
        <v>-80.109053357999997</v>
      </c>
      <c r="V1396">
        <f>SUM(W1396:X1396)+(Y1396*0.8)+(Z1396*0.4)</f>
        <v>2</v>
      </c>
      <c r="W1396">
        <v>2</v>
      </c>
      <c r="X1396">
        <v>0</v>
      </c>
      <c r="Y1396">
        <v>0</v>
      </c>
      <c r="Z1396">
        <v>0</v>
      </c>
      <c r="AA1396" t="s">
        <v>43</v>
      </c>
      <c r="AB1396">
        <v>1.6</v>
      </c>
      <c r="AD1396" t="s">
        <v>5362</v>
      </c>
      <c r="AE1396" t="s">
        <v>5363</v>
      </c>
    </row>
    <row r="1397" spans="1:31" x14ac:dyDescent="0.25">
      <c r="A1397" t="s">
        <v>31</v>
      </c>
      <c r="C1397" t="s">
        <v>3710</v>
      </c>
      <c r="D1397" t="s">
        <v>3816</v>
      </c>
      <c r="E1397" t="s">
        <v>34</v>
      </c>
      <c r="F1397" t="s">
        <v>35</v>
      </c>
      <c r="G1397">
        <v>2012</v>
      </c>
      <c r="H1397" t="s">
        <v>36</v>
      </c>
      <c r="I1397" t="s">
        <v>3817</v>
      </c>
      <c r="J1397" t="s">
        <v>31</v>
      </c>
      <c r="K1397" t="s">
        <v>38</v>
      </c>
      <c r="L1397" t="s">
        <v>3818</v>
      </c>
      <c r="M1397" t="s">
        <v>3819</v>
      </c>
      <c r="N1397" t="s">
        <v>3820</v>
      </c>
      <c r="O1397" t="s">
        <v>3821</v>
      </c>
      <c r="P1397" t="s">
        <v>3822</v>
      </c>
      <c r="Q1397" t="s">
        <v>3823</v>
      </c>
      <c r="T1397">
        <v>38.975338805</v>
      </c>
      <c r="U1397">
        <v>-94.708926763999997</v>
      </c>
      <c r="V1397">
        <f>SUM(W1397:X1397)+(Y1397*0.8)+(Z1397*0.4)</f>
        <v>2</v>
      </c>
      <c r="W1397">
        <v>2</v>
      </c>
      <c r="X1397">
        <v>0</v>
      </c>
      <c r="Y1397">
        <v>0</v>
      </c>
      <c r="Z1397">
        <v>0</v>
      </c>
      <c r="AA1397" t="s">
        <v>43</v>
      </c>
      <c r="AB1397">
        <v>1.65</v>
      </c>
      <c r="AD1397" t="s">
        <v>3824</v>
      </c>
      <c r="AE1397" t="s">
        <v>3825</v>
      </c>
    </row>
    <row r="1398" spans="1:31" x14ac:dyDescent="0.25">
      <c r="A1398" t="s">
        <v>31</v>
      </c>
      <c r="C1398" t="s">
        <v>3551</v>
      </c>
      <c r="D1398" t="s">
        <v>3552</v>
      </c>
      <c r="E1398" t="s">
        <v>34</v>
      </c>
      <c r="F1398" t="s">
        <v>35</v>
      </c>
      <c r="G1398">
        <v>2012</v>
      </c>
      <c r="H1398" t="s">
        <v>36</v>
      </c>
      <c r="I1398" t="s">
        <v>3553</v>
      </c>
      <c r="J1398" t="s">
        <v>31</v>
      </c>
      <c r="K1398" t="s">
        <v>38</v>
      </c>
      <c r="L1398" t="s">
        <v>383</v>
      </c>
      <c r="M1398" t="s">
        <v>384</v>
      </c>
      <c r="N1398" t="s">
        <v>3554</v>
      </c>
      <c r="O1398" t="s">
        <v>3552</v>
      </c>
      <c r="P1398" t="s">
        <v>3555</v>
      </c>
      <c r="T1398">
        <v>35.488116927999997</v>
      </c>
      <c r="U1398">
        <v>-82.558057810999998</v>
      </c>
      <c r="V1398">
        <f>SUM(W1398:X1398)+(Y1398*0.8)+(Z1398*0.4)</f>
        <v>2</v>
      </c>
      <c r="W1398">
        <v>2</v>
      </c>
      <c r="X1398">
        <v>0</v>
      </c>
      <c r="Y1398">
        <v>0</v>
      </c>
      <c r="Z1398">
        <v>0</v>
      </c>
      <c r="AA1398" t="s">
        <v>43</v>
      </c>
      <c r="AB1398">
        <v>1.6</v>
      </c>
      <c r="AD1398" t="s">
        <v>3556</v>
      </c>
      <c r="AE1398" t="s">
        <v>3557</v>
      </c>
    </row>
    <row r="1399" spans="1:31" x14ac:dyDescent="0.25">
      <c r="A1399" t="s">
        <v>31</v>
      </c>
      <c r="C1399" t="s">
        <v>10406</v>
      </c>
      <c r="D1399" t="s">
        <v>10559</v>
      </c>
      <c r="E1399" t="s">
        <v>34</v>
      </c>
      <c r="F1399" t="s">
        <v>35</v>
      </c>
      <c r="G1399">
        <v>2011</v>
      </c>
      <c r="H1399" t="s">
        <v>36</v>
      </c>
      <c r="I1399" t="s">
        <v>10560</v>
      </c>
      <c r="J1399" t="s">
        <v>31</v>
      </c>
      <c r="K1399" t="s">
        <v>38</v>
      </c>
      <c r="L1399" t="s">
        <v>1900</v>
      </c>
      <c r="M1399" t="s">
        <v>1901</v>
      </c>
      <c r="O1399" t="s">
        <v>4786</v>
      </c>
      <c r="P1399" t="s">
        <v>8395</v>
      </c>
      <c r="Q1399" t="s">
        <v>138</v>
      </c>
      <c r="T1399">
        <v>38.629699737999999</v>
      </c>
      <c r="U1399">
        <v>-90.196258982000003</v>
      </c>
      <c r="V1399">
        <f>SUM(W1399:X1399)+(Y1399*0.8)+(Z1399*0.4)</f>
        <v>2</v>
      </c>
      <c r="W1399">
        <v>2</v>
      </c>
      <c r="X1399">
        <v>0</v>
      </c>
      <c r="Y1399">
        <v>0</v>
      </c>
      <c r="Z1399">
        <v>0</v>
      </c>
      <c r="AA1399" t="s">
        <v>43</v>
      </c>
      <c r="AB1399">
        <v>1</v>
      </c>
      <c r="AD1399" t="s">
        <v>10561</v>
      </c>
      <c r="AE1399" t="s">
        <v>10562</v>
      </c>
    </row>
    <row r="1400" spans="1:31" x14ac:dyDescent="0.25">
      <c r="A1400" t="s">
        <v>31</v>
      </c>
      <c r="C1400" t="s">
        <v>1316</v>
      </c>
      <c r="D1400" t="s">
        <v>1317</v>
      </c>
      <c r="E1400" t="s">
        <v>362</v>
      </c>
      <c r="F1400" t="s">
        <v>630</v>
      </c>
      <c r="G1400">
        <v>2011</v>
      </c>
      <c r="H1400" t="s">
        <v>36</v>
      </c>
      <c r="I1400" t="s">
        <v>1318</v>
      </c>
      <c r="J1400" t="s">
        <v>31</v>
      </c>
      <c r="K1400" t="s">
        <v>38</v>
      </c>
      <c r="L1400" t="s">
        <v>383</v>
      </c>
      <c r="M1400" t="s">
        <v>384</v>
      </c>
      <c r="N1400" t="s">
        <v>1319</v>
      </c>
      <c r="O1400" t="s">
        <v>1320</v>
      </c>
      <c r="P1400" t="s">
        <v>1321</v>
      </c>
      <c r="T1400">
        <v>36.047786803000001</v>
      </c>
      <c r="U1400">
        <v>-79.607690488000003</v>
      </c>
      <c r="V1400">
        <f>SUM(W1400:X1400)+(Y1400*0.8)+(Z1400*0.4)</f>
        <v>2</v>
      </c>
      <c r="W1400">
        <v>2</v>
      </c>
      <c r="X1400">
        <v>0</v>
      </c>
      <c r="Y1400">
        <v>0</v>
      </c>
      <c r="Z1400">
        <v>0</v>
      </c>
      <c r="AA1400" t="s">
        <v>43</v>
      </c>
      <c r="AB1400">
        <v>2</v>
      </c>
      <c r="AD1400" t="s">
        <v>1322</v>
      </c>
      <c r="AE1400" t="s">
        <v>1323</v>
      </c>
    </row>
    <row r="1401" spans="1:31" x14ac:dyDescent="0.25">
      <c r="A1401" t="s">
        <v>31</v>
      </c>
      <c r="C1401" t="s">
        <v>10406</v>
      </c>
      <c r="D1401" t="s">
        <v>10496</v>
      </c>
      <c r="E1401" t="s">
        <v>34</v>
      </c>
      <c r="F1401" t="s">
        <v>35</v>
      </c>
      <c r="G1401">
        <v>2009</v>
      </c>
      <c r="H1401" t="s">
        <v>36</v>
      </c>
      <c r="I1401" t="s">
        <v>10497</v>
      </c>
      <c r="J1401" t="s">
        <v>31</v>
      </c>
      <c r="K1401" t="s">
        <v>38</v>
      </c>
      <c r="L1401" t="s">
        <v>153</v>
      </c>
      <c r="M1401" t="s">
        <v>154</v>
      </c>
      <c r="N1401" t="s">
        <v>5682</v>
      </c>
      <c r="O1401" t="s">
        <v>5680</v>
      </c>
      <c r="P1401" t="s">
        <v>6257</v>
      </c>
      <c r="T1401">
        <v>41.134642161999999</v>
      </c>
      <c r="U1401">
        <v>-96.039179337999997</v>
      </c>
      <c r="V1401">
        <f>SUM(W1401:X1401)+(Y1401*0.8)+(Z1401*0.4)</f>
        <v>2</v>
      </c>
      <c r="W1401">
        <v>2</v>
      </c>
      <c r="X1401">
        <v>0</v>
      </c>
      <c r="Y1401">
        <v>0</v>
      </c>
      <c r="Z1401">
        <v>0</v>
      </c>
      <c r="AA1401" t="s">
        <v>43</v>
      </c>
      <c r="AB1401">
        <v>1.768</v>
      </c>
      <c r="AD1401" t="s">
        <v>10498</v>
      </c>
      <c r="AE1401" t="s">
        <v>10499</v>
      </c>
    </row>
    <row r="1402" spans="1:31" x14ac:dyDescent="0.25">
      <c r="A1402" t="s">
        <v>31</v>
      </c>
      <c r="C1402" t="s">
        <v>9202</v>
      </c>
      <c r="D1402" t="s">
        <v>9299</v>
      </c>
      <c r="E1402" t="s">
        <v>34</v>
      </c>
      <c r="F1402" t="s">
        <v>35</v>
      </c>
      <c r="G1402">
        <v>2009</v>
      </c>
      <c r="H1402" t="s">
        <v>36</v>
      </c>
      <c r="I1402" t="s">
        <v>9300</v>
      </c>
      <c r="J1402" t="s">
        <v>31</v>
      </c>
      <c r="K1402" t="s">
        <v>38</v>
      </c>
      <c r="L1402" t="s">
        <v>202</v>
      </c>
      <c r="M1402" t="s">
        <v>203</v>
      </c>
      <c r="N1402" t="s">
        <v>397</v>
      </c>
      <c r="P1402" t="s">
        <v>398</v>
      </c>
      <c r="S1402" t="s">
        <v>399</v>
      </c>
      <c r="T1402">
        <v>25.791457000000001</v>
      </c>
      <c r="U1402">
        <v>-80.379554999999996</v>
      </c>
      <c r="V1402">
        <f>SUM(W1402:X1402)+(Y1402*0.8)+(Z1402*0.4)</f>
        <v>2</v>
      </c>
      <c r="W1402">
        <v>2</v>
      </c>
      <c r="X1402">
        <v>0</v>
      </c>
      <c r="Y1402">
        <v>0</v>
      </c>
      <c r="Z1402">
        <v>0</v>
      </c>
      <c r="AA1402" t="s">
        <v>43</v>
      </c>
      <c r="AB1402">
        <v>2</v>
      </c>
      <c r="AD1402" t="s">
        <v>9301</v>
      </c>
      <c r="AE1402" t="s">
        <v>9302</v>
      </c>
    </row>
    <row r="1403" spans="1:31" x14ac:dyDescent="0.25">
      <c r="A1403" t="s">
        <v>31</v>
      </c>
      <c r="C1403" t="s">
        <v>8492</v>
      </c>
      <c r="D1403" t="s">
        <v>8493</v>
      </c>
      <c r="E1403" t="s">
        <v>362</v>
      </c>
      <c r="F1403" t="s">
        <v>630</v>
      </c>
      <c r="G1403">
        <v>2009</v>
      </c>
      <c r="H1403" t="s">
        <v>36</v>
      </c>
      <c r="I1403" t="s">
        <v>8494</v>
      </c>
      <c r="J1403" t="s">
        <v>31</v>
      </c>
      <c r="K1403" t="s">
        <v>38</v>
      </c>
      <c r="L1403" t="s">
        <v>86</v>
      </c>
      <c r="M1403" t="s">
        <v>87</v>
      </c>
      <c r="N1403" t="s">
        <v>632</v>
      </c>
      <c r="O1403" t="s">
        <v>633</v>
      </c>
      <c r="P1403" t="s">
        <v>634</v>
      </c>
      <c r="S1403" t="s">
        <v>8495</v>
      </c>
      <c r="T1403">
        <v>41.942011051000001</v>
      </c>
      <c r="U1403">
        <v>-89.032172375000002</v>
      </c>
      <c r="V1403">
        <f>SUM(W1403:X1403)+(Y1403*0.8)+(Z1403*0.4)</f>
        <v>2</v>
      </c>
      <c r="W1403">
        <v>2</v>
      </c>
      <c r="X1403">
        <v>0</v>
      </c>
      <c r="Y1403">
        <v>0</v>
      </c>
      <c r="Z1403">
        <v>0</v>
      </c>
      <c r="AA1403" t="s">
        <v>43</v>
      </c>
      <c r="AB1403">
        <v>2</v>
      </c>
      <c r="AD1403" t="s">
        <v>8496</v>
      </c>
      <c r="AE1403" t="s">
        <v>8497</v>
      </c>
    </row>
    <row r="1404" spans="1:31" x14ac:dyDescent="0.25">
      <c r="A1404" t="s">
        <v>31</v>
      </c>
      <c r="C1404" t="s">
        <v>5543</v>
      </c>
      <c r="D1404" t="s">
        <v>5585</v>
      </c>
      <c r="E1404" t="s">
        <v>34</v>
      </c>
      <c r="F1404" t="s">
        <v>35</v>
      </c>
      <c r="G1404">
        <v>2009</v>
      </c>
      <c r="H1404" t="s">
        <v>36</v>
      </c>
      <c r="I1404" t="s">
        <v>5586</v>
      </c>
      <c r="J1404" t="s">
        <v>31</v>
      </c>
      <c r="K1404" t="s">
        <v>38</v>
      </c>
      <c r="L1404" t="s">
        <v>317</v>
      </c>
      <c r="M1404" t="s">
        <v>318</v>
      </c>
      <c r="N1404" t="s">
        <v>1576</v>
      </c>
      <c r="O1404" t="s">
        <v>5580</v>
      </c>
      <c r="P1404" t="s">
        <v>5581</v>
      </c>
      <c r="Q1404" t="s">
        <v>5582</v>
      </c>
      <c r="T1404">
        <v>41.429366999999999</v>
      </c>
      <c r="U1404">
        <v>-81.574095</v>
      </c>
      <c r="V1404">
        <f>SUM(W1404:X1404)+(Y1404*0.8)+(Z1404*0.4)</f>
        <v>2</v>
      </c>
      <c r="W1404">
        <v>2</v>
      </c>
      <c r="X1404">
        <v>0</v>
      </c>
      <c r="Y1404">
        <v>0</v>
      </c>
      <c r="Z1404">
        <v>0</v>
      </c>
      <c r="AA1404" t="s">
        <v>43</v>
      </c>
      <c r="AB1404">
        <v>1.2</v>
      </c>
      <c r="AD1404" t="s">
        <v>5587</v>
      </c>
      <c r="AE1404" t="s">
        <v>5588</v>
      </c>
    </row>
    <row r="1405" spans="1:31" x14ac:dyDescent="0.25">
      <c r="A1405" t="s">
        <v>31</v>
      </c>
      <c r="C1405" t="s">
        <v>628</v>
      </c>
      <c r="D1405" t="s">
        <v>629</v>
      </c>
      <c r="E1405" t="s">
        <v>362</v>
      </c>
      <c r="F1405" t="s">
        <v>630</v>
      </c>
      <c r="G1405">
        <v>2009</v>
      </c>
      <c r="H1405" t="s">
        <v>36</v>
      </c>
      <c r="I1405" t="s">
        <v>631</v>
      </c>
      <c r="J1405" t="s">
        <v>31</v>
      </c>
      <c r="K1405" t="s">
        <v>38</v>
      </c>
      <c r="L1405" t="s">
        <v>86</v>
      </c>
      <c r="M1405" t="s">
        <v>87</v>
      </c>
      <c r="N1405" t="s">
        <v>632</v>
      </c>
      <c r="O1405" t="s">
        <v>633</v>
      </c>
      <c r="P1405" t="s">
        <v>634</v>
      </c>
      <c r="T1405">
        <v>41.944361123</v>
      </c>
      <c r="U1405">
        <v>-89.032948765</v>
      </c>
      <c r="V1405">
        <f>SUM(W1405:X1405)+(Y1405*0.8)+(Z1405*0.4)</f>
        <v>2</v>
      </c>
      <c r="W1405">
        <v>2</v>
      </c>
      <c r="X1405">
        <v>0</v>
      </c>
      <c r="Y1405">
        <v>0</v>
      </c>
      <c r="Z1405">
        <v>0</v>
      </c>
      <c r="AA1405" t="s">
        <v>43</v>
      </c>
      <c r="AB1405">
        <v>2</v>
      </c>
      <c r="AD1405" t="s">
        <v>635</v>
      </c>
      <c r="AE1405" t="s">
        <v>636</v>
      </c>
    </row>
    <row r="1406" spans="1:31" x14ac:dyDescent="0.25">
      <c r="A1406" t="s">
        <v>31</v>
      </c>
      <c r="C1406" t="s">
        <v>490</v>
      </c>
      <c r="D1406" t="s">
        <v>499</v>
      </c>
      <c r="E1406" t="s">
        <v>34</v>
      </c>
      <c r="F1406" t="s">
        <v>35</v>
      </c>
      <c r="G1406">
        <v>2009</v>
      </c>
      <c r="H1406" t="s">
        <v>36</v>
      </c>
      <c r="I1406" t="s">
        <v>500</v>
      </c>
      <c r="J1406" t="s">
        <v>31</v>
      </c>
      <c r="K1406" t="s">
        <v>38</v>
      </c>
      <c r="L1406" t="s">
        <v>172</v>
      </c>
      <c r="M1406" t="s">
        <v>173</v>
      </c>
      <c r="N1406" t="s">
        <v>433</v>
      </c>
      <c r="O1406" t="s">
        <v>501</v>
      </c>
      <c r="P1406" t="s">
        <v>502</v>
      </c>
      <c r="S1406" t="s">
        <v>503</v>
      </c>
      <c r="T1406">
        <v>33.681320784999997</v>
      </c>
      <c r="U1406">
        <v>-117.84187926</v>
      </c>
      <c r="V1406">
        <f>SUM(W1406:X1406)+(Y1406*0.8)+(Z1406*0.4)</f>
        <v>2</v>
      </c>
      <c r="W1406">
        <v>2</v>
      </c>
      <c r="X1406">
        <v>0</v>
      </c>
      <c r="Y1406">
        <v>0</v>
      </c>
      <c r="Z1406">
        <v>0</v>
      </c>
      <c r="AA1406" t="s">
        <v>43</v>
      </c>
      <c r="AB1406">
        <v>1.89</v>
      </c>
      <c r="AD1406" t="s">
        <v>504</v>
      </c>
      <c r="AE1406" t="s">
        <v>505</v>
      </c>
    </row>
    <row r="1407" spans="1:31" x14ac:dyDescent="0.25">
      <c r="A1407" t="s">
        <v>31</v>
      </c>
      <c r="C1407" t="s">
        <v>10858</v>
      </c>
      <c r="D1407" t="s">
        <v>10859</v>
      </c>
      <c r="E1407" t="s">
        <v>362</v>
      </c>
      <c r="F1407" t="s">
        <v>1302</v>
      </c>
      <c r="G1407">
        <v>2008</v>
      </c>
      <c r="H1407" t="s">
        <v>36</v>
      </c>
      <c r="I1407" t="s">
        <v>10860</v>
      </c>
      <c r="J1407" t="s">
        <v>31</v>
      </c>
      <c r="K1407" t="s">
        <v>38</v>
      </c>
      <c r="L1407" t="s">
        <v>68</v>
      </c>
      <c r="M1407" t="s">
        <v>69</v>
      </c>
      <c r="N1407" t="s">
        <v>712</v>
      </c>
      <c r="O1407" t="s">
        <v>713</v>
      </c>
      <c r="P1407" t="s">
        <v>3517</v>
      </c>
      <c r="S1407" t="s">
        <v>8144</v>
      </c>
      <c r="T1407">
        <v>29.474451488</v>
      </c>
      <c r="U1407">
        <v>-98.680102493000007</v>
      </c>
      <c r="V1407">
        <f>SUM(W1407:X1407)+(Y1407*0.8)+(Z1407*0.4)</f>
        <v>2</v>
      </c>
      <c r="W1407">
        <v>2</v>
      </c>
      <c r="X1407">
        <v>0</v>
      </c>
      <c r="Y1407">
        <v>0</v>
      </c>
      <c r="Z1407">
        <v>0</v>
      </c>
      <c r="AA1407" t="s">
        <v>43</v>
      </c>
      <c r="AB1407">
        <v>2</v>
      </c>
      <c r="AD1407" t="s">
        <v>10861</v>
      </c>
      <c r="AE1407" t="s">
        <v>10862</v>
      </c>
    </row>
    <row r="1408" spans="1:31" x14ac:dyDescent="0.25">
      <c r="A1408" t="s">
        <v>31</v>
      </c>
      <c r="C1408" t="s">
        <v>5694</v>
      </c>
      <c r="D1408" t="s">
        <v>5747</v>
      </c>
      <c r="E1408" t="s">
        <v>34</v>
      </c>
      <c r="F1408" t="s">
        <v>35</v>
      </c>
      <c r="G1408">
        <v>2008</v>
      </c>
      <c r="H1408" t="s">
        <v>36</v>
      </c>
      <c r="I1408" t="s">
        <v>5748</v>
      </c>
      <c r="J1408" t="s">
        <v>31</v>
      </c>
      <c r="K1408" t="s">
        <v>38</v>
      </c>
      <c r="L1408" t="s">
        <v>123</v>
      </c>
      <c r="M1408" t="s">
        <v>124</v>
      </c>
      <c r="N1408" t="s">
        <v>5749</v>
      </c>
      <c r="O1408" t="s">
        <v>5750</v>
      </c>
      <c r="P1408" t="s">
        <v>5751</v>
      </c>
      <c r="T1408">
        <v>42.788070586000003</v>
      </c>
      <c r="U1408">
        <v>-76.878570832999998</v>
      </c>
      <c r="V1408">
        <f>SUM(W1408:X1408)+(Y1408*0.8)+(Z1408*0.4)</f>
        <v>2</v>
      </c>
      <c r="W1408">
        <v>2</v>
      </c>
      <c r="X1408">
        <v>0</v>
      </c>
      <c r="Y1408">
        <v>0</v>
      </c>
      <c r="Z1408">
        <v>0</v>
      </c>
      <c r="AA1408" t="s">
        <v>43</v>
      </c>
      <c r="AB1408">
        <v>1.9</v>
      </c>
      <c r="AD1408" t="s">
        <v>5752</v>
      </c>
      <c r="AE1408" t="s">
        <v>5753</v>
      </c>
    </row>
    <row r="1409" spans="1:31" x14ac:dyDescent="0.25">
      <c r="A1409" t="s">
        <v>31</v>
      </c>
      <c r="C1409" t="s">
        <v>10977</v>
      </c>
      <c r="D1409" t="s">
        <v>11060</v>
      </c>
      <c r="E1409" t="s">
        <v>362</v>
      </c>
      <c r="F1409" t="s">
        <v>1611</v>
      </c>
      <c r="G1409">
        <v>2007</v>
      </c>
      <c r="H1409" t="s">
        <v>36</v>
      </c>
      <c r="I1409" t="s">
        <v>11061</v>
      </c>
      <c r="J1409" t="s">
        <v>31</v>
      </c>
      <c r="K1409" t="s">
        <v>38</v>
      </c>
      <c r="L1409" t="s">
        <v>123</v>
      </c>
      <c r="M1409" t="s">
        <v>124</v>
      </c>
      <c r="N1409" t="s">
        <v>7832</v>
      </c>
      <c r="O1409" t="s">
        <v>7503</v>
      </c>
      <c r="P1409" t="s">
        <v>7833</v>
      </c>
      <c r="S1409" t="s">
        <v>7834</v>
      </c>
      <c r="T1409">
        <v>42.678480993000001</v>
      </c>
      <c r="U1409">
        <v>-73.696920281999994</v>
      </c>
      <c r="V1409">
        <f>SUM(W1409:X1409)+(Y1409*0.8)+(Z1409*0.4)</f>
        <v>2</v>
      </c>
      <c r="W1409">
        <v>2</v>
      </c>
      <c r="X1409">
        <v>0</v>
      </c>
      <c r="Y1409">
        <v>0</v>
      </c>
      <c r="Z1409">
        <v>0</v>
      </c>
      <c r="AA1409" t="s">
        <v>43</v>
      </c>
      <c r="AB1409">
        <v>2</v>
      </c>
      <c r="AD1409" t="s">
        <v>11062</v>
      </c>
      <c r="AE1409" t="s">
        <v>11063</v>
      </c>
    </row>
    <row r="1410" spans="1:31" x14ac:dyDescent="0.25">
      <c r="A1410" t="s">
        <v>31</v>
      </c>
      <c r="C1410" t="s">
        <v>2260</v>
      </c>
      <c r="D1410" t="s">
        <v>2261</v>
      </c>
      <c r="E1410" t="s">
        <v>34</v>
      </c>
      <c r="F1410" t="s">
        <v>66</v>
      </c>
      <c r="G1410">
        <v>2007</v>
      </c>
      <c r="H1410" t="s">
        <v>36</v>
      </c>
      <c r="I1410" t="s">
        <v>2262</v>
      </c>
      <c r="J1410" t="s">
        <v>31</v>
      </c>
      <c r="K1410" t="s">
        <v>38</v>
      </c>
      <c r="L1410" t="s">
        <v>2263</v>
      </c>
      <c r="M1410" t="s">
        <v>2264</v>
      </c>
      <c r="N1410" t="s">
        <v>487</v>
      </c>
      <c r="O1410" t="s">
        <v>136</v>
      </c>
      <c r="P1410" t="s">
        <v>2265</v>
      </c>
      <c r="Q1410" t="s">
        <v>136</v>
      </c>
      <c r="T1410">
        <v>43.657878263999997</v>
      </c>
      <c r="U1410">
        <v>-70.261202400000002</v>
      </c>
      <c r="V1410">
        <f>SUM(W1410:X1410)+(Y1410*0.8)+(Z1410*0.4)</f>
        <v>2</v>
      </c>
      <c r="W1410">
        <v>2</v>
      </c>
      <c r="X1410">
        <v>0</v>
      </c>
      <c r="Y1410">
        <v>0</v>
      </c>
      <c r="Z1410">
        <v>0</v>
      </c>
      <c r="AA1410" t="s">
        <v>43</v>
      </c>
      <c r="AB1410">
        <v>1.85</v>
      </c>
      <c r="AD1410" t="s">
        <v>2266</v>
      </c>
      <c r="AE1410" t="s">
        <v>2267</v>
      </c>
    </row>
    <row r="1411" spans="1:31" x14ac:dyDescent="0.25">
      <c r="A1411" t="s">
        <v>31</v>
      </c>
      <c r="C1411" t="s">
        <v>11138</v>
      </c>
      <c r="D1411" t="s">
        <v>11139</v>
      </c>
      <c r="E1411" t="s">
        <v>34</v>
      </c>
      <c r="F1411" t="s">
        <v>35</v>
      </c>
      <c r="G1411">
        <v>2006</v>
      </c>
      <c r="H1411" t="s">
        <v>36</v>
      </c>
      <c r="I1411" t="s">
        <v>11140</v>
      </c>
      <c r="J1411" t="s">
        <v>31</v>
      </c>
      <c r="K1411" t="s">
        <v>38</v>
      </c>
      <c r="L1411" t="s">
        <v>202</v>
      </c>
      <c r="M1411" t="s">
        <v>203</v>
      </c>
      <c r="N1411" t="s">
        <v>236</v>
      </c>
      <c r="O1411" t="s">
        <v>11141</v>
      </c>
      <c r="P1411" t="s">
        <v>11142</v>
      </c>
      <c r="T1411">
        <v>26.289857618999999</v>
      </c>
      <c r="U1411">
        <v>-80.130079817999999</v>
      </c>
      <c r="V1411">
        <f>SUM(W1411:X1411)+(Y1411*0.8)+(Z1411*0.4)</f>
        <v>2</v>
      </c>
      <c r="W1411">
        <v>2</v>
      </c>
      <c r="X1411">
        <v>0</v>
      </c>
      <c r="Y1411">
        <v>0</v>
      </c>
      <c r="Z1411">
        <v>0</v>
      </c>
      <c r="AA1411" t="s">
        <v>43</v>
      </c>
      <c r="AB1411">
        <v>1</v>
      </c>
      <c r="AD1411" t="s">
        <v>11143</v>
      </c>
      <c r="AE1411" t="s">
        <v>11144</v>
      </c>
    </row>
    <row r="1412" spans="1:31" x14ac:dyDescent="0.25">
      <c r="A1412" t="s">
        <v>31</v>
      </c>
      <c r="C1412" t="s">
        <v>3622</v>
      </c>
      <c r="D1412" t="s">
        <v>3633</v>
      </c>
      <c r="E1412" t="s">
        <v>34</v>
      </c>
      <c r="F1412" t="s">
        <v>35</v>
      </c>
      <c r="G1412">
        <v>2006</v>
      </c>
      <c r="H1412" t="s">
        <v>36</v>
      </c>
      <c r="I1412" t="s">
        <v>3634</v>
      </c>
      <c r="J1412" t="s">
        <v>31</v>
      </c>
      <c r="K1412" t="s">
        <v>38</v>
      </c>
      <c r="L1412" t="s">
        <v>3625</v>
      </c>
      <c r="M1412" t="s">
        <v>3626</v>
      </c>
      <c r="N1412" t="s">
        <v>3627</v>
      </c>
      <c r="O1412" t="s">
        <v>3635</v>
      </c>
      <c r="P1412" t="s">
        <v>3636</v>
      </c>
      <c r="T1412">
        <v>39.687226860999999</v>
      </c>
      <c r="U1412">
        <v>-75.574436945000002</v>
      </c>
      <c r="V1412">
        <f>SUM(W1412:X1412)+(Y1412*0.8)+(Z1412*0.4)</f>
        <v>2</v>
      </c>
      <c r="W1412">
        <v>2</v>
      </c>
      <c r="X1412">
        <v>0</v>
      </c>
      <c r="Y1412">
        <v>0</v>
      </c>
      <c r="Z1412">
        <v>0</v>
      </c>
      <c r="AA1412" t="s">
        <v>43</v>
      </c>
      <c r="AB1412">
        <v>1.2</v>
      </c>
      <c r="AD1412" t="s">
        <v>3637</v>
      </c>
      <c r="AE1412" t="s">
        <v>3638</v>
      </c>
    </row>
    <row r="1413" spans="1:31" x14ac:dyDescent="0.25">
      <c r="A1413" t="s">
        <v>31</v>
      </c>
      <c r="C1413" t="s">
        <v>8751</v>
      </c>
      <c r="D1413" t="s">
        <v>8762</v>
      </c>
      <c r="E1413" t="s">
        <v>34</v>
      </c>
      <c r="F1413" t="s">
        <v>35</v>
      </c>
      <c r="G1413">
        <v>2005</v>
      </c>
      <c r="H1413" t="s">
        <v>36</v>
      </c>
      <c r="I1413" t="s">
        <v>8763</v>
      </c>
      <c r="J1413" t="s">
        <v>31</v>
      </c>
      <c r="K1413" t="s">
        <v>38</v>
      </c>
      <c r="L1413" t="s">
        <v>49</v>
      </c>
      <c r="M1413" t="s">
        <v>50</v>
      </c>
      <c r="N1413" t="s">
        <v>7008</v>
      </c>
      <c r="O1413" t="s">
        <v>8764</v>
      </c>
      <c r="P1413" t="s">
        <v>8765</v>
      </c>
      <c r="T1413">
        <v>42.968687113000001</v>
      </c>
      <c r="U1413">
        <v>-83.779642167000006</v>
      </c>
      <c r="V1413">
        <f>SUM(W1413:X1413)+(Y1413*0.8)+(Z1413*0.4)</f>
        <v>2</v>
      </c>
      <c r="W1413">
        <v>2</v>
      </c>
      <c r="X1413">
        <v>0</v>
      </c>
      <c r="Y1413">
        <v>0</v>
      </c>
      <c r="Z1413">
        <v>0</v>
      </c>
      <c r="AA1413" t="s">
        <v>43</v>
      </c>
      <c r="AB1413">
        <v>1</v>
      </c>
      <c r="AD1413" t="s">
        <v>8766</v>
      </c>
      <c r="AE1413" t="s">
        <v>8767</v>
      </c>
    </row>
    <row r="1414" spans="1:31" x14ac:dyDescent="0.25">
      <c r="A1414" t="s">
        <v>31</v>
      </c>
      <c r="C1414" t="s">
        <v>7116</v>
      </c>
      <c r="D1414" t="s">
        <v>7117</v>
      </c>
      <c r="E1414" t="s">
        <v>34</v>
      </c>
      <c r="F1414" t="s">
        <v>35</v>
      </c>
      <c r="G1414">
        <v>2003</v>
      </c>
      <c r="H1414" t="s">
        <v>36</v>
      </c>
      <c r="I1414" t="s">
        <v>7118</v>
      </c>
      <c r="J1414" t="s">
        <v>31</v>
      </c>
      <c r="K1414" t="s">
        <v>38</v>
      </c>
      <c r="L1414" t="s">
        <v>68</v>
      </c>
      <c r="M1414" t="s">
        <v>69</v>
      </c>
      <c r="N1414" t="s">
        <v>1350</v>
      </c>
      <c r="O1414" t="s">
        <v>1351</v>
      </c>
      <c r="P1414" t="s">
        <v>7119</v>
      </c>
      <c r="T1414">
        <v>30.214284331000002</v>
      </c>
      <c r="U1414">
        <v>-97.712679326</v>
      </c>
      <c r="V1414">
        <f>SUM(W1414:X1414)+(Y1414*0.8)+(Z1414*0.4)</f>
        <v>2</v>
      </c>
      <c r="W1414">
        <v>2</v>
      </c>
      <c r="X1414">
        <v>0</v>
      </c>
      <c r="Y1414">
        <v>0</v>
      </c>
      <c r="Z1414">
        <v>0</v>
      </c>
      <c r="AA1414" t="s">
        <v>43</v>
      </c>
      <c r="AB1414">
        <v>1.8</v>
      </c>
      <c r="AD1414" t="s">
        <v>7120</v>
      </c>
      <c r="AE1414" t="s">
        <v>7121</v>
      </c>
    </row>
    <row r="1415" spans="1:31" x14ac:dyDescent="0.25">
      <c r="A1415" t="s">
        <v>31</v>
      </c>
      <c r="C1415" t="s">
        <v>3710</v>
      </c>
      <c r="D1415" t="s">
        <v>3836</v>
      </c>
      <c r="E1415" t="s">
        <v>34</v>
      </c>
      <c r="F1415" t="s">
        <v>35</v>
      </c>
      <c r="G1415">
        <v>2003</v>
      </c>
      <c r="H1415" t="s">
        <v>36</v>
      </c>
      <c r="I1415" t="s">
        <v>3837</v>
      </c>
      <c r="J1415" t="s">
        <v>31</v>
      </c>
      <c r="K1415" t="s">
        <v>38</v>
      </c>
      <c r="L1415" t="s">
        <v>193</v>
      </c>
      <c r="M1415" t="s">
        <v>194</v>
      </c>
      <c r="N1415" t="s">
        <v>155</v>
      </c>
      <c r="P1415" t="s">
        <v>2129</v>
      </c>
      <c r="T1415">
        <v>39.564180999999998</v>
      </c>
      <c r="U1415">
        <v>-104.866573</v>
      </c>
      <c r="V1415">
        <f>SUM(W1415:X1415)+(Y1415*0.8)+(Z1415*0.4)</f>
        <v>2</v>
      </c>
      <c r="W1415">
        <v>2</v>
      </c>
      <c r="X1415">
        <v>0</v>
      </c>
      <c r="Y1415">
        <v>0</v>
      </c>
      <c r="Z1415">
        <v>0</v>
      </c>
      <c r="AA1415" t="s">
        <v>43</v>
      </c>
      <c r="AB1415">
        <v>1.5</v>
      </c>
      <c r="AD1415" t="s">
        <v>3838</v>
      </c>
      <c r="AE1415" t="s">
        <v>3839</v>
      </c>
    </row>
    <row r="1416" spans="1:31" x14ac:dyDescent="0.25">
      <c r="A1416" t="s">
        <v>31</v>
      </c>
      <c r="C1416" t="s">
        <v>5181</v>
      </c>
      <c r="D1416" t="s">
        <v>5454</v>
      </c>
      <c r="E1416" t="s">
        <v>34</v>
      </c>
      <c r="F1416" t="s">
        <v>35</v>
      </c>
      <c r="G1416">
        <v>2002</v>
      </c>
      <c r="H1416" t="s">
        <v>36</v>
      </c>
      <c r="I1416" t="s">
        <v>5455</v>
      </c>
      <c r="J1416" t="s">
        <v>31</v>
      </c>
      <c r="K1416" t="s">
        <v>38</v>
      </c>
      <c r="L1416" t="s">
        <v>172</v>
      </c>
      <c r="M1416" t="s">
        <v>173</v>
      </c>
      <c r="N1416" t="s">
        <v>780</v>
      </c>
      <c r="O1416" t="s">
        <v>781</v>
      </c>
      <c r="P1416" t="s">
        <v>5443</v>
      </c>
      <c r="T1416">
        <v>37.376676553000003</v>
      </c>
      <c r="U1416">
        <v>-121.988395571</v>
      </c>
      <c r="V1416">
        <f>SUM(W1416:X1416)+(Y1416*0.8)+(Z1416*0.4)</f>
        <v>2</v>
      </c>
      <c r="W1416">
        <v>2</v>
      </c>
      <c r="X1416">
        <v>0</v>
      </c>
      <c r="Y1416">
        <v>0</v>
      </c>
      <c r="Z1416">
        <v>0</v>
      </c>
      <c r="AA1416" t="s">
        <v>43</v>
      </c>
      <c r="AB1416">
        <v>1.9</v>
      </c>
      <c r="AD1416" t="s">
        <v>5456</v>
      </c>
      <c r="AE1416" t="s">
        <v>5457</v>
      </c>
    </row>
    <row r="1417" spans="1:31" x14ac:dyDescent="0.25">
      <c r="A1417" t="s">
        <v>31</v>
      </c>
      <c r="C1417" t="s">
        <v>2840</v>
      </c>
      <c r="D1417" t="s">
        <v>2848</v>
      </c>
      <c r="E1417" t="s">
        <v>362</v>
      </c>
      <c r="F1417" t="s">
        <v>1611</v>
      </c>
      <c r="G1417">
        <v>2002</v>
      </c>
      <c r="H1417" t="s">
        <v>36</v>
      </c>
      <c r="I1417" t="s">
        <v>2849</v>
      </c>
      <c r="J1417" t="s">
        <v>31</v>
      </c>
      <c r="K1417" t="s">
        <v>38</v>
      </c>
      <c r="L1417" t="s">
        <v>39</v>
      </c>
      <c r="M1417" t="s">
        <v>40</v>
      </c>
      <c r="N1417" t="s">
        <v>2850</v>
      </c>
      <c r="O1417" t="s">
        <v>2851</v>
      </c>
      <c r="P1417" t="s">
        <v>2852</v>
      </c>
      <c r="S1417" t="s">
        <v>2853</v>
      </c>
      <c r="T1417">
        <v>39.989424691000004</v>
      </c>
      <c r="U1417">
        <v>-74.889542841999997</v>
      </c>
      <c r="V1417">
        <f>SUM(W1417:X1417)+(Y1417*0.8)+(Z1417*0.4)</f>
        <v>2</v>
      </c>
      <c r="W1417">
        <v>2</v>
      </c>
      <c r="X1417">
        <v>0</v>
      </c>
      <c r="Y1417">
        <v>0</v>
      </c>
      <c r="Z1417">
        <v>0</v>
      </c>
      <c r="AA1417" t="s">
        <v>43</v>
      </c>
      <c r="AB1417">
        <v>2</v>
      </c>
      <c r="AD1417" t="s">
        <v>2854</v>
      </c>
      <c r="AE1417" t="s">
        <v>2855</v>
      </c>
    </row>
    <row r="1418" spans="1:31" x14ac:dyDescent="0.25">
      <c r="A1418" t="s">
        <v>31</v>
      </c>
      <c r="C1418" t="s">
        <v>2706</v>
      </c>
      <c r="D1418" t="s">
        <v>2736</v>
      </c>
      <c r="E1418" t="s">
        <v>34</v>
      </c>
      <c r="F1418" t="s">
        <v>35</v>
      </c>
      <c r="G1418">
        <v>2001</v>
      </c>
      <c r="H1418" t="s">
        <v>36</v>
      </c>
      <c r="I1418" t="s">
        <v>2737</v>
      </c>
      <c r="J1418" t="s">
        <v>31</v>
      </c>
      <c r="K1418" t="s">
        <v>38</v>
      </c>
      <c r="L1418" t="s">
        <v>68</v>
      </c>
      <c r="M1418" t="s">
        <v>69</v>
      </c>
      <c r="N1418" t="s">
        <v>297</v>
      </c>
      <c r="O1418" t="s">
        <v>2116</v>
      </c>
      <c r="P1418" t="s">
        <v>2738</v>
      </c>
      <c r="T1418">
        <v>32.800924000000002</v>
      </c>
      <c r="U1418">
        <v>-96.819743000000003</v>
      </c>
      <c r="V1418">
        <f>SUM(W1418:X1418)+(Y1418*0.8)+(Z1418*0.4)</f>
        <v>2</v>
      </c>
      <c r="W1418">
        <v>2</v>
      </c>
      <c r="X1418">
        <v>0</v>
      </c>
      <c r="Y1418">
        <v>0</v>
      </c>
      <c r="Z1418">
        <v>0</v>
      </c>
      <c r="AA1418" t="s">
        <v>43</v>
      </c>
      <c r="AB1418">
        <v>2</v>
      </c>
      <c r="AC1418">
        <v>2</v>
      </c>
      <c r="AD1418" t="s">
        <v>2739</v>
      </c>
      <c r="AE1418" t="s">
        <v>2740</v>
      </c>
    </row>
    <row r="1419" spans="1:31" x14ac:dyDescent="0.25">
      <c r="A1419" t="s">
        <v>31</v>
      </c>
      <c r="C1419" t="s">
        <v>10977</v>
      </c>
      <c r="D1419" t="s">
        <v>10993</v>
      </c>
      <c r="E1419" t="s">
        <v>362</v>
      </c>
      <c r="F1419" t="s">
        <v>1611</v>
      </c>
      <c r="G1419">
        <v>2000</v>
      </c>
      <c r="H1419" t="s">
        <v>36</v>
      </c>
      <c r="I1419" t="s">
        <v>10994</v>
      </c>
      <c r="J1419" t="s">
        <v>31</v>
      </c>
      <c r="K1419" t="s">
        <v>38</v>
      </c>
      <c r="L1419" t="s">
        <v>383</v>
      </c>
      <c r="M1419" t="s">
        <v>384</v>
      </c>
      <c r="N1419" t="s">
        <v>2270</v>
      </c>
      <c r="O1419" t="s">
        <v>2271</v>
      </c>
      <c r="P1419" t="s">
        <v>4718</v>
      </c>
      <c r="S1419" t="s">
        <v>288</v>
      </c>
      <c r="T1419">
        <v>35.318169937</v>
      </c>
      <c r="U1419">
        <v>-80.759680141000004</v>
      </c>
      <c r="V1419">
        <f>SUM(W1419:X1419)+(Y1419*0.8)+(Z1419*0.4)</f>
        <v>2</v>
      </c>
      <c r="W1419">
        <v>2</v>
      </c>
      <c r="X1419">
        <v>0</v>
      </c>
      <c r="Y1419">
        <v>0</v>
      </c>
      <c r="Z1419">
        <v>0</v>
      </c>
      <c r="AA1419" t="s">
        <v>43</v>
      </c>
      <c r="AB1419">
        <v>2</v>
      </c>
      <c r="AD1419" t="s">
        <v>10995</v>
      </c>
      <c r="AE1419" t="s">
        <v>10996</v>
      </c>
    </row>
    <row r="1420" spans="1:31" x14ac:dyDescent="0.25">
      <c r="A1420" t="s">
        <v>31</v>
      </c>
      <c r="C1420" t="s">
        <v>6970</v>
      </c>
      <c r="D1420" t="s">
        <v>6971</v>
      </c>
      <c r="E1420" t="s">
        <v>34</v>
      </c>
      <c r="F1420" t="s">
        <v>66</v>
      </c>
      <c r="G1420">
        <v>2000</v>
      </c>
      <c r="H1420" t="s">
        <v>36</v>
      </c>
      <c r="I1420" t="s">
        <v>6972</v>
      </c>
      <c r="J1420" t="s">
        <v>31</v>
      </c>
      <c r="K1420" t="s">
        <v>38</v>
      </c>
      <c r="L1420" t="s">
        <v>242</v>
      </c>
      <c r="M1420" t="s">
        <v>243</v>
      </c>
      <c r="N1420" t="s">
        <v>509</v>
      </c>
      <c r="O1420" t="s">
        <v>743</v>
      </c>
      <c r="P1420" t="s">
        <v>873</v>
      </c>
      <c r="T1420">
        <v>38.753935153</v>
      </c>
      <c r="U1420">
        <v>-77.524859894000002</v>
      </c>
      <c r="V1420">
        <f>SUM(W1420:X1420)+(Y1420*0.8)+(Z1420*0.4)</f>
        <v>2</v>
      </c>
      <c r="W1420">
        <v>2</v>
      </c>
      <c r="X1420">
        <v>0</v>
      </c>
      <c r="Y1420">
        <v>0</v>
      </c>
      <c r="Z1420">
        <v>0</v>
      </c>
      <c r="AA1420" t="s">
        <v>43</v>
      </c>
      <c r="AB1420">
        <v>0</v>
      </c>
      <c r="AD1420" t="s">
        <v>6973</v>
      </c>
      <c r="AE1420" t="s">
        <v>6974</v>
      </c>
    </row>
    <row r="1421" spans="1:31" x14ac:dyDescent="0.25">
      <c r="A1421" t="s">
        <v>31</v>
      </c>
      <c r="C1421" t="s">
        <v>5765</v>
      </c>
      <c r="D1421" t="s">
        <v>5779</v>
      </c>
      <c r="E1421" t="s">
        <v>34</v>
      </c>
      <c r="F1421" t="s">
        <v>35</v>
      </c>
      <c r="G1421">
        <v>2000</v>
      </c>
      <c r="H1421" t="s">
        <v>36</v>
      </c>
      <c r="I1421" t="s">
        <v>5780</v>
      </c>
      <c r="J1421" t="s">
        <v>31</v>
      </c>
      <c r="K1421" t="s">
        <v>38</v>
      </c>
      <c r="L1421" t="s">
        <v>383</v>
      </c>
      <c r="M1421" t="s">
        <v>384</v>
      </c>
      <c r="N1421" t="s">
        <v>2270</v>
      </c>
      <c r="O1421" t="s">
        <v>2271</v>
      </c>
      <c r="P1421" t="s">
        <v>5781</v>
      </c>
      <c r="T1421">
        <v>35.135453679999998</v>
      </c>
      <c r="U1421">
        <v>-80.936945543999997</v>
      </c>
      <c r="V1421">
        <f>SUM(W1421:X1421)+(Y1421*0.8)+(Z1421*0.4)</f>
        <v>2</v>
      </c>
      <c r="W1421">
        <v>2</v>
      </c>
      <c r="X1421">
        <v>0</v>
      </c>
      <c r="Y1421">
        <v>0</v>
      </c>
      <c r="Z1421">
        <v>0</v>
      </c>
      <c r="AA1421" t="s">
        <v>43</v>
      </c>
      <c r="AB1421">
        <v>2</v>
      </c>
      <c r="AC1421">
        <v>1.55</v>
      </c>
      <c r="AD1421" t="s">
        <v>5782</v>
      </c>
      <c r="AE1421" t="s">
        <v>5783</v>
      </c>
    </row>
    <row r="1422" spans="1:31" x14ac:dyDescent="0.25">
      <c r="A1422" t="s">
        <v>31</v>
      </c>
      <c r="C1422" t="s">
        <v>10406</v>
      </c>
      <c r="D1422" t="s">
        <v>10485</v>
      </c>
      <c r="E1422" t="s">
        <v>34</v>
      </c>
      <c r="F1422" t="s">
        <v>35</v>
      </c>
      <c r="G1422">
        <v>1999</v>
      </c>
      <c r="H1422" t="s">
        <v>36</v>
      </c>
      <c r="I1422" t="s">
        <v>10486</v>
      </c>
      <c r="J1422" t="s">
        <v>31</v>
      </c>
      <c r="K1422" t="s">
        <v>38</v>
      </c>
      <c r="L1422" t="s">
        <v>77</v>
      </c>
      <c r="M1422" t="s">
        <v>78</v>
      </c>
      <c r="N1422" t="s">
        <v>10440</v>
      </c>
      <c r="O1422" t="s">
        <v>10441</v>
      </c>
      <c r="P1422" t="s">
        <v>10442</v>
      </c>
      <c r="Q1422" t="s">
        <v>2798</v>
      </c>
      <c r="T1422">
        <v>40.674957802999998</v>
      </c>
      <c r="U1422">
        <v>-75.378088172000005</v>
      </c>
      <c r="V1422">
        <f>SUM(W1422:X1422)+(Y1422*0.8)+(Z1422*0.4)</f>
        <v>2</v>
      </c>
      <c r="W1422">
        <v>2</v>
      </c>
      <c r="X1422">
        <v>0</v>
      </c>
      <c r="Y1422">
        <v>0</v>
      </c>
      <c r="Z1422">
        <v>0</v>
      </c>
      <c r="AA1422" t="s">
        <v>43</v>
      </c>
      <c r="AB1422">
        <v>1.95</v>
      </c>
      <c r="AD1422" t="s">
        <v>10487</v>
      </c>
      <c r="AE1422" t="s">
        <v>10488</v>
      </c>
    </row>
    <row r="1423" spans="1:31" x14ac:dyDescent="0.25">
      <c r="A1423" t="s">
        <v>31</v>
      </c>
      <c r="C1423" t="s">
        <v>2584</v>
      </c>
      <c r="D1423" t="s">
        <v>2627</v>
      </c>
      <c r="E1423" t="s">
        <v>34</v>
      </c>
      <c r="F1423" t="s">
        <v>35</v>
      </c>
      <c r="G1423">
        <v>1999</v>
      </c>
      <c r="H1423" t="s">
        <v>36</v>
      </c>
      <c r="I1423" t="s">
        <v>2628</v>
      </c>
      <c r="J1423" t="s">
        <v>31</v>
      </c>
      <c r="K1423" t="s">
        <v>38</v>
      </c>
      <c r="L1423" t="s">
        <v>123</v>
      </c>
      <c r="M1423" t="s">
        <v>124</v>
      </c>
      <c r="N1423" t="s">
        <v>270</v>
      </c>
      <c r="O1423" t="s">
        <v>123</v>
      </c>
      <c r="P1423" t="s">
        <v>2629</v>
      </c>
      <c r="Q1423" t="s">
        <v>2630</v>
      </c>
      <c r="S1423" t="s">
        <v>273</v>
      </c>
      <c r="T1423">
        <v>40.705517829000001</v>
      </c>
      <c r="U1423">
        <v>-74.013768431000003</v>
      </c>
      <c r="V1423">
        <f>SUM(W1423:X1423)+(Y1423*0.8)+(Z1423*0.4)</f>
        <v>2</v>
      </c>
      <c r="W1423">
        <v>2</v>
      </c>
      <c r="X1423">
        <v>0</v>
      </c>
      <c r="Y1423">
        <v>0</v>
      </c>
      <c r="Z1423">
        <v>0</v>
      </c>
      <c r="AA1423" t="s">
        <v>43</v>
      </c>
      <c r="AB1423">
        <v>1.75</v>
      </c>
      <c r="AD1423" t="s">
        <v>2631</v>
      </c>
      <c r="AE1423" t="s">
        <v>2632</v>
      </c>
    </row>
    <row r="1424" spans="1:31" x14ac:dyDescent="0.25">
      <c r="A1424" t="s">
        <v>31</v>
      </c>
      <c r="C1424" t="s">
        <v>6536</v>
      </c>
      <c r="D1424" t="s">
        <v>6537</v>
      </c>
      <c r="E1424" t="s">
        <v>362</v>
      </c>
      <c r="F1424" t="s">
        <v>381</v>
      </c>
      <c r="G1424">
        <v>1994</v>
      </c>
      <c r="H1424" t="s">
        <v>36</v>
      </c>
      <c r="I1424" t="s">
        <v>6538</v>
      </c>
      <c r="J1424" t="s">
        <v>31</v>
      </c>
      <c r="K1424" t="s">
        <v>38</v>
      </c>
      <c r="L1424" t="s">
        <v>39</v>
      </c>
      <c r="M1424" t="s">
        <v>40</v>
      </c>
      <c r="N1424" t="s">
        <v>2789</v>
      </c>
      <c r="O1424" t="s">
        <v>6539</v>
      </c>
      <c r="P1424" t="s">
        <v>2791</v>
      </c>
      <c r="Q1424" t="s">
        <v>6540</v>
      </c>
      <c r="T1424">
        <v>40.872744775999998</v>
      </c>
      <c r="U1424">
        <v>-74.451816527999995</v>
      </c>
      <c r="V1424">
        <f>SUM(W1424:X1424)+(Y1424*0.8)+(Z1424*0.4)</f>
        <v>2</v>
      </c>
      <c r="W1424">
        <v>2</v>
      </c>
      <c r="X1424">
        <v>0</v>
      </c>
      <c r="Y1424">
        <v>0</v>
      </c>
      <c r="Z1424">
        <v>0</v>
      </c>
      <c r="AA1424" t="s">
        <v>43</v>
      </c>
      <c r="AB1424">
        <v>2</v>
      </c>
      <c r="AD1424" t="s">
        <v>6541</v>
      </c>
      <c r="AE1424" t="s">
        <v>6542</v>
      </c>
    </row>
    <row r="1425" spans="1:31" x14ac:dyDescent="0.25">
      <c r="A1425" t="s">
        <v>31</v>
      </c>
      <c r="C1425" t="s">
        <v>6381</v>
      </c>
      <c r="D1425" t="s">
        <v>6408</v>
      </c>
      <c r="E1425" t="s">
        <v>34</v>
      </c>
      <c r="F1425" t="s">
        <v>66</v>
      </c>
      <c r="G1425">
        <v>1990</v>
      </c>
      <c r="H1425" t="s">
        <v>36</v>
      </c>
      <c r="I1425" t="s">
        <v>6409</v>
      </c>
      <c r="J1425" t="s">
        <v>31</v>
      </c>
      <c r="K1425" t="s">
        <v>38</v>
      </c>
      <c r="L1425" t="s">
        <v>317</v>
      </c>
      <c r="M1425" t="s">
        <v>318</v>
      </c>
      <c r="N1425" t="s">
        <v>2036</v>
      </c>
      <c r="O1425" t="s">
        <v>3344</v>
      </c>
      <c r="P1425" t="s">
        <v>6410</v>
      </c>
      <c r="Q1425" t="s">
        <v>3344</v>
      </c>
      <c r="T1425">
        <v>39.097973381000003</v>
      </c>
      <c r="U1425">
        <v>-84.524044861999997</v>
      </c>
      <c r="V1425">
        <f>SUM(W1425:X1425)+(Y1425*0.8)+(Z1425*0.4)</f>
        <v>2</v>
      </c>
      <c r="W1425">
        <v>2</v>
      </c>
      <c r="X1425">
        <v>0</v>
      </c>
      <c r="Y1425">
        <v>0</v>
      </c>
      <c r="Z1425">
        <v>0</v>
      </c>
      <c r="AA1425" t="s">
        <v>43</v>
      </c>
      <c r="AB1425">
        <v>2</v>
      </c>
      <c r="AD1425" t="s">
        <v>6411</v>
      </c>
      <c r="AE1425" t="s">
        <v>6412</v>
      </c>
    </row>
    <row r="1426" spans="1:31" x14ac:dyDescent="0.25">
      <c r="A1426" t="s">
        <v>31</v>
      </c>
      <c r="C1426" t="s">
        <v>2936</v>
      </c>
      <c r="D1426" t="s">
        <v>2937</v>
      </c>
      <c r="E1426" t="s">
        <v>362</v>
      </c>
      <c r="F1426" t="s">
        <v>1611</v>
      </c>
      <c r="G1426">
        <v>1990</v>
      </c>
      <c r="H1426" t="s">
        <v>36</v>
      </c>
      <c r="I1426" t="s">
        <v>2938</v>
      </c>
      <c r="J1426" t="s">
        <v>31</v>
      </c>
      <c r="K1426" t="s">
        <v>38</v>
      </c>
      <c r="L1426" t="s">
        <v>2519</v>
      </c>
      <c r="M1426" t="s">
        <v>2520</v>
      </c>
      <c r="N1426" t="s">
        <v>2521</v>
      </c>
      <c r="O1426" t="s">
        <v>2939</v>
      </c>
      <c r="P1426" t="s">
        <v>2940</v>
      </c>
      <c r="Q1426" t="s">
        <v>138</v>
      </c>
      <c r="T1426">
        <v>44.476460046</v>
      </c>
      <c r="U1426">
        <v>-73.20863172</v>
      </c>
      <c r="V1426">
        <f>SUM(W1426:X1426)+(Y1426*0.8)+(Z1426*0.4)</f>
        <v>2</v>
      </c>
      <c r="W1426">
        <v>2</v>
      </c>
      <c r="X1426">
        <v>0</v>
      </c>
      <c r="Y1426">
        <v>0</v>
      </c>
      <c r="Z1426">
        <v>0</v>
      </c>
      <c r="AA1426" t="s">
        <v>43</v>
      </c>
      <c r="AB1426">
        <v>2</v>
      </c>
      <c r="AD1426" t="s">
        <v>2941</v>
      </c>
      <c r="AE1426" t="s">
        <v>2942</v>
      </c>
    </row>
    <row r="1427" spans="1:31" x14ac:dyDescent="0.25">
      <c r="A1427" t="s">
        <v>31</v>
      </c>
      <c r="C1427" t="s">
        <v>2374</v>
      </c>
      <c r="D1427" t="s">
        <v>2382</v>
      </c>
      <c r="E1427" t="s">
        <v>362</v>
      </c>
      <c r="F1427" t="s">
        <v>630</v>
      </c>
      <c r="G1427">
        <v>1990</v>
      </c>
      <c r="H1427" t="s">
        <v>36</v>
      </c>
      <c r="I1427" t="s">
        <v>2383</v>
      </c>
      <c r="J1427" t="s">
        <v>31</v>
      </c>
      <c r="K1427" t="s">
        <v>38</v>
      </c>
      <c r="L1427" t="s">
        <v>326</v>
      </c>
      <c r="M1427" t="s">
        <v>327</v>
      </c>
      <c r="N1427" t="s">
        <v>328</v>
      </c>
      <c r="O1427" t="s">
        <v>590</v>
      </c>
      <c r="P1427" t="s">
        <v>2384</v>
      </c>
      <c r="T1427">
        <v>33.371940739999999</v>
      </c>
      <c r="U1427">
        <v>-111.97992226</v>
      </c>
      <c r="V1427">
        <f>SUM(W1427:X1427)+(Y1427*0.8)+(Z1427*0.4)</f>
        <v>2</v>
      </c>
      <c r="W1427">
        <v>2</v>
      </c>
      <c r="X1427">
        <v>0</v>
      </c>
      <c r="Y1427">
        <v>0</v>
      </c>
      <c r="Z1427">
        <v>0</v>
      </c>
      <c r="AA1427" t="s">
        <v>43</v>
      </c>
      <c r="AB1427">
        <v>2</v>
      </c>
      <c r="AD1427" t="s">
        <v>2385</v>
      </c>
      <c r="AE1427" t="s">
        <v>2386</v>
      </c>
    </row>
    <row r="1428" spans="1:31" x14ac:dyDescent="0.25">
      <c r="A1428" t="s">
        <v>31</v>
      </c>
      <c r="B1428" t="s">
        <v>11350</v>
      </c>
      <c r="C1428" t="s">
        <v>1610</v>
      </c>
      <c r="D1428" t="s">
        <v>1616</v>
      </c>
      <c r="E1428" t="s">
        <v>362</v>
      </c>
      <c r="F1428" t="s">
        <v>1611</v>
      </c>
      <c r="G1428">
        <v>1990</v>
      </c>
      <c r="H1428" t="s">
        <v>36</v>
      </c>
      <c r="I1428" t="s">
        <v>1617</v>
      </c>
      <c r="J1428" t="s">
        <v>31</v>
      </c>
      <c r="K1428" t="s">
        <v>38</v>
      </c>
      <c r="L1428" t="s">
        <v>123</v>
      </c>
      <c r="M1428" t="s">
        <v>124</v>
      </c>
      <c r="N1428" t="s">
        <v>270</v>
      </c>
      <c r="O1428" t="s">
        <v>123</v>
      </c>
      <c r="P1428" t="s">
        <v>1618</v>
      </c>
      <c r="Q1428" t="s">
        <v>1619</v>
      </c>
      <c r="S1428" t="s">
        <v>273</v>
      </c>
      <c r="T1428">
        <v>40.767239250999999</v>
      </c>
      <c r="U1428">
        <v>-73.990902038000002</v>
      </c>
      <c r="V1428">
        <f>SUM(W1428:X1428)+(Y1428*0.8)+(Z1428*0.4)</f>
        <v>2</v>
      </c>
      <c r="W1428">
        <v>2</v>
      </c>
      <c r="X1428">
        <v>0</v>
      </c>
      <c r="Y1428">
        <v>0</v>
      </c>
      <c r="Z1428">
        <v>0</v>
      </c>
      <c r="AA1428" t="s">
        <v>43</v>
      </c>
      <c r="AB1428">
        <v>2</v>
      </c>
      <c r="AD1428" t="s">
        <v>1620</v>
      </c>
      <c r="AE1428" t="s">
        <v>1621</v>
      </c>
    </row>
    <row r="1429" spans="1:31" x14ac:dyDescent="0.25">
      <c r="A1429" t="s">
        <v>31</v>
      </c>
      <c r="C1429" t="s">
        <v>3710</v>
      </c>
      <c r="D1429" t="s">
        <v>3925</v>
      </c>
      <c r="E1429" t="s">
        <v>34</v>
      </c>
      <c r="F1429" t="s">
        <v>35</v>
      </c>
      <c r="G1429">
        <v>2016</v>
      </c>
      <c r="H1429" t="s">
        <v>36</v>
      </c>
      <c r="I1429" t="s">
        <v>3926</v>
      </c>
      <c r="J1429" t="s">
        <v>31</v>
      </c>
      <c r="K1429" t="s">
        <v>38</v>
      </c>
      <c r="L1429" t="s">
        <v>77</v>
      </c>
      <c r="M1429" t="s">
        <v>78</v>
      </c>
      <c r="N1429" t="s">
        <v>1358</v>
      </c>
      <c r="O1429" t="s">
        <v>1518</v>
      </c>
      <c r="P1429" t="s">
        <v>3927</v>
      </c>
      <c r="Q1429" t="s">
        <v>3928</v>
      </c>
      <c r="S1429" t="s">
        <v>3928</v>
      </c>
      <c r="T1429">
        <v>40.451664770000001</v>
      </c>
      <c r="U1429">
        <v>-80.004576072999996</v>
      </c>
      <c r="V1429">
        <f>SUM(W1429:X1429)+(Y1429*0.8)+(Z1429*0.4)</f>
        <v>1.9</v>
      </c>
      <c r="W1429">
        <v>1.9</v>
      </c>
      <c r="X1429">
        <v>0</v>
      </c>
      <c r="Y1429">
        <v>0</v>
      </c>
      <c r="Z1429">
        <v>0</v>
      </c>
      <c r="AA1429" t="s">
        <v>43</v>
      </c>
      <c r="AB1429">
        <v>1.75</v>
      </c>
      <c r="AD1429" t="s">
        <v>3929</v>
      </c>
      <c r="AE1429" t="s">
        <v>3930</v>
      </c>
    </row>
    <row r="1430" spans="1:31" x14ac:dyDescent="0.25">
      <c r="A1430" t="s">
        <v>31</v>
      </c>
      <c r="C1430" t="s">
        <v>4148</v>
      </c>
      <c r="D1430" t="s">
        <v>4149</v>
      </c>
      <c r="E1430" t="s">
        <v>34</v>
      </c>
      <c r="F1430" t="s">
        <v>35</v>
      </c>
      <c r="G1430">
        <v>2005</v>
      </c>
      <c r="H1430" t="s">
        <v>36</v>
      </c>
      <c r="I1430" t="s">
        <v>4150</v>
      </c>
      <c r="J1430" t="s">
        <v>31</v>
      </c>
      <c r="K1430" t="s">
        <v>38</v>
      </c>
      <c r="L1430" t="s">
        <v>86</v>
      </c>
      <c r="M1430" t="s">
        <v>87</v>
      </c>
      <c r="N1430" t="s">
        <v>2215</v>
      </c>
      <c r="O1430" t="s">
        <v>3338</v>
      </c>
      <c r="P1430" t="s">
        <v>3339</v>
      </c>
      <c r="T1430">
        <v>41.848204072000001</v>
      </c>
      <c r="U1430">
        <v>-88.007631560999997</v>
      </c>
      <c r="V1430">
        <f>SUM(W1430:X1430)+(Y1430*0.8)+(Z1430*0.4)</f>
        <v>1.9</v>
      </c>
      <c r="W1430">
        <v>1.9</v>
      </c>
      <c r="X1430">
        <v>0</v>
      </c>
      <c r="Y1430">
        <v>0</v>
      </c>
      <c r="Z1430">
        <v>0</v>
      </c>
      <c r="AA1430" t="s">
        <v>43</v>
      </c>
      <c r="AB1430">
        <v>0.95</v>
      </c>
      <c r="AD1430" t="s">
        <v>4151</v>
      </c>
      <c r="AE1430" t="s">
        <v>4152</v>
      </c>
    </row>
    <row r="1431" spans="1:31" x14ac:dyDescent="0.25">
      <c r="A1431" t="s">
        <v>31</v>
      </c>
      <c r="C1431" t="s">
        <v>6381</v>
      </c>
      <c r="D1431" t="s">
        <v>6455</v>
      </c>
      <c r="E1431" t="s">
        <v>34</v>
      </c>
      <c r="F1431" t="s">
        <v>35</v>
      </c>
      <c r="G1431">
        <v>2000</v>
      </c>
      <c r="H1431" t="s">
        <v>36</v>
      </c>
      <c r="I1431" t="s">
        <v>6456</v>
      </c>
      <c r="J1431" t="s">
        <v>31</v>
      </c>
      <c r="K1431" t="s">
        <v>38</v>
      </c>
      <c r="L1431" t="s">
        <v>77</v>
      </c>
      <c r="M1431" t="s">
        <v>78</v>
      </c>
      <c r="N1431" t="s">
        <v>1358</v>
      </c>
      <c r="O1431" t="s">
        <v>1518</v>
      </c>
      <c r="P1431" t="s">
        <v>4704</v>
      </c>
      <c r="Q1431" t="s">
        <v>1518</v>
      </c>
      <c r="S1431" t="s">
        <v>6457</v>
      </c>
      <c r="T1431">
        <v>40.451813979999997</v>
      </c>
      <c r="U1431">
        <v>-79.980857829000001</v>
      </c>
      <c r="V1431">
        <f>SUM(W1431:X1431)+(Y1431*0.8)+(Z1431*0.4)</f>
        <v>1.9</v>
      </c>
      <c r="W1431">
        <v>1.5</v>
      </c>
      <c r="X1431">
        <v>0</v>
      </c>
      <c r="Y1431">
        <v>0</v>
      </c>
      <c r="Z1431">
        <v>1</v>
      </c>
      <c r="AA1431" t="s">
        <v>43</v>
      </c>
      <c r="AB1431">
        <v>1.1000000000000001</v>
      </c>
      <c r="AD1431" t="s">
        <v>6458</v>
      </c>
      <c r="AE1431" t="s">
        <v>6459</v>
      </c>
    </row>
    <row r="1432" spans="1:31" x14ac:dyDescent="0.25">
      <c r="A1432" t="s">
        <v>31</v>
      </c>
      <c r="C1432" t="s">
        <v>10406</v>
      </c>
      <c r="D1432" t="s">
        <v>10542</v>
      </c>
      <c r="E1432" t="s">
        <v>34</v>
      </c>
      <c r="F1432" t="s">
        <v>35</v>
      </c>
      <c r="G1432">
        <v>2002</v>
      </c>
      <c r="H1432" t="s">
        <v>36</v>
      </c>
      <c r="I1432" t="s">
        <v>10543</v>
      </c>
      <c r="J1432" t="s">
        <v>31</v>
      </c>
      <c r="K1432" t="s">
        <v>38</v>
      </c>
      <c r="L1432" t="s">
        <v>843</v>
      </c>
      <c r="M1432" t="s">
        <v>1644</v>
      </c>
      <c r="N1432" t="s">
        <v>5625</v>
      </c>
      <c r="O1432" t="s">
        <v>10544</v>
      </c>
      <c r="P1432" t="s">
        <v>10545</v>
      </c>
      <c r="T1432">
        <v>47.671987921000003</v>
      </c>
      <c r="U1432">
        <v>-117.091231269</v>
      </c>
      <c r="V1432">
        <f>SUM(W1432:X1432)+(Y1432*0.8)+(Z1432*0.4)</f>
        <v>1.825</v>
      </c>
      <c r="W1432">
        <v>1.825</v>
      </c>
      <c r="X1432">
        <v>0</v>
      </c>
      <c r="Y1432">
        <v>0</v>
      </c>
      <c r="Z1432">
        <v>0</v>
      </c>
      <c r="AA1432" t="s">
        <v>43</v>
      </c>
      <c r="AB1432">
        <v>1.825</v>
      </c>
      <c r="AD1432" t="s">
        <v>10546</v>
      </c>
      <c r="AE1432" t="s">
        <v>10547</v>
      </c>
    </row>
    <row r="1433" spans="1:31" x14ac:dyDescent="0.25">
      <c r="A1433" t="s">
        <v>31</v>
      </c>
      <c r="C1433" t="s">
        <v>7577</v>
      </c>
      <c r="D1433" t="s">
        <v>7578</v>
      </c>
      <c r="E1433" t="s">
        <v>362</v>
      </c>
      <c r="F1433" t="s">
        <v>1302</v>
      </c>
      <c r="G1433">
        <v>2014</v>
      </c>
      <c r="H1433" t="s">
        <v>36</v>
      </c>
      <c r="I1433" t="s">
        <v>7579</v>
      </c>
      <c r="J1433" t="s">
        <v>31</v>
      </c>
      <c r="K1433" t="s">
        <v>38</v>
      </c>
      <c r="L1433" t="s">
        <v>251</v>
      </c>
      <c r="M1433" t="s">
        <v>252</v>
      </c>
      <c r="N1433" t="s">
        <v>253</v>
      </c>
      <c r="O1433" t="s">
        <v>254</v>
      </c>
      <c r="P1433" t="s">
        <v>255</v>
      </c>
      <c r="T1433">
        <v>42.326448765999999</v>
      </c>
      <c r="U1433">
        <v>-71.592143835000002</v>
      </c>
      <c r="V1433">
        <f>SUM(W1433:X1433)+(Y1433*0.8)+(Z1433*0.4)</f>
        <v>1.82</v>
      </c>
      <c r="W1433">
        <v>1.3</v>
      </c>
      <c r="X1433">
        <v>0</v>
      </c>
      <c r="Y1433">
        <v>0</v>
      </c>
      <c r="Z1433">
        <v>1.3</v>
      </c>
      <c r="AA1433" t="s">
        <v>43</v>
      </c>
      <c r="AB1433">
        <v>1.3</v>
      </c>
      <c r="AD1433" t="s">
        <v>7580</v>
      </c>
      <c r="AE1433" t="s">
        <v>7581</v>
      </c>
    </row>
    <row r="1434" spans="1:31" x14ac:dyDescent="0.25">
      <c r="A1434" t="s">
        <v>31</v>
      </c>
      <c r="C1434" t="s">
        <v>5765</v>
      </c>
      <c r="D1434" t="s">
        <v>5941</v>
      </c>
      <c r="E1434" t="s">
        <v>34</v>
      </c>
      <c r="F1434" t="s">
        <v>35</v>
      </c>
      <c r="G1434">
        <v>2009</v>
      </c>
      <c r="H1434" t="s">
        <v>36</v>
      </c>
      <c r="I1434" t="s">
        <v>5942</v>
      </c>
      <c r="J1434" t="s">
        <v>31</v>
      </c>
      <c r="K1434" t="s">
        <v>38</v>
      </c>
      <c r="L1434" t="s">
        <v>202</v>
      </c>
      <c r="M1434" t="s">
        <v>203</v>
      </c>
      <c r="N1434" t="s">
        <v>309</v>
      </c>
      <c r="O1434" t="s">
        <v>310</v>
      </c>
      <c r="P1434" t="s">
        <v>5943</v>
      </c>
      <c r="T1434">
        <v>28.037309287999999</v>
      </c>
      <c r="U1434">
        <v>-82.540025928999995</v>
      </c>
      <c r="V1434">
        <f>SUM(W1434:X1434)+(Y1434*0.8)+(Z1434*0.4)</f>
        <v>1.81</v>
      </c>
      <c r="W1434">
        <v>1.81</v>
      </c>
      <c r="X1434">
        <v>0</v>
      </c>
      <c r="Y1434">
        <v>0</v>
      </c>
      <c r="Z1434">
        <v>0</v>
      </c>
      <c r="AA1434" t="s">
        <v>43</v>
      </c>
      <c r="AB1434">
        <v>1.2</v>
      </c>
      <c r="AC1434">
        <v>1.6</v>
      </c>
      <c r="AD1434" t="s">
        <v>5944</v>
      </c>
      <c r="AE1434" t="s">
        <v>5945</v>
      </c>
    </row>
    <row r="1435" spans="1:31" x14ac:dyDescent="0.25">
      <c r="A1435" t="s">
        <v>31</v>
      </c>
      <c r="C1435" t="s">
        <v>3052</v>
      </c>
      <c r="D1435" t="s">
        <v>1411</v>
      </c>
      <c r="E1435" t="s">
        <v>34</v>
      </c>
      <c r="F1435" t="s">
        <v>35</v>
      </c>
      <c r="G1435">
        <v>2019</v>
      </c>
      <c r="H1435" t="s">
        <v>36</v>
      </c>
      <c r="I1435" t="s">
        <v>3079</v>
      </c>
      <c r="J1435" t="s">
        <v>31</v>
      </c>
      <c r="K1435" t="s">
        <v>38</v>
      </c>
      <c r="L1435" t="s">
        <v>3074</v>
      </c>
      <c r="M1435" t="s">
        <v>3075</v>
      </c>
      <c r="O1435" t="s">
        <v>843</v>
      </c>
      <c r="P1435" t="s">
        <v>3076</v>
      </c>
      <c r="Q1435" t="s">
        <v>3080</v>
      </c>
      <c r="R1435" t="s">
        <v>138</v>
      </c>
      <c r="T1435">
        <v>38.903388</v>
      </c>
      <c r="U1435">
        <v>-77.031276000000005</v>
      </c>
      <c r="V1435">
        <f>SUM(W1435:X1435)+(Y1435*0.8)+(Z1435*0.4)</f>
        <v>1.8</v>
      </c>
      <c r="W1435">
        <v>1.8</v>
      </c>
      <c r="X1435">
        <v>0</v>
      </c>
      <c r="Y1435">
        <v>0</v>
      </c>
      <c r="Z1435">
        <v>0</v>
      </c>
      <c r="AA1435" t="s">
        <v>43</v>
      </c>
      <c r="AB1435">
        <v>1.5</v>
      </c>
      <c r="AC1435">
        <v>0</v>
      </c>
      <c r="AD1435" t="s">
        <v>3081</v>
      </c>
      <c r="AE1435" t="s">
        <v>3082</v>
      </c>
    </row>
    <row r="1436" spans="1:31" x14ac:dyDescent="0.25">
      <c r="A1436" t="s">
        <v>31</v>
      </c>
      <c r="C1436" t="s">
        <v>7500</v>
      </c>
      <c r="D1436" t="s">
        <v>7507</v>
      </c>
      <c r="E1436" t="s">
        <v>34</v>
      </c>
      <c r="F1436" t="s">
        <v>35</v>
      </c>
      <c r="G1436">
        <v>2016</v>
      </c>
      <c r="H1436" t="s">
        <v>36</v>
      </c>
      <c r="I1436" t="s">
        <v>7508</v>
      </c>
      <c r="J1436" t="s">
        <v>31</v>
      </c>
      <c r="K1436" t="s">
        <v>38</v>
      </c>
      <c r="L1436" t="s">
        <v>49</v>
      </c>
      <c r="M1436" t="s">
        <v>50</v>
      </c>
      <c r="N1436" t="s">
        <v>51</v>
      </c>
      <c r="O1436" t="s">
        <v>7503</v>
      </c>
      <c r="P1436" t="s">
        <v>7504</v>
      </c>
      <c r="Q1436" t="s">
        <v>7503</v>
      </c>
      <c r="T1436">
        <v>42.540664890999999</v>
      </c>
      <c r="U1436">
        <v>-83.098451596999993</v>
      </c>
      <c r="V1436">
        <f>SUM(W1436:X1436)+(Y1436*0.8)+(Z1436*0.4)</f>
        <v>1.8</v>
      </c>
      <c r="W1436">
        <v>1</v>
      </c>
      <c r="X1436">
        <v>0</v>
      </c>
      <c r="Y1436">
        <v>1</v>
      </c>
      <c r="Z1436">
        <v>0</v>
      </c>
      <c r="AA1436" t="s">
        <v>43</v>
      </c>
      <c r="AB1436">
        <v>0.5</v>
      </c>
      <c r="AD1436" t="s">
        <v>7509</v>
      </c>
      <c r="AE1436" t="s">
        <v>7510</v>
      </c>
    </row>
    <row r="1437" spans="1:31" x14ac:dyDescent="0.25">
      <c r="A1437" t="s">
        <v>31</v>
      </c>
      <c r="C1437" t="s">
        <v>10815</v>
      </c>
      <c r="D1437" t="s">
        <v>10835</v>
      </c>
      <c r="E1437" t="s">
        <v>34</v>
      </c>
      <c r="F1437" t="s">
        <v>35</v>
      </c>
      <c r="G1437">
        <v>2014</v>
      </c>
      <c r="H1437" t="s">
        <v>36</v>
      </c>
      <c r="I1437" t="s">
        <v>10836</v>
      </c>
      <c r="J1437" t="s">
        <v>31</v>
      </c>
      <c r="K1437" t="s">
        <v>38</v>
      </c>
      <c r="L1437" t="s">
        <v>49</v>
      </c>
      <c r="M1437" t="s">
        <v>50</v>
      </c>
      <c r="N1437" t="s">
        <v>59</v>
      </c>
      <c r="O1437" t="s">
        <v>10837</v>
      </c>
      <c r="P1437" t="s">
        <v>10171</v>
      </c>
      <c r="Q1437" t="s">
        <v>10837</v>
      </c>
      <c r="T1437">
        <v>42.876669311999997</v>
      </c>
      <c r="U1437">
        <v>-85.564359339000006</v>
      </c>
      <c r="V1437">
        <f>SUM(W1437:X1437)+(Y1437*0.8)+(Z1437*0.4)</f>
        <v>1.8</v>
      </c>
      <c r="W1437">
        <v>1.8</v>
      </c>
      <c r="X1437">
        <v>0</v>
      </c>
      <c r="Y1437">
        <v>0</v>
      </c>
      <c r="Z1437">
        <v>0</v>
      </c>
      <c r="AA1437" t="s">
        <v>43</v>
      </c>
      <c r="AB1437">
        <v>1.1299999999999999</v>
      </c>
      <c r="AD1437" t="s">
        <v>10838</v>
      </c>
      <c r="AE1437" t="s">
        <v>10839</v>
      </c>
    </row>
    <row r="1438" spans="1:31" x14ac:dyDescent="0.25">
      <c r="A1438" t="s">
        <v>31</v>
      </c>
      <c r="C1438" t="s">
        <v>3849</v>
      </c>
      <c r="D1438" t="s">
        <v>4337</v>
      </c>
      <c r="E1438" t="s">
        <v>34</v>
      </c>
      <c r="F1438" t="s">
        <v>66</v>
      </c>
      <c r="G1438">
        <v>2013</v>
      </c>
      <c r="H1438" t="s">
        <v>36</v>
      </c>
      <c r="I1438" t="s">
        <v>4338</v>
      </c>
      <c r="J1438" t="s">
        <v>31</v>
      </c>
      <c r="K1438" t="s">
        <v>38</v>
      </c>
      <c r="L1438" t="s">
        <v>123</v>
      </c>
      <c r="M1438" t="s">
        <v>124</v>
      </c>
      <c r="N1438" t="s">
        <v>270</v>
      </c>
      <c r="O1438" t="s">
        <v>123</v>
      </c>
      <c r="P1438" t="s">
        <v>2675</v>
      </c>
      <c r="Q1438" t="s">
        <v>272</v>
      </c>
      <c r="S1438" t="s">
        <v>273</v>
      </c>
      <c r="T1438">
        <v>40.717660000000002</v>
      </c>
      <c r="U1438">
        <v>-74.008244000000005</v>
      </c>
      <c r="V1438">
        <f>SUM(W1438:X1438)+(Y1438*0.8)+(Z1438*0.4)</f>
        <v>1.8</v>
      </c>
      <c r="W1438">
        <v>1.8</v>
      </c>
      <c r="X1438">
        <v>0</v>
      </c>
      <c r="Y1438">
        <v>0</v>
      </c>
      <c r="Z1438">
        <v>0</v>
      </c>
      <c r="AA1438" t="s">
        <v>43</v>
      </c>
      <c r="AB1438">
        <v>1.7</v>
      </c>
      <c r="AD1438" t="s">
        <v>4339</v>
      </c>
      <c r="AE1438" t="s">
        <v>4340</v>
      </c>
    </row>
    <row r="1439" spans="1:31" x14ac:dyDescent="0.25">
      <c r="A1439" t="s">
        <v>31</v>
      </c>
      <c r="C1439" t="s">
        <v>4801</v>
      </c>
      <c r="D1439" t="s">
        <v>4955</v>
      </c>
      <c r="E1439" t="s">
        <v>34</v>
      </c>
      <c r="F1439" t="s">
        <v>35</v>
      </c>
      <c r="G1439">
        <v>2004</v>
      </c>
      <c r="H1439" t="s">
        <v>36</v>
      </c>
      <c r="I1439" t="s">
        <v>4956</v>
      </c>
      <c r="J1439" t="s">
        <v>31</v>
      </c>
      <c r="K1439" t="s">
        <v>38</v>
      </c>
      <c r="L1439" t="s">
        <v>172</v>
      </c>
      <c r="M1439" t="s">
        <v>173</v>
      </c>
      <c r="N1439" t="s">
        <v>780</v>
      </c>
      <c r="O1439" t="s">
        <v>781</v>
      </c>
      <c r="P1439" t="s">
        <v>4257</v>
      </c>
      <c r="T1439">
        <v>37.364204000000001</v>
      </c>
      <c r="U1439">
        <v>-121.958744</v>
      </c>
      <c r="V1439">
        <f>SUM(W1439:X1439)+(Y1439*0.8)+(Z1439*0.4)</f>
        <v>1.8</v>
      </c>
      <c r="W1439">
        <v>1.8</v>
      </c>
      <c r="X1439">
        <v>0</v>
      </c>
      <c r="Y1439">
        <v>0</v>
      </c>
      <c r="Z1439">
        <v>0</v>
      </c>
      <c r="AA1439" t="s">
        <v>43</v>
      </c>
      <c r="AB1439">
        <v>1.8</v>
      </c>
      <c r="AD1439" t="s">
        <v>4957</v>
      </c>
      <c r="AE1439" t="s">
        <v>4958</v>
      </c>
    </row>
    <row r="1440" spans="1:31" x14ac:dyDescent="0.25">
      <c r="A1440" t="s">
        <v>31</v>
      </c>
      <c r="C1440" t="s">
        <v>8365</v>
      </c>
      <c r="D1440" t="s">
        <v>8378</v>
      </c>
      <c r="E1440" t="s">
        <v>34</v>
      </c>
      <c r="F1440" t="s">
        <v>35</v>
      </c>
      <c r="G1440">
        <v>2003</v>
      </c>
      <c r="H1440" t="s">
        <v>36</v>
      </c>
      <c r="I1440" t="s">
        <v>8379</v>
      </c>
      <c r="J1440" t="s">
        <v>31</v>
      </c>
      <c r="K1440" t="s">
        <v>38</v>
      </c>
      <c r="L1440" t="s">
        <v>143</v>
      </c>
      <c r="M1440" t="s">
        <v>144</v>
      </c>
      <c r="N1440" t="s">
        <v>3891</v>
      </c>
      <c r="O1440" t="s">
        <v>2037</v>
      </c>
      <c r="P1440" t="s">
        <v>3892</v>
      </c>
      <c r="Q1440" t="s">
        <v>3893</v>
      </c>
      <c r="S1440" t="s">
        <v>3894</v>
      </c>
      <c r="T1440">
        <v>39.759614869000004</v>
      </c>
      <c r="U1440">
        <v>-86.170947538999997</v>
      </c>
      <c r="V1440">
        <f>SUM(W1440:X1440)+(Y1440*0.8)+(Z1440*0.4)</f>
        <v>1.8</v>
      </c>
      <c r="W1440">
        <v>1.8</v>
      </c>
      <c r="X1440">
        <v>0</v>
      </c>
      <c r="Y1440">
        <v>0</v>
      </c>
      <c r="Z1440">
        <v>0</v>
      </c>
      <c r="AA1440" t="s">
        <v>43</v>
      </c>
      <c r="AB1440">
        <v>0.6</v>
      </c>
      <c r="AD1440" t="s">
        <v>8380</v>
      </c>
      <c r="AE1440" t="s">
        <v>8381</v>
      </c>
    </row>
    <row r="1441" spans="1:31" x14ac:dyDescent="0.25">
      <c r="A1441" t="s">
        <v>31</v>
      </c>
      <c r="C1441" t="s">
        <v>3052</v>
      </c>
      <c r="D1441" t="s">
        <v>3120</v>
      </c>
      <c r="E1441" t="s">
        <v>34</v>
      </c>
      <c r="F1441" t="s">
        <v>35</v>
      </c>
      <c r="G1441">
        <v>2002</v>
      </c>
      <c r="H1441" t="s">
        <v>36</v>
      </c>
      <c r="I1441" t="s">
        <v>3121</v>
      </c>
      <c r="J1441" t="s">
        <v>31</v>
      </c>
      <c r="K1441" t="s">
        <v>38</v>
      </c>
      <c r="L1441" t="s">
        <v>202</v>
      </c>
      <c r="M1441" t="s">
        <v>203</v>
      </c>
      <c r="N1441" t="s">
        <v>397</v>
      </c>
      <c r="O1441" t="s">
        <v>3122</v>
      </c>
      <c r="P1441" t="s">
        <v>3123</v>
      </c>
      <c r="T1441">
        <v>25.797541856999999</v>
      </c>
      <c r="U1441">
        <v>-80.230057880000004</v>
      </c>
      <c r="V1441">
        <f>SUM(W1441:X1441)+(Y1441*0.8)+(Z1441*0.4)</f>
        <v>1.8</v>
      </c>
      <c r="W1441">
        <v>1.8</v>
      </c>
      <c r="X1441">
        <v>0</v>
      </c>
      <c r="Y1441">
        <v>0</v>
      </c>
      <c r="Z1441">
        <v>0</v>
      </c>
      <c r="AA1441" t="s">
        <v>43</v>
      </c>
      <c r="AB1441">
        <v>0.7</v>
      </c>
      <c r="AD1441" t="s">
        <v>3124</v>
      </c>
      <c r="AE1441" t="s">
        <v>3125</v>
      </c>
    </row>
    <row r="1442" spans="1:31" x14ac:dyDescent="0.25">
      <c r="A1442" t="s">
        <v>31</v>
      </c>
      <c r="C1442" t="s">
        <v>5543</v>
      </c>
      <c r="D1442" t="s">
        <v>5618</v>
      </c>
      <c r="E1442" t="s">
        <v>34</v>
      </c>
      <c r="F1442" t="s">
        <v>35</v>
      </c>
      <c r="G1442">
        <v>2001</v>
      </c>
      <c r="H1442" t="s">
        <v>36</v>
      </c>
      <c r="I1442" t="s">
        <v>5619</v>
      </c>
      <c r="J1442" t="s">
        <v>31</v>
      </c>
      <c r="K1442" t="s">
        <v>38</v>
      </c>
      <c r="L1442" t="s">
        <v>77</v>
      </c>
      <c r="M1442" t="s">
        <v>78</v>
      </c>
      <c r="N1442" t="s">
        <v>1358</v>
      </c>
      <c r="O1442" t="s">
        <v>1518</v>
      </c>
      <c r="P1442" t="s">
        <v>4917</v>
      </c>
      <c r="Q1442" t="s">
        <v>5620</v>
      </c>
      <c r="T1442">
        <v>40.427306000000002</v>
      </c>
      <c r="U1442">
        <v>-80.042365000000004</v>
      </c>
      <c r="V1442">
        <f>SUM(W1442:X1442)+(Y1442*0.8)+(Z1442*0.4)</f>
        <v>1.8</v>
      </c>
      <c r="W1442">
        <v>1.8</v>
      </c>
      <c r="X1442">
        <v>0</v>
      </c>
      <c r="Y1442">
        <v>0</v>
      </c>
      <c r="Z1442">
        <v>0</v>
      </c>
      <c r="AA1442" t="s">
        <v>43</v>
      </c>
      <c r="AB1442">
        <v>1.7</v>
      </c>
      <c r="AD1442" t="s">
        <v>5621</v>
      </c>
      <c r="AE1442" t="s">
        <v>5622</v>
      </c>
    </row>
    <row r="1443" spans="1:31" x14ac:dyDescent="0.25">
      <c r="A1443" t="s">
        <v>31</v>
      </c>
      <c r="C1443" t="s">
        <v>3052</v>
      </c>
      <c r="D1443" t="s">
        <v>3137</v>
      </c>
      <c r="E1443" t="s">
        <v>34</v>
      </c>
      <c r="F1443" t="s">
        <v>35</v>
      </c>
      <c r="G1443">
        <v>1990</v>
      </c>
      <c r="H1443" t="s">
        <v>36</v>
      </c>
      <c r="I1443" t="s">
        <v>3138</v>
      </c>
      <c r="J1443" t="s">
        <v>31</v>
      </c>
      <c r="K1443" t="s">
        <v>38</v>
      </c>
      <c r="L1443" t="s">
        <v>202</v>
      </c>
      <c r="M1443" t="s">
        <v>203</v>
      </c>
      <c r="N1443" t="s">
        <v>433</v>
      </c>
      <c r="O1443" t="s">
        <v>3139</v>
      </c>
      <c r="P1443" t="s">
        <v>3140</v>
      </c>
      <c r="T1443">
        <v>28.427160623999999</v>
      </c>
      <c r="U1443">
        <v>-81.419885331000003</v>
      </c>
      <c r="V1443">
        <f>SUM(W1443:X1443)+(Y1443*0.8)+(Z1443*0.4)</f>
        <v>1.8</v>
      </c>
      <c r="W1443">
        <v>1.8</v>
      </c>
      <c r="X1443">
        <v>0</v>
      </c>
      <c r="Y1443">
        <v>0</v>
      </c>
      <c r="Z1443">
        <v>0</v>
      </c>
      <c r="AA1443" t="s">
        <v>43</v>
      </c>
      <c r="AB1443">
        <v>1.2</v>
      </c>
      <c r="AD1443" t="s">
        <v>3141</v>
      </c>
      <c r="AE1443" t="s">
        <v>3142</v>
      </c>
    </row>
    <row r="1444" spans="1:31" x14ac:dyDescent="0.25">
      <c r="A1444" t="s">
        <v>31</v>
      </c>
      <c r="C1444" t="s">
        <v>3710</v>
      </c>
      <c r="D1444" t="s">
        <v>3868</v>
      </c>
      <c r="E1444" t="s">
        <v>34</v>
      </c>
      <c r="F1444" t="s">
        <v>35</v>
      </c>
      <c r="G1444">
        <v>2017</v>
      </c>
      <c r="H1444" t="s">
        <v>36</v>
      </c>
      <c r="I1444" t="s">
        <v>3869</v>
      </c>
      <c r="J1444" t="s">
        <v>31</v>
      </c>
      <c r="K1444" t="s">
        <v>38</v>
      </c>
      <c r="L1444" t="s">
        <v>172</v>
      </c>
      <c r="M1444" t="s">
        <v>173</v>
      </c>
      <c r="N1444" t="s">
        <v>493</v>
      </c>
      <c r="O1444" t="s">
        <v>494</v>
      </c>
      <c r="P1444" t="s">
        <v>495</v>
      </c>
      <c r="Q1444" t="s">
        <v>3102</v>
      </c>
      <c r="S1444" t="s">
        <v>138</v>
      </c>
      <c r="T1444">
        <v>34.047951750000003</v>
      </c>
      <c r="U1444">
        <v>-118.255451749</v>
      </c>
      <c r="V1444">
        <f>SUM(W1444:X1444)+(Y1444*0.8)+(Z1444*0.4)</f>
        <v>1.784</v>
      </c>
      <c r="W1444">
        <v>1.784</v>
      </c>
      <c r="X1444">
        <v>0</v>
      </c>
      <c r="Y1444">
        <v>0</v>
      </c>
      <c r="Z1444">
        <v>0</v>
      </c>
      <c r="AA1444" t="s">
        <v>43</v>
      </c>
      <c r="AB1444">
        <v>1.68</v>
      </c>
      <c r="AD1444" t="s">
        <v>3870</v>
      </c>
      <c r="AE1444" t="s">
        <v>3871</v>
      </c>
    </row>
    <row r="1445" spans="1:31" x14ac:dyDescent="0.25">
      <c r="A1445" t="s">
        <v>31</v>
      </c>
      <c r="C1445" t="s">
        <v>64</v>
      </c>
      <c r="D1445" t="s">
        <v>141</v>
      </c>
      <c r="E1445" t="s">
        <v>34</v>
      </c>
      <c r="F1445" t="s">
        <v>35</v>
      </c>
      <c r="G1445">
        <v>2000</v>
      </c>
      <c r="H1445" t="s">
        <v>36</v>
      </c>
      <c r="I1445" t="s">
        <v>142</v>
      </c>
      <c r="J1445" t="s">
        <v>31</v>
      </c>
      <c r="K1445" t="s">
        <v>38</v>
      </c>
      <c r="L1445" t="s">
        <v>143</v>
      </c>
      <c r="M1445" t="s">
        <v>144</v>
      </c>
      <c r="N1445" t="s">
        <v>145</v>
      </c>
      <c r="O1445" t="s">
        <v>146</v>
      </c>
      <c r="P1445" t="s">
        <v>147</v>
      </c>
      <c r="T1445">
        <v>41.669335898</v>
      </c>
      <c r="U1445">
        <v>-86.255984971000004</v>
      </c>
      <c r="V1445">
        <f>SUM(W1445:X1445)+(Y1445*0.8)+(Z1445*0.4)</f>
        <v>1.7800000000000002</v>
      </c>
      <c r="W1445">
        <v>0.5</v>
      </c>
      <c r="X1445">
        <v>0</v>
      </c>
      <c r="Y1445">
        <v>1.6</v>
      </c>
      <c r="Z1445">
        <v>0</v>
      </c>
      <c r="AA1445" t="s">
        <v>43</v>
      </c>
      <c r="AB1445">
        <v>0.5</v>
      </c>
      <c r="AD1445" t="s">
        <v>148</v>
      </c>
      <c r="AE1445" t="s">
        <v>149</v>
      </c>
    </row>
    <row r="1446" spans="1:31" x14ac:dyDescent="0.25">
      <c r="A1446" t="s">
        <v>31</v>
      </c>
      <c r="C1446" t="s">
        <v>4148</v>
      </c>
      <c r="D1446" t="s">
        <v>4160</v>
      </c>
      <c r="E1446" t="s">
        <v>34</v>
      </c>
      <c r="F1446" t="s">
        <v>35</v>
      </c>
      <c r="G1446">
        <v>2007</v>
      </c>
      <c r="H1446" t="s">
        <v>36</v>
      </c>
      <c r="I1446" t="s">
        <v>4161</v>
      </c>
      <c r="J1446" t="s">
        <v>31</v>
      </c>
      <c r="K1446" t="s">
        <v>38</v>
      </c>
      <c r="L1446" t="s">
        <v>843</v>
      </c>
      <c r="M1446" t="s">
        <v>1644</v>
      </c>
      <c r="N1446" t="s">
        <v>2239</v>
      </c>
      <c r="O1446" t="s">
        <v>2240</v>
      </c>
      <c r="P1446" t="s">
        <v>2241</v>
      </c>
      <c r="T1446">
        <v>47.822524909999998</v>
      </c>
      <c r="U1446">
        <v>-122.28933286100001</v>
      </c>
      <c r="V1446">
        <f>SUM(W1446:X1446)+(Y1446*0.8)+(Z1446*0.4)</f>
        <v>1.77</v>
      </c>
      <c r="W1446">
        <v>1.77</v>
      </c>
      <c r="X1446">
        <v>0</v>
      </c>
      <c r="Y1446">
        <v>0</v>
      </c>
      <c r="Z1446">
        <v>0</v>
      </c>
      <c r="AA1446" t="s">
        <v>43</v>
      </c>
      <c r="AB1446">
        <v>1.77</v>
      </c>
      <c r="AD1446" t="s">
        <v>4162</v>
      </c>
      <c r="AE1446" t="s">
        <v>4163</v>
      </c>
    </row>
    <row r="1447" spans="1:31" x14ac:dyDescent="0.25">
      <c r="A1447" t="s">
        <v>31</v>
      </c>
      <c r="C1447" t="s">
        <v>4801</v>
      </c>
      <c r="D1447" t="s">
        <v>4981</v>
      </c>
      <c r="E1447" t="s">
        <v>34</v>
      </c>
      <c r="F1447" t="s">
        <v>35</v>
      </c>
      <c r="G1447">
        <v>2014</v>
      </c>
      <c r="H1447" t="s">
        <v>36</v>
      </c>
      <c r="I1447" t="s">
        <v>4982</v>
      </c>
      <c r="J1447" t="s">
        <v>31</v>
      </c>
      <c r="K1447" t="s">
        <v>38</v>
      </c>
      <c r="L1447" t="s">
        <v>1457</v>
      </c>
      <c r="M1447" t="s">
        <v>1458</v>
      </c>
      <c r="N1447" t="s">
        <v>319</v>
      </c>
      <c r="O1447" t="s">
        <v>2331</v>
      </c>
      <c r="P1447" t="s">
        <v>3905</v>
      </c>
      <c r="S1447" t="s">
        <v>4983</v>
      </c>
      <c r="T1447">
        <v>36.065345999999998</v>
      </c>
      <c r="U1447">
        <v>-115.13085100000001</v>
      </c>
      <c r="V1447">
        <f>SUM(W1447:X1447)+(Y1447*0.8)+(Z1447*0.4)</f>
        <v>1.75</v>
      </c>
      <c r="W1447">
        <v>0.75</v>
      </c>
      <c r="X1447">
        <v>1</v>
      </c>
      <c r="Y1447">
        <v>0</v>
      </c>
      <c r="Z1447">
        <v>0</v>
      </c>
      <c r="AA1447" t="s">
        <v>43</v>
      </c>
      <c r="AB1447">
        <v>1.25</v>
      </c>
      <c r="AD1447" t="s">
        <v>4984</v>
      </c>
      <c r="AE1447" t="s">
        <v>4985</v>
      </c>
    </row>
    <row r="1448" spans="1:31" x14ac:dyDescent="0.25">
      <c r="A1448" t="s">
        <v>31</v>
      </c>
      <c r="C1448" t="s">
        <v>6041</v>
      </c>
      <c r="D1448" t="s">
        <v>6042</v>
      </c>
      <c r="E1448" t="s">
        <v>362</v>
      </c>
      <c r="F1448" t="s">
        <v>1302</v>
      </c>
      <c r="G1448">
        <v>2011</v>
      </c>
      <c r="H1448" t="s">
        <v>36</v>
      </c>
      <c r="I1448" t="s">
        <v>6043</v>
      </c>
      <c r="J1448" t="s">
        <v>31</v>
      </c>
      <c r="K1448" t="s">
        <v>38</v>
      </c>
      <c r="L1448" t="s">
        <v>1918</v>
      </c>
      <c r="M1448" t="s">
        <v>1919</v>
      </c>
      <c r="N1448" t="s">
        <v>1885</v>
      </c>
      <c r="O1448" t="s">
        <v>1920</v>
      </c>
      <c r="P1448" t="s">
        <v>6044</v>
      </c>
      <c r="S1448" t="s">
        <v>6045</v>
      </c>
      <c r="T1448">
        <v>38.168455760000001</v>
      </c>
      <c r="U1448">
        <v>-85.648237366999993</v>
      </c>
      <c r="V1448">
        <f>SUM(W1448:X1448)+(Y1448*0.8)+(Z1448*0.4)</f>
        <v>1.75</v>
      </c>
      <c r="W1448">
        <v>1.35</v>
      </c>
      <c r="X1448">
        <v>0</v>
      </c>
      <c r="Y1448">
        <v>0.5</v>
      </c>
      <c r="Z1448">
        <v>0</v>
      </c>
      <c r="AA1448" t="s">
        <v>43</v>
      </c>
      <c r="AB1448">
        <v>1.85</v>
      </c>
      <c r="AD1448" t="s">
        <v>6046</v>
      </c>
      <c r="AE1448" t="s">
        <v>6047</v>
      </c>
    </row>
    <row r="1449" spans="1:31" x14ac:dyDescent="0.25">
      <c r="A1449" t="s">
        <v>31</v>
      </c>
      <c r="C1449" t="s">
        <v>10406</v>
      </c>
      <c r="D1449" t="s">
        <v>10449</v>
      </c>
      <c r="E1449" t="s">
        <v>34</v>
      </c>
      <c r="F1449" t="s">
        <v>35</v>
      </c>
      <c r="G1449">
        <v>2005</v>
      </c>
      <c r="H1449" t="s">
        <v>36</v>
      </c>
      <c r="I1449" t="s">
        <v>4217</v>
      </c>
      <c r="J1449" t="s">
        <v>31</v>
      </c>
      <c r="K1449" t="s">
        <v>38</v>
      </c>
      <c r="L1449" t="s">
        <v>383</v>
      </c>
      <c r="M1449" t="s">
        <v>384</v>
      </c>
      <c r="N1449" t="s">
        <v>2270</v>
      </c>
      <c r="O1449" t="s">
        <v>2271</v>
      </c>
      <c r="P1449" t="s">
        <v>2272</v>
      </c>
      <c r="S1449" t="s">
        <v>2273</v>
      </c>
      <c r="T1449">
        <v>35.222095603</v>
      </c>
      <c r="U1449">
        <v>-80.835288762999994</v>
      </c>
      <c r="V1449">
        <f>SUM(W1449:X1449)+(Y1449*0.8)+(Z1449*0.4)</f>
        <v>1.75</v>
      </c>
      <c r="W1449">
        <v>1.75</v>
      </c>
      <c r="X1449">
        <v>0</v>
      </c>
      <c r="Y1449">
        <v>0</v>
      </c>
      <c r="Z1449">
        <v>0</v>
      </c>
      <c r="AA1449" t="s">
        <v>43</v>
      </c>
      <c r="AB1449">
        <v>1.4</v>
      </c>
      <c r="AD1449" t="s">
        <v>10450</v>
      </c>
      <c r="AE1449" t="s">
        <v>10451</v>
      </c>
    </row>
    <row r="1450" spans="1:31" x14ac:dyDescent="0.25">
      <c r="A1450" t="s">
        <v>31</v>
      </c>
      <c r="C1450" t="s">
        <v>3052</v>
      </c>
      <c r="D1450" t="s">
        <v>3083</v>
      </c>
      <c r="E1450" t="s">
        <v>34</v>
      </c>
      <c r="F1450" t="s">
        <v>35</v>
      </c>
      <c r="G1450">
        <v>2002</v>
      </c>
      <c r="H1450" t="s">
        <v>36</v>
      </c>
      <c r="I1450" t="s">
        <v>3084</v>
      </c>
      <c r="J1450" t="s">
        <v>31</v>
      </c>
      <c r="K1450" t="s">
        <v>38</v>
      </c>
      <c r="L1450" t="s">
        <v>193</v>
      </c>
      <c r="M1450" t="s">
        <v>194</v>
      </c>
      <c r="O1450" t="s">
        <v>1343</v>
      </c>
      <c r="P1450" t="s">
        <v>3085</v>
      </c>
      <c r="Q1450" t="s">
        <v>3086</v>
      </c>
      <c r="T1450">
        <v>39.745623000000002</v>
      </c>
      <c r="U1450">
        <v>-104.99547699999999</v>
      </c>
      <c r="V1450">
        <f>SUM(W1450:X1450)+(Y1450*0.8)+(Z1450*0.4)</f>
        <v>1.75</v>
      </c>
      <c r="W1450">
        <v>1.75</v>
      </c>
      <c r="X1450">
        <v>0</v>
      </c>
      <c r="Y1450">
        <v>0</v>
      </c>
      <c r="Z1450">
        <v>0</v>
      </c>
      <c r="AA1450" t="s">
        <v>43</v>
      </c>
      <c r="AB1450">
        <v>1.34</v>
      </c>
      <c r="AD1450" t="s">
        <v>3087</v>
      </c>
      <c r="AE1450" t="s">
        <v>3088</v>
      </c>
    </row>
    <row r="1451" spans="1:31" x14ac:dyDescent="0.25">
      <c r="A1451" t="s">
        <v>31</v>
      </c>
      <c r="C1451" t="s">
        <v>7218</v>
      </c>
      <c r="D1451" t="s">
        <v>7248</v>
      </c>
      <c r="E1451" t="s">
        <v>362</v>
      </c>
      <c r="F1451" t="s">
        <v>1611</v>
      </c>
      <c r="G1451">
        <v>1999</v>
      </c>
      <c r="H1451" t="s">
        <v>36</v>
      </c>
      <c r="I1451" t="s">
        <v>7249</v>
      </c>
      <c r="J1451" t="s">
        <v>31</v>
      </c>
      <c r="K1451" t="s">
        <v>38</v>
      </c>
      <c r="L1451" t="s">
        <v>193</v>
      </c>
      <c r="M1451" t="s">
        <v>194</v>
      </c>
      <c r="O1451" t="s">
        <v>1343</v>
      </c>
      <c r="P1451" t="s">
        <v>3091</v>
      </c>
      <c r="Q1451" t="s">
        <v>3092</v>
      </c>
      <c r="T1451">
        <v>39.745712241</v>
      </c>
      <c r="U1451">
        <v>-104.979466184</v>
      </c>
      <c r="V1451">
        <f>SUM(W1451:X1451)+(Y1451*0.8)+(Z1451*0.4)</f>
        <v>1.75</v>
      </c>
      <c r="W1451">
        <v>1.75</v>
      </c>
      <c r="X1451">
        <v>0</v>
      </c>
      <c r="Y1451">
        <v>0</v>
      </c>
      <c r="Z1451">
        <v>0</v>
      </c>
      <c r="AA1451" t="s">
        <v>43</v>
      </c>
      <c r="AB1451">
        <v>1.75</v>
      </c>
      <c r="AD1451" t="s">
        <v>7250</v>
      </c>
      <c r="AE1451" t="s">
        <v>7251</v>
      </c>
    </row>
    <row r="1452" spans="1:31" x14ac:dyDescent="0.25">
      <c r="A1452" t="s">
        <v>31</v>
      </c>
      <c r="C1452" t="s">
        <v>5499</v>
      </c>
      <c r="D1452" t="s">
        <v>5522</v>
      </c>
      <c r="E1452" t="s">
        <v>34</v>
      </c>
      <c r="F1452" t="s">
        <v>35</v>
      </c>
      <c r="G1452">
        <v>1999</v>
      </c>
      <c r="H1452" t="s">
        <v>36</v>
      </c>
      <c r="I1452" t="s">
        <v>5523</v>
      </c>
      <c r="J1452" t="s">
        <v>31</v>
      </c>
      <c r="K1452" t="s">
        <v>38</v>
      </c>
      <c r="L1452" t="s">
        <v>843</v>
      </c>
      <c r="M1452" t="s">
        <v>1644</v>
      </c>
      <c r="N1452" t="s">
        <v>2232</v>
      </c>
      <c r="O1452" t="s">
        <v>4155</v>
      </c>
      <c r="P1452" t="s">
        <v>5524</v>
      </c>
      <c r="Q1452" t="s">
        <v>3677</v>
      </c>
      <c r="S1452" t="s">
        <v>4157</v>
      </c>
      <c r="T1452">
        <v>47.619563999999997</v>
      </c>
      <c r="U1452">
        <v>-122.348252</v>
      </c>
      <c r="V1452">
        <f>SUM(W1452:X1452)+(Y1452*0.8)+(Z1452*0.4)</f>
        <v>1.75</v>
      </c>
      <c r="W1452">
        <v>1.75</v>
      </c>
      <c r="X1452">
        <v>0</v>
      </c>
      <c r="Y1452">
        <v>0</v>
      </c>
      <c r="Z1452">
        <v>0</v>
      </c>
      <c r="AA1452" t="s">
        <v>43</v>
      </c>
      <c r="AB1452">
        <v>1.75</v>
      </c>
      <c r="AD1452" t="s">
        <v>5525</v>
      </c>
      <c r="AE1452" t="s">
        <v>5526</v>
      </c>
    </row>
    <row r="1453" spans="1:31" x14ac:dyDescent="0.25">
      <c r="A1453" t="s">
        <v>31</v>
      </c>
      <c r="C1453" t="s">
        <v>4801</v>
      </c>
      <c r="D1453" t="s">
        <v>4873</v>
      </c>
      <c r="E1453" t="s">
        <v>34</v>
      </c>
      <c r="F1453" t="s">
        <v>35</v>
      </c>
      <c r="G1453">
        <v>2015</v>
      </c>
      <c r="H1453" t="s">
        <v>36</v>
      </c>
      <c r="I1453" t="s">
        <v>4874</v>
      </c>
      <c r="J1453" t="s">
        <v>31</v>
      </c>
      <c r="K1453" t="s">
        <v>38</v>
      </c>
      <c r="L1453" t="s">
        <v>260</v>
      </c>
      <c r="M1453" t="s">
        <v>261</v>
      </c>
      <c r="N1453" t="s">
        <v>336</v>
      </c>
      <c r="O1453" t="s">
        <v>337</v>
      </c>
      <c r="P1453" t="s">
        <v>4875</v>
      </c>
      <c r="T1453">
        <v>35.039081531999997</v>
      </c>
      <c r="U1453">
        <v>-89.885640144000007</v>
      </c>
      <c r="V1453">
        <f>SUM(W1453:X1453)+(Y1453*0.8)+(Z1453*0.4)</f>
        <v>1.7000000000000002</v>
      </c>
      <c r="W1453">
        <v>0.5</v>
      </c>
      <c r="X1453">
        <v>0</v>
      </c>
      <c r="Y1453">
        <v>1.5</v>
      </c>
      <c r="Z1453">
        <v>0</v>
      </c>
      <c r="AA1453" t="s">
        <v>43</v>
      </c>
      <c r="AB1453">
        <v>0.37</v>
      </c>
      <c r="AD1453" t="s">
        <v>4876</v>
      </c>
      <c r="AE1453" t="s">
        <v>4877</v>
      </c>
    </row>
    <row r="1454" spans="1:31" x14ac:dyDescent="0.25">
      <c r="A1454" t="s">
        <v>31</v>
      </c>
      <c r="C1454" t="s">
        <v>4801</v>
      </c>
      <c r="D1454" t="s">
        <v>4942</v>
      </c>
      <c r="E1454" t="s">
        <v>34</v>
      </c>
      <c r="F1454" t="s">
        <v>35</v>
      </c>
      <c r="G1454">
        <v>2014</v>
      </c>
      <c r="H1454" t="s">
        <v>36</v>
      </c>
      <c r="I1454" t="s">
        <v>4943</v>
      </c>
      <c r="J1454" t="s">
        <v>31</v>
      </c>
      <c r="K1454" t="s">
        <v>38</v>
      </c>
      <c r="L1454" t="s">
        <v>620</v>
      </c>
      <c r="M1454" t="s">
        <v>621</v>
      </c>
      <c r="N1454" t="s">
        <v>622</v>
      </c>
      <c r="O1454" t="s">
        <v>4944</v>
      </c>
      <c r="P1454" t="s">
        <v>4945</v>
      </c>
      <c r="T1454">
        <v>40.720903999999997</v>
      </c>
      <c r="U1454">
        <v>-111.984981</v>
      </c>
      <c r="V1454">
        <f>SUM(W1454:X1454)+(Y1454*0.8)+(Z1454*0.4)</f>
        <v>1.7000000000000002</v>
      </c>
      <c r="W1454">
        <v>0.5</v>
      </c>
      <c r="X1454">
        <v>0</v>
      </c>
      <c r="Y1454">
        <v>1.5</v>
      </c>
      <c r="Z1454">
        <v>0</v>
      </c>
      <c r="AA1454" t="s">
        <v>43</v>
      </c>
      <c r="AB1454">
        <v>0.41</v>
      </c>
      <c r="AD1454" t="s">
        <v>4946</v>
      </c>
      <c r="AE1454" t="s">
        <v>4947</v>
      </c>
    </row>
    <row r="1455" spans="1:31" x14ac:dyDescent="0.25">
      <c r="A1455" t="s">
        <v>31</v>
      </c>
      <c r="C1455" t="s">
        <v>3849</v>
      </c>
      <c r="D1455" t="s">
        <v>4305</v>
      </c>
      <c r="E1455" t="s">
        <v>34</v>
      </c>
      <c r="F1455" t="s">
        <v>35</v>
      </c>
      <c r="G1455">
        <v>2019</v>
      </c>
      <c r="H1455" t="s">
        <v>36</v>
      </c>
      <c r="I1455" t="s">
        <v>4306</v>
      </c>
      <c r="J1455" t="s">
        <v>31</v>
      </c>
      <c r="K1455" t="s">
        <v>38</v>
      </c>
      <c r="L1455" t="s">
        <v>172</v>
      </c>
      <c r="M1455" t="s">
        <v>173</v>
      </c>
      <c r="N1455" t="s">
        <v>493</v>
      </c>
      <c r="O1455" t="s">
        <v>4307</v>
      </c>
      <c r="P1455" t="s">
        <v>4308</v>
      </c>
      <c r="S1455" t="s">
        <v>4309</v>
      </c>
      <c r="T1455">
        <v>34.199761000000002</v>
      </c>
      <c r="U1455">
        <v>-118.343863</v>
      </c>
      <c r="V1455">
        <f>SUM(W1455:X1455)+(Y1455*0.8)+(Z1455*0.4)</f>
        <v>1.7</v>
      </c>
      <c r="W1455">
        <v>1.7</v>
      </c>
      <c r="X1455">
        <v>0</v>
      </c>
      <c r="Y1455">
        <v>0</v>
      </c>
      <c r="Z1455">
        <v>0</v>
      </c>
      <c r="AA1455" t="s">
        <v>43</v>
      </c>
      <c r="AB1455">
        <v>1.7</v>
      </c>
      <c r="AD1455" t="s">
        <v>4310</v>
      </c>
      <c r="AE1455" t="s">
        <v>4311</v>
      </c>
    </row>
    <row r="1456" spans="1:31" x14ac:dyDescent="0.25">
      <c r="A1456" t="s">
        <v>31</v>
      </c>
      <c r="C1456" t="s">
        <v>2911</v>
      </c>
      <c r="D1456" t="s">
        <v>1304</v>
      </c>
      <c r="E1456" t="s">
        <v>362</v>
      </c>
      <c r="F1456" t="s">
        <v>381</v>
      </c>
      <c r="G1456">
        <v>2014</v>
      </c>
      <c r="H1456" t="s">
        <v>36</v>
      </c>
      <c r="I1456" t="s">
        <v>2912</v>
      </c>
      <c r="J1456" t="s">
        <v>31</v>
      </c>
      <c r="K1456" t="s">
        <v>38</v>
      </c>
      <c r="L1456" t="s">
        <v>317</v>
      </c>
      <c r="M1456" t="s">
        <v>318</v>
      </c>
      <c r="N1456" t="s">
        <v>665</v>
      </c>
      <c r="O1456" t="s">
        <v>1304</v>
      </c>
      <c r="P1456" t="s">
        <v>1305</v>
      </c>
      <c r="Q1456" t="s">
        <v>1178</v>
      </c>
      <c r="T1456">
        <v>40.104554174</v>
      </c>
      <c r="U1456">
        <v>-82.805235322000001</v>
      </c>
      <c r="V1456">
        <f>SUM(W1456:X1456)+(Y1456*0.8)+(Z1456*0.4)</f>
        <v>1.7</v>
      </c>
      <c r="W1456">
        <v>1.7</v>
      </c>
      <c r="X1456">
        <v>0</v>
      </c>
      <c r="Y1456">
        <v>0</v>
      </c>
      <c r="Z1456">
        <v>0</v>
      </c>
      <c r="AA1456" t="s">
        <v>43</v>
      </c>
      <c r="AB1456">
        <v>1.7</v>
      </c>
      <c r="AD1456" t="s">
        <v>2913</v>
      </c>
      <c r="AE1456" t="s">
        <v>2914</v>
      </c>
    </row>
    <row r="1457" spans="1:31" x14ac:dyDescent="0.25">
      <c r="A1457" t="s">
        <v>31</v>
      </c>
      <c r="B1457" t="s">
        <v>11350</v>
      </c>
      <c r="C1457" t="s">
        <v>647</v>
      </c>
      <c r="D1457" t="s">
        <v>1049</v>
      </c>
      <c r="E1457" t="s">
        <v>362</v>
      </c>
      <c r="F1457" t="s">
        <v>649</v>
      </c>
      <c r="G1457">
        <v>2014</v>
      </c>
      <c r="H1457" t="s">
        <v>36</v>
      </c>
      <c r="I1457" t="s">
        <v>1050</v>
      </c>
      <c r="J1457" t="s">
        <v>31</v>
      </c>
      <c r="K1457" t="s">
        <v>38</v>
      </c>
      <c r="L1457" t="s">
        <v>242</v>
      </c>
      <c r="M1457" t="s">
        <v>243</v>
      </c>
      <c r="N1457" t="s">
        <v>405</v>
      </c>
      <c r="O1457" t="s">
        <v>526</v>
      </c>
      <c r="P1457" t="s">
        <v>527</v>
      </c>
      <c r="T1457">
        <v>39.021745211999999</v>
      </c>
      <c r="U1457">
        <v>-77.434766245000006</v>
      </c>
      <c r="V1457">
        <f>SUM(W1457:X1457)+(Y1457*0.8)+(Z1457*0.4)</f>
        <v>1.7</v>
      </c>
      <c r="W1457">
        <v>1.7</v>
      </c>
      <c r="X1457">
        <v>0</v>
      </c>
      <c r="Y1457">
        <v>0</v>
      </c>
      <c r="Z1457">
        <v>0</v>
      </c>
      <c r="AA1457" t="s">
        <v>43</v>
      </c>
      <c r="AB1457">
        <v>1.7</v>
      </c>
      <c r="AD1457" t="s">
        <v>1051</v>
      </c>
      <c r="AE1457" t="s">
        <v>1052</v>
      </c>
    </row>
    <row r="1458" spans="1:31" x14ac:dyDescent="0.25">
      <c r="A1458" t="s">
        <v>31</v>
      </c>
      <c r="C1458" t="s">
        <v>1704</v>
      </c>
      <c r="D1458" t="s">
        <v>1705</v>
      </c>
      <c r="E1458" t="s">
        <v>362</v>
      </c>
      <c r="F1458" t="s">
        <v>381</v>
      </c>
      <c r="G1458">
        <v>2012</v>
      </c>
      <c r="H1458" t="s">
        <v>36</v>
      </c>
      <c r="I1458" t="s">
        <v>1706</v>
      </c>
      <c r="J1458" t="s">
        <v>31</v>
      </c>
      <c r="K1458" t="s">
        <v>38</v>
      </c>
      <c r="L1458" t="s">
        <v>143</v>
      </c>
      <c r="M1458" t="s">
        <v>144</v>
      </c>
      <c r="N1458" t="s">
        <v>906</v>
      </c>
      <c r="O1458" t="s">
        <v>146</v>
      </c>
      <c r="P1458" t="s">
        <v>147</v>
      </c>
      <c r="Q1458" t="s">
        <v>897</v>
      </c>
      <c r="T1458">
        <v>41.659911627</v>
      </c>
      <c r="U1458">
        <v>-86.258276218000006</v>
      </c>
      <c r="V1458">
        <f>SUM(W1458:X1458)+(Y1458*0.8)+(Z1458*0.4)</f>
        <v>1.7</v>
      </c>
      <c r="W1458">
        <v>1.7</v>
      </c>
      <c r="X1458">
        <v>0</v>
      </c>
      <c r="Y1458">
        <v>0</v>
      </c>
      <c r="Z1458">
        <v>0</v>
      </c>
      <c r="AA1458" t="s">
        <v>43</v>
      </c>
      <c r="AB1458">
        <v>1.7</v>
      </c>
      <c r="AD1458" t="s">
        <v>1707</v>
      </c>
      <c r="AE1458" t="s">
        <v>1708</v>
      </c>
    </row>
    <row r="1459" spans="1:31" x14ac:dyDescent="0.25">
      <c r="A1459" t="s">
        <v>31</v>
      </c>
      <c r="C1459" t="s">
        <v>4148</v>
      </c>
      <c r="D1459" t="s">
        <v>4153</v>
      </c>
      <c r="E1459" t="s">
        <v>34</v>
      </c>
      <c r="F1459" t="s">
        <v>35</v>
      </c>
      <c r="G1459">
        <v>2003</v>
      </c>
      <c r="H1459" t="s">
        <v>36</v>
      </c>
      <c r="I1459" t="s">
        <v>4154</v>
      </c>
      <c r="J1459" t="s">
        <v>31</v>
      </c>
      <c r="K1459" t="s">
        <v>38</v>
      </c>
      <c r="L1459" t="s">
        <v>843</v>
      </c>
      <c r="M1459" t="s">
        <v>1644</v>
      </c>
      <c r="N1459" t="s">
        <v>2232</v>
      </c>
      <c r="O1459" t="s">
        <v>4155</v>
      </c>
      <c r="P1459" t="s">
        <v>4156</v>
      </c>
      <c r="Q1459" t="s">
        <v>3677</v>
      </c>
      <c r="S1459" t="s">
        <v>4157</v>
      </c>
      <c r="T1459">
        <v>47.617909589999996</v>
      </c>
      <c r="U1459">
        <v>-122.356530232</v>
      </c>
      <c r="V1459">
        <f>SUM(W1459:X1459)+(Y1459*0.8)+(Z1459*0.4)</f>
        <v>1.7</v>
      </c>
      <c r="W1459">
        <v>1.7</v>
      </c>
      <c r="X1459">
        <v>0</v>
      </c>
      <c r="Y1459">
        <v>0</v>
      </c>
      <c r="Z1459">
        <v>0</v>
      </c>
      <c r="AA1459" t="s">
        <v>43</v>
      </c>
      <c r="AB1459">
        <v>1.7</v>
      </c>
      <c r="AD1459" t="s">
        <v>4158</v>
      </c>
      <c r="AE1459" t="s">
        <v>4159</v>
      </c>
    </row>
    <row r="1460" spans="1:31" x14ac:dyDescent="0.25">
      <c r="A1460" t="s">
        <v>31</v>
      </c>
      <c r="C1460" t="s">
        <v>7531</v>
      </c>
      <c r="D1460" t="s">
        <v>7544</v>
      </c>
      <c r="E1460" t="s">
        <v>34</v>
      </c>
      <c r="F1460" t="s">
        <v>66</v>
      </c>
      <c r="G1460">
        <v>2011</v>
      </c>
      <c r="H1460" t="s">
        <v>36</v>
      </c>
      <c r="I1460" t="s">
        <v>7545</v>
      </c>
      <c r="J1460" t="s">
        <v>31</v>
      </c>
      <c r="K1460" t="s">
        <v>38</v>
      </c>
      <c r="L1460" t="s">
        <v>68</v>
      </c>
      <c r="M1460" t="s">
        <v>69</v>
      </c>
      <c r="N1460" t="s">
        <v>547</v>
      </c>
      <c r="O1460" t="s">
        <v>295</v>
      </c>
      <c r="P1460" t="s">
        <v>2474</v>
      </c>
      <c r="T1460">
        <v>33.000122300999998</v>
      </c>
      <c r="U1460">
        <v>-96.661659216999993</v>
      </c>
      <c r="V1460">
        <f>SUM(W1460:X1460)+(Y1460*0.8)+(Z1460*0.4)</f>
        <v>1.68</v>
      </c>
      <c r="W1460">
        <v>1.68</v>
      </c>
      <c r="X1460">
        <v>0</v>
      </c>
      <c r="Y1460">
        <v>0</v>
      </c>
      <c r="Z1460">
        <v>0</v>
      </c>
      <c r="AA1460" t="s">
        <v>43</v>
      </c>
      <c r="AB1460">
        <v>1.68</v>
      </c>
      <c r="AD1460" t="s">
        <v>7546</v>
      </c>
      <c r="AE1460" t="s">
        <v>7547</v>
      </c>
    </row>
    <row r="1461" spans="1:31" x14ac:dyDescent="0.25">
      <c r="A1461" t="s">
        <v>31</v>
      </c>
      <c r="C1461" t="s">
        <v>10280</v>
      </c>
      <c r="D1461" t="s">
        <v>10281</v>
      </c>
      <c r="E1461" t="s">
        <v>34</v>
      </c>
      <c r="F1461" t="s">
        <v>35</v>
      </c>
      <c r="G1461">
        <v>2011</v>
      </c>
      <c r="H1461" t="s">
        <v>36</v>
      </c>
      <c r="I1461" t="s">
        <v>10282</v>
      </c>
      <c r="J1461" t="s">
        <v>31</v>
      </c>
      <c r="K1461" t="s">
        <v>38</v>
      </c>
      <c r="L1461" t="s">
        <v>133</v>
      </c>
      <c r="M1461" t="s">
        <v>134</v>
      </c>
      <c r="N1461" t="s">
        <v>419</v>
      </c>
      <c r="O1461" t="s">
        <v>420</v>
      </c>
      <c r="P1461" t="s">
        <v>421</v>
      </c>
      <c r="S1461" t="s">
        <v>4334</v>
      </c>
      <c r="T1461">
        <v>45.546499502000003</v>
      </c>
      <c r="U1461">
        <v>-122.89370375599999</v>
      </c>
      <c r="V1461">
        <f>SUM(W1461:X1461)+(Y1461*0.8)+(Z1461*0.4)</f>
        <v>1.65</v>
      </c>
      <c r="W1461">
        <v>1.65</v>
      </c>
      <c r="X1461">
        <v>0</v>
      </c>
      <c r="Y1461">
        <v>0</v>
      </c>
      <c r="Z1461">
        <v>0</v>
      </c>
      <c r="AA1461" t="s">
        <v>43</v>
      </c>
      <c r="AB1461">
        <v>1.63</v>
      </c>
      <c r="AD1461" t="s">
        <v>10283</v>
      </c>
      <c r="AE1461" t="s">
        <v>10284</v>
      </c>
    </row>
    <row r="1462" spans="1:31" x14ac:dyDescent="0.25">
      <c r="A1462" t="s">
        <v>31</v>
      </c>
      <c r="C1462" t="s">
        <v>2700</v>
      </c>
      <c r="D1462" t="s">
        <v>2701</v>
      </c>
      <c r="E1462" t="s">
        <v>34</v>
      </c>
      <c r="F1462" t="s">
        <v>35</v>
      </c>
      <c r="G1462">
        <v>2012</v>
      </c>
      <c r="H1462" t="s">
        <v>36</v>
      </c>
      <c r="I1462" t="s">
        <v>2702</v>
      </c>
      <c r="J1462" t="s">
        <v>31</v>
      </c>
      <c r="K1462" t="s">
        <v>38</v>
      </c>
      <c r="L1462" t="s">
        <v>123</v>
      </c>
      <c r="M1462" t="s">
        <v>124</v>
      </c>
      <c r="N1462" t="s">
        <v>217</v>
      </c>
      <c r="O1462" t="s">
        <v>218</v>
      </c>
      <c r="P1462" t="s">
        <v>219</v>
      </c>
      <c r="Q1462" t="s">
        <v>2703</v>
      </c>
      <c r="T1462">
        <v>42.892992298999999</v>
      </c>
      <c r="U1462">
        <v>-78.875256273000005</v>
      </c>
      <c r="V1462">
        <f>SUM(W1462:X1462)+(Y1462*0.8)+(Z1462*0.4)</f>
        <v>1.64</v>
      </c>
      <c r="W1462">
        <v>1.44</v>
      </c>
      <c r="X1462">
        <v>0</v>
      </c>
      <c r="Y1462">
        <v>0.25</v>
      </c>
      <c r="Z1462">
        <v>0</v>
      </c>
      <c r="AA1462" t="s">
        <v>43</v>
      </c>
      <c r="AB1462">
        <v>1.41</v>
      </c>
      <c r="AD1462" t="s">
        <v>2704</v>
      </c>
      <c r="AE1462" t="s">
        <v>2705</v>
      </c>
    </row>
    <row r="1463" spans="1:31" x14ac:dyDescent="0.25">
      <c r="A1463" t="s">
        <v>31</v>
      </c>
      <c r="C1463" t="s">
        <v>8768</v>
      </c>
      <c r="D1463" t="s">
        <v>8769</v>
      </c>
      <c r="E1463" t="s">
        <v>362</v>
      </c>
      <c r="F1463" t="s">
        <v>649</v>
      </c>
      <c r="G1463">
        <v>2018</v>
      </c>
      <c r="H1463" t="s">
        <v>36</v>
      </c>
      <c r="I1463" t="s">
        <v>8770</v>
      </c>
      <c r="J1463" t="s">
        <v>31</v>
      </c>
      <c r="K1463" t="s">
        <v>38</v>
      </c>
      <c r="L1463" t="s">
        <v>133</v>
      </c>
      <c r="M1463" t="s">
        <v>134</v>
      </c>
      <c r="N1463" t="s">
        <v>419</v>
      </c>
      <c r="O1463" t="s">
        <v>420</v>
      </c>
      <c r="P1463" t="s">
        <v>421</v>
      </c>
      <c r="T1463">
        <v>45.533710606</v>
      </c>
      <c r="U1463">
        <v>-122.955958315</v>
      </c>
      <c r="V1463">
        <f>SUM(W1463:X1463)+(Y1463*0.8)+(Z1463*0.4)</f>
        <v>1.6</v>
      </c>
      <c r="W1463">
        <v>1.6</v>
      </c>
      <c r="X1463">
        <v>0</v>
      </c>
      <c r="Y1463">
        <v>0</v>
      </c>
      <c r="Z1463">
        <v>0</v>
      </c>
      <c r="AA1463" t="s">
        <v>43</v>
      </c>
      <c r="AB1463">
        <v>1.6</v>
      </c>
      <c r="AD1463" t="s">
        <v>8771</v>
      </c>
      <c r="AE1463" t="s">
        <v>8772</v>
      </c>
    </row>
    <row r="1464" spans="1:31" x14ac:dyDescent="0.25">
      <c r="A1464" t="s">
        <v>31</v>
      </c>
      <c r="C1464" t="s">
        <v>3849</v>
      </c>
      <c r="D1464" t="s">
        <v>4287</v>
      </c>
      <c r="E1464" t="s">
        <v>34</v>
      </c>
      <c r="F1464" t="s">
        <v>35</v>
      </c>
      <c r="G1464">
        <v>2017</v>
      </c>
      <c r="H1464" t="s">
        <v>36</v>
      </c>
      <c r="I1464" t="s">
        <v>4288</v>
      </c>
      <c r="J1464" t="s">
        <v>31</v>
      </c>
      <c r="K1464" t="s">
        <v>38</v>
      </c>
      <c r="L1464" t="s">
        <v>185</v>
      </c>
      <c r="M1464" t="s">
        <v>186</v>
      </c>
      <c r="N1464" t="s">
        <v>187</v>
      </c>
      <c r="O1464" t="s">
        <v>1606</v>
      </c>
      <c r="P1464" t="s">
        <v>4289</v>
      </c>
      <c r="Q1464" t="s">
        <v>4290</v>
      </c>
      <c r="T1464">
        <v>33.761704334000001</v>
      </c>
      <c r="U1464">
        <v>-84.391314430999998</v>
      </c>
      <c r="V1464">
        <f>SUM(W1464:X1464)+(Y1464*0.8)+(Z1464*0.4)</f>
        <v>1.6</v>
      </c>
      <c r="W1464">
        <v>1.6</v>
      </c>
      <c r="X1464">
        <v>0</v>
      </c>
      <c r="Y1464">
        <v>0</v>
      </c>
      <c r="Z1464">
        <v>0</v>
      </c>
      <c r="AA1464" t="s">
        <v>43</v>
      </c>
      <c r="AB1464">
        <v>1.502</v>
      </c>
      <c r="AD1464" t="s">
        <v>4291</v>
      </c>
      <c r="AE1464" t="s">
        <v>4292</v>
      </c>
    </row>
    <row r="1465" spans="1:31" x14ac:dyDescent="0.25">
      <c r="A1465" t="s">
        <v>31</v>
      </c>
      <c r="C1465" t="s">
        <v>8667</v>
      </c>
      <c r="D1465" t="s">
        <v>8668</v>
      </c>
      <c r="E1465" t="s">
        <v>34</v>
      </c>
      <c r="F1465" t="s">
        <v>76</v>
      </c>
      <c r="G1465">
        <v>2013</v>
      </c>
      <c r="H1465" t="s">
        <v>36</v>
      </c>
      <c r="I1465" t="s">
        <v>8669</v>
      </c>
      <c r="J1465" t="s">
        <v>31</v>
      </c>
      <c r="K1465" t="s">
        <v>38</v>
      </c>
      <c r="L1465" t="s">
        <v>202</v>
      </c>
      <c r="M1465" t="s">
        <v>203</v>
      </c>
      <c r="N1465" t="s">
        <v>309</v>
      </c>
      <c r="O1465" t="s">
        <v>310</v>
      </c>
      <c r="P1465" t="s">
        <v>311</v>
      </c>
      <c r="S1465" t="s">
        <v>8670</v>
      </c>
      <c r="T1465">
        <v>27.950363639999999</v>
      </c>
      <c r="U1465">
        <v>-82.456489817999994</v>
      </c>
      <c r="V1465">
        <f>SUM(W1465:X1465)+(Y1465*0.8)+(Z1465*0.4)</f>
        <v>1.6</v>
      </c>
      <c r="W1465">
        <v>1.6</v>
      </c>
      <c r="X1465">
        <v>0</v>
      </c>
      <c r="Y1465">
        <v>0</v>
      </c>
      <c r="Z1465">
        <v>0</v>
      </c>
      <c r="AA1465" t="s">
        <v>43</v>
      </c>
      <c r="AB1465">
        <v>0.48</v>
      </c>
      <c r="AD1465" t="s">
        <v>8671</v>
      </c>
      <c r="AE1465" t="s">
        <v>8672</v>
      </c>
    </row>
    <row r="1466" spans="1:31" x14ac:dyDescent="0.25">
      <c r="A1466" t="s">
        <v>31</v>
      </c>
      <c r="C1466" t="s">
        <v>3543</v>
      </c>
      <c r="D1466" t="s">
        <v>1718</v>
      </c>
      <c r="E1466" t="s">
        <v>34</v>
      </c>
      <c r="F1466" t="s">
        <v>35</v>
      </c>
      <c r="G1466">
        <v>2011</v>
      </c>
      <c r="H1466" t="s">
        <v>36</v>
      </c>
      <c r="I1466" t="s">
        <v>3544</v>
      </c>
      <c r="J1466" t="s">
        <v>31</v>
      </c>
      <c r="K1466" t="s">
        <v>38</v>
      </c>
      <c r="L1466" t="s">
        <v>353</v>
      </c>
      <c r="M1466" t="s">
        <v>354</v>
      </c>
      <c r="N1466" t="s">
        <v>1720</v>
      </c>
      <c r="O1466" t="s">
        <v>1718</v>
      </c>
      <c r="P1466" t="s">
        <v>3545</v>
      </c>
      <c r="Q1466" t="s">
        <v>1718</v>
      </c>
      <c r="T1466">
        <v>46.852113252999999</v>
      </c>
      <c r="U1466">
        <v>-100.78175187399999</v>
      </c>
      <c r="V1466">
        <f>SUM(W1466:X1466)+(Y1466*0.8)+(Z1466*0.4)</f>
        <v>1.6</v>
      </c>
      <c r="W1466">
        <v>1.6</v>
      </c>
      <c r="X1466">
        <v>0</v>
      </c>
      <c r="Y1466">
        <v>0</v>
      </c>
      <c r="Z1466">
        <v>0</v>
      </c>
      <c r="AA1466" t="s">
        <v>43</v>
      </c>
      <c r="AB1466">
        <v>1.6</v>
      </c>
      <c r="AD1466" t="s">
        <v>3546</v>
      </c>
      <c r="AE1466" t="s">
        <v>3547</v>
      </c>
    </row>
    <row r="1467" spans="1:31" x14ac:dyDescent="0.25">
      <c r="A1467" t="s">
        <v>31</v>
      </c>
      <c r="C1467" t="s">
        <v>10406</v>
      </c>
      <c r="D1467" t="s">
        <v>10438</v>
      </c>
      <c r="E1467" t="s">
        <v>34</v>
      </c>
      <c r="F1467" t="s">
        <v>35</v>
      </c>
      <c r="G1467">
        <v>2010</v>
      </c>
      <c r="H1467" t="s">
        <v>36</v>
      </c>
      <c r="I1467" t="s">
        <v>10439</v>
      </c>
      <c r="J1467" t="s">
        <v>31</v>
      </c>
      <c r="K1467" t="s">
        <v>38</v>
      </c>
      <c r="L1467" t="s">
        <v>77</v>
      </c>
      <c r="M1467" t="s">
        <v>78</v>
      </c>
      <c r="N1467" t="s">
        <v>10440</v>
      </c>
      <c r="O1467" t="s">
        <v>10441</v>
      </c>
      <c r="P1467" t="s">
        <v>10442</v>
      </c>
      <c r="Q1467" t="s">
        <v>2798</v>
      </c>
      <c r="T1467">
        <v>40.670053095999997</v>
      </c>
      <c r="U1467">
        <v>-75.374652885000003</v>
      </c>
      <c r="V1467">
        <f>SUM(W1467:X1467)+(Y1467*0.8)+(Z1467*0.4)</f>
        <v>1.6</v>
      </c>
      <c r="W1467">
        <v>1.6</v>
      </c>
      <c r="X1467">
        <v>0</v>
      </c>
      <c r="Y1467">
        <v>0</v>
      </c>
      <c r="Z1467">
        <v>0</v>
      </c>
      <c r="AA1467" t="s">
        <v>43</v>
      </c>
      <c r="AB1467">
        <v>1.46</v>
      </c>
      <c r="AD1467" t="s">
        <v>10443</v>
      </c>
      <c r="AE1467" t="s">
        <v>10444</v>
      </c>
    </row>
    <row r="1468" spans="1:31" x14ac:dyDescent="0.25">
      <c r="A1468" t="s">
        <v>31</v>
      </c>
      <c r="C1468" t="s">
        <v>5543</v>
      </c>
      <c r="D1468" t="s">
        <v>2894</v>
      </c>
      <c r="E1468" t="s">
        <v>34</v>
      </c>
      <c r="F1468" t="s">
        <v>35</v>
      </c>
      <c r="G1468">
        <v>2010</v>
      </c>
      <c r="H1468" t="s">
        <v>36</v>
      </c>
      <c r="I1468" t="s">
        <v>5573</v>
      </c>
      <c r="J1468" t="s">
        <v>31</v>
      </c>
      <c r="K1468" t="s">
        <v>38</v>
      </c>
      <c r="L1468" t="s">
        <v>112</v>
      </c>
      <c r="M1468" t="s">
        <v>113</v>
      </c>
      <c r="N1468" t="s">
        <v>114</v>
      </c>
      <c r="O1468" t="s">
        <v>2894</v>
      </c>
      <c r="P1468" t="s">
        <v>5574</v>
      </c>
      <c r="S1468" t="s">
        <v>5575</v>
      </c>
      <c r="T1468">
        <v>42.863215429999997</v>
      </c>
      <c r="U1468">
        <v>-87.977755763000005</v>
      </c>
      <c r="V1468">
        <f>SUM(W1468:X1468)+(Y1468*0.8)+(Z1468*0.4)</f>
        <v>1.6</v>
      </c>
      <c r="W1468">
        <v>1.6</v>
      </c>
      <c r="X1468">
        <v>0</v>
      </c>
      <c r="Y1468">
        <v>0</v>
      </c>
      <c r="Z1468">
        <v>0</v>
      </c>
      <c r="AA1468" t="s">
        <v>43</v>
      </c>
      <c r="AB1468">
        <v>0.8</v>
      </c>
      <c r="AD1468" t="s">
        <v>5576</v>
      </c>
      <c r="AE1468" t="s">
        <v>5577</v>
      </c>
    </row>
    <row r="1469" spans="1:31" x14ac:dyDescent="0.25">
      <c r="A1469" t="s">
        <v>31</v>
      </c>
      <c r="C1469" t="s">
        <v>9458</v>
      </c>
      <c r="D1469" t="s">
        <v>9459</v>
      </c>
      <c r="E1469" t="s">
        <v>34</v>
      </c>
      <c r="F1469" t="s">
        <v>35</v>
      </c>
      <c r="G1469">
        <v>2006</v>
      </c>
      <c r="H1469" t="s">
        <v>36</v>
      </c>
      <c r="I1469" t="s">
        <v>9460</v>
      </c>
      <c r="J1469" t="s">
        <v>31</v>
      </c>
      <c r="K1469" t="s">
        <v>38</v>
      </c>
      <c r="L1469" t="s">
        <v>448</v>
      </c>
      <c r="M1469" t="s">
        <v>449</v>
      </c>
      <c r="N1469" t="s">
        <v>3641</v>
      </c>
      <c r="O1469" t="s">
        <v>5589</v>
      </c>
      <c r="P1469" t="s">
        <v>9461</v>
      </c>
      <c r="T1469">
        <v>39.194800465</v>
      </c>
      <c r="U1469">
        <v>-77.265460204999997</v>
      </c>
      <c r="V1469">
        <f>SUM(W1469:X1469)+(Y1469*0.8)+(Z1469*0.4)</f>
        <v>1.6</v>
      </c>
      <c r="W1469">
        <v>1.6</v>
      </c>
      <c r="X1469">
        <v>0</v>
      </c>
      <c r="Y1469">
        <v>0</v>
      </c>
      <c r="Z1469">
        <v>0</v>
      </c>
      <c r="AA1469" t="s">
        <v>43</v>
      </c>
      <c r="AB1469">
        <v>0</v>
      </c>
      <c r="AD1469" t="s">
        <v>9462</v>
      </c>
      <c r="AE1469" t="s">
        <v>9463</v>
      </c>
    </row>
    <row r="1470" spans="1:31" x14ac:dyDescent="0.25">
      <c r="A1470" t="s">
        <v>31</v>
      </c>
      <c r="C1470" t="s">
        <v>3052</v>
      </c>
      <c r="D1470" t="s">
        <v>1405</v>
      </c>
      <c r="E1470" t="s">
        <v>34</v>
      </c>
      <c r="F1470" t="s">
        <v>35</v>
      </c>
      <c r="G1470">
        <v>2005</v>
      </c>
      <c r="H1470" t="s">
        <v>36</v>
      </c>
      <c r="I1470" t="s">
        <v>3073</v>
      </c>
      <c r="J1470" t="s">
        <v>31</v>
      </c>
      <c r="K1470" t="s">
        <v>38</v>
      </c>
      <c r="L1470" t="s">
        <v>3074</v>
      </c>
      <c r="M1470" t="s">
        <v>3075</v>
      </c>
      <c r="N1470" t="s">
        <v>3074</v>
      </c>
      <c r="O1470" t="s">
        <v>843</v>
      </c>
      <c r="P1470" t="s">
        <v>3076</v>
      </c>
      <c r="S1470" t="s">
        <v>138</v>
      </c>
      <c r="T1470">
        <v>38.903054711999999</v>
      </c>
      <c r="U1470">
        <v>-77.029287445999998</v>
      </c>
      <c r="V1470">
        <f>SUM(W1470:X1470)+(Y1470*0.8)+(Z1470*0.4)</f>
        <v>1.6</v>
      </c>
      <c r="W1470">
        <v>1.6</v>
      </c>
      <c r="X1470">
        <v>0</v>
      </c>
      <c r="Y1470">
        <v>0</v>
      </c>
      <c r="Z1470">
        <v>0</v>
      </c>
      <c r="AA1470" t="s">
        <v>43</v>
      </c>
      <c r="AB1470">
        <v>1.5</v>
      </c>
      <c r="AC1470">
        <v>0</v>
      </c>
      <c r="AD1470" t="s">
        <v>3077</v>
      </c>
      <c r="AE1470" t="s">
        <v>3078</v>
      </c>
    </row>
    <row r="1471" spans="1:31" x14ac:dyDescent="0.25">
      <c r="A1471" t="s">
        <v>31</v>
      </c>
      <c r="C1471" t="s">
        <v>5765</v>
      </c>
      <c r="D1471" t="s">
        <v>5810</v>
      </c>
      <c r="E1471" t="s">
        <v>34</v>
      </c>
      <c r="F1471" t="s">
        <v>35</v>
      </c>
      <c r="G1471">
        <v>2003</v>
      </c>
      <c r="H1471" t="s">
        <v>36</v>
      </c>
      <c r="I1471" t="s">
        <v>5811</v>
      </c>
      <c r="J1471" t="s">
        <v>31</v>
      </c>
      <c r="K1471" t="s">
        <v>38</v>
      </c>
      <c r="L1471" t="s">
        <v>193</v>
      </c>
      <c r="M1471" t="s">
        <v>194</v>
      </c>
      <c r="N1471" t="s">
        <v>2858</v>
      </c>
      <c r="O1471" t="s">
        <v>2859</v>
      </c>
      <c r="P1471" t="s">
        <v>2129</v>
      </c>
      <c r="T1471">
        <v>39.594356994000002</v>
      </c>
      <c r="U1471">
        <v>-104.843154977</v>
      </c>
      <c r="V1471">
        <f>SUM(W1471:X1471)+(Y1471*0.8)+(Z1471*0.4)</f>
        <v>1.6</v>
      </c>
      <c r="W1471">
        <v>1.6</v>
      </c>
      <c r="X1471">
        <v>0</v>
      </c>
      <c r="Y1471">
        <v>0</v>
      </c>
      <c r="Z1471">
        <v>0</v>
      </c>
      <c r="AA1471" t="s">
        <v>43</v>
      </c>
      <c r="AB1471">
        <v>1.6</v>
      </c>
      <c r="AC1471">
        <v>1.8</v>
      </c>
      <c r="AD1471" t="s">
        <v>5812</v>
      </c>
      <c r="AE1471" t="s">
        <v>5813</v>
      </c>
    </row>
    <row r="1472" spans="1:31" x14ac:dyDescent="0.25">
      <c r="A1472" t="s">
        <v>31</v>
      </c>
      <c r="C1472" t="s">
        <v>5543</v>
      </c>
      <c r="D1472" t="s">
        <v>5559</v>
      </c>
      <c r="E1472" t="s">
        <v>34</v>
      </c>
      <c r="F1472" t="s">
        <v>35</v>
      </c>
      <c r="G1472">
        <v>1997</v>
      </c>
      <c r="H1472" t="s">
        <v>36</v>
      </c>
      <c r="I1472" t="s">
        <v>5560</v>
      </c>
      <c r="J1472" t="s">
        <v>31</v>
      </c>
      <c r="K1472" t="s">
        <v>38</v>
      </c>
      <c r="L1472" t="s">
        <v>317</v>
      </c>
      <c r="M1472" t="s">
        <v>318</v>
      </c>
      <c r="N1472" t="s">
        <v>665</v>
      </c>
      <c r="O1472" t="s">
        <v>5561</v>
      </c>
      <c r="P1472" t="s">
        <v>5562</v>
      </c>
      <c r="T1472">
        <v>40.057830000000003</v>
      </c>
      <c r="U1472">
        <v>-83.078376000000006</v>
      </c>
      <c r="V1472">
        <f>SUM(W1472:X1472)+(Y1472*0.8)+(Z1472*0.4)</f>
        <v>1.6</v>
      </c>
      <c r="W1472">
        <v>1.6</v>
      </c>
      <c r="X1472">
        <v>0</v>
      </c>
      <c r="Y1472">
        <v>0</v>
      </c>
      <c r="Z1472">
        <v>0</v>
      </c>
      <c r="AA1472" t="s">
        <v>43</v>
      </c>
      <c r="AB1472">
        <v>1.2</v>
      </c>
      <c r="AD1472" t="s">
        <v>5563</v>
      </c>
      <c r="AE1472" t="s">
        <v>5564</v>
      </c>
    </row>
    <row r="1473" spans="1:31" x14ac:dyDescent="0.25">
      <c r="A1473" t="s">
        <v>31</v>
      </c>
      <c r="C1473" t="s">
        <v>4801</v>
      </c>
      <c r="D1473" t="s">
        <v>4921</v>
      </c>
      <c r="E1473" t="s">
        <v>34</v>
      </c>
      <c r="F1473" t="s">
        <v>66</v>
      </c>
      <c r="G1473">
        <v>2015</v>
      </c>
      <c r="H1473" t="s">
        <v>36</v>
      </c>
      <c r="I1473" t="s">
        <v>4922</v>
      </c>
      <c r="J1473" t="s">
        <v>31</v>
      </c>
      <c r="K1473" t="s">
        <v>38</v>
      </c>
      <c r="L1473" t="s">
        <v>242</v>
      </c>
      <c r="M1473" t="s">
        <v>243</v>
      </c>
      <c r="N1473" t="s">
        <v>1796</v>
      </c>
      <c r="O1473" t="s">
        <v>4923</v>
      </c>
      <c r="P1473" t="s">
        <v>1798</v>
      </c>
      <c r="Q1473" t="s">
        <v>4924</v>
      </c>
      <c r="T1473">
        <v>37.638955000000003</v>
      </c>
      <c r="U1473">
        <v>-77.467681999999996</v>
      </c>
      <c r="V1473">
        <f>SUM(W1473:X1473)+(Y1473*0.8)+(Z1473*0.4)</f>
        <v>1.59</v>
      </c>
      <c r="W1473">
        <v>1.5</v>
      </c>
      <c r="X1473">
        <v>0</v>
      </c>
      <c r="Y1473">
        <v>0</v>
      </c>
      <c r="Z1473">
        <v>0.22500000000000001</v>
      </c>
      <c r="AA1473" t="s">
        <v>43</v>
      </c>
      <c r="AB1473">
        <v>1.33</v>
      </c>
      <c r="AD1473" t="s">
        <v>4925</v>
      </c>
      <c r="AE1473" t="s">
        <v>4926</v>
      </c>
    </row>
    <row r="1474" spans="1:31" x14ac:dyDescent="0.25">
      <c r="A1474" t="s">
        <v>31</v>
      </c>
      <c r="C1474" t="s">
        <v>7204</v>
      </c>
      <c r="D1474" t="s">
        <v>7204</v>
      </c>
      <c r="E1474" t="s">
        <v>34</v>
      </c>
      <c r="F1474" t="s">
        <v>35</v>
      </c>
      <c r="G1474">
        <v>2009</v>
      </c>
      <c r="H1474" t="s">
        <v>36</v>
      </c>
      <c r="I1474" t="s">
        <v>7205</v>
      </c>
      <c r="J1474" t="s">
        <v>31</v>
      </c>
      <c r="K1474" t="s">
        <v>38</v>
      </c>
      <c r="L1474" t="s">
        <v>123</v>
      </c>
      <c r="M1474" t="s">
        <v>124</v>
      </c>
      <c r="N1474" t="s">
        <v>7206</v>
      </c>
      <c r="O1474" t="s">
        <v>7207</v>
      </c>
      <c r="P1474" t="s">
        <v>7208</v>
      </c>
      <c r="Q1474" t="s">
        <v>7209</v>
      </c>
      <c r="T1474">
        <v>40.755497546000001</v>
      </c>
      <c r="U1474">
        <v>-73.558007927999995</v>
      </c>
      <c r="V1474">
        <f>SUM(W1474:X1474)+(Y1474*0.8)+(Z1474*0.4)</f>
        <v>1.55</v>
      </c>
      <c r="W1474">
        <v>1.55</v>
      </c>
      <c r="X1474">
        <v>0</v>
      </c>
      <c r="Y1474">
        <v>0</v>
      </c>
      <c r="Z1474">
        <v>0</v>
      </c>
      <c r="AA1474" t="s">
        <v>43</v>
      </c>
      <c r="AB1474">
        <v>1.54</v>
      </c>
      <c r="AD1474" t="s">
        <v>7210</v>
      </c>
      <c r="AE1474" t="s">
        <v>7211</v>
      </c>
    </row>
    <row r="1475" spans="1:31" x14ac:dyDescent="0.25">
      <c r="A1475" t="s">
        <v>31</v>
      </c>
      <c r="C1475" t="s">
        <v>11099</v>
      </c>
      <c r="D1475" t="s">
        <v>11100</v>
      </c>
      <c r="E1475" t="s">
        <v>362</v>
      </c>
      <c r="F1475" t="s">
        <v>1302</v>
      </c>
      <c r="G1475">
        <v>2024</v>
      </c>
      <c r="H1475" t="s">
        <v>36</v>
      </c>
      <c r="I1475" t="s">
        <v>11101</v>
      </c>
      <c r="J1475" t="s">
        <v>31</v>
      </c>
      <c r="K1475" t="s">
        <v>38</v>
      </c>
      <c r="L1475" t="s">
        <v>242</v>
      </c>
      <c r="M1475" t="s">
        <v>243</v>
      </c>
      <c r="N1475" t="s">
        <v>11102</v>
      </c>
      <c r="O1475" t="s">
        <v>2341</v>
      </c>
      <c r="P1475" t="s">
        <v>11103</v>
      </c>
      <c r="S1475" t="s">
        <v>11104</v>
      </c>
      <c r="T1475">
        <v>37.549330120999997</v>
      </c>
      <c r="U1475">
        <v>-77.448690064000004</v>
      </c>
      <c r="V1475">
        <f>SUM(W1475:X1475)+(Y1475*0.8)+(Z1475*0.4)</f>
        <v>1.5</v>
      </c>
      <c r="W1475">
        <v>1.5</v>
      </c>
      <c r="X1475">
        <v>0</v>
      </c>
      <c r="Y1475">
        <v>0</v>
      </c>
      <c r="Z1475">
        <v>0</v>
      </c>
      <c r="AA1475" t="s">
        <v>43</v>
      </c>
      <c r="AB1475">
        <v>1.5</v>
      </c>
      <c r="AD1475" t="s">
        <v>11105</v>
      </c>
      <c r="AE1475" t="s">
        <v>11106</v>
      </c>
    </row>
    <row r="1476" spans="1:31" x14ac:dyDescent="0.25">
      <c r="A1476" t="s">
        <v>31</v>
      </c>
      <c r="C1476" t="s">
        <v>2706</v>
      </c>
      <c r="D1476" t="s">
        <v>2784</v>
      </c>
      <c r="E1476" t="s">
        <v>34</v>
      </c>
      <c r="F1476" t="s">
        <v>35</v>
      </c>
      <c r="G1476">
        <v>2023</v>
      </c>
      <c r="H1476" t="s">
        <v>36</v>
      </c>
      <c r="I1476" t="s">
        <v>2768</v>
      </c>
      <c r="J1476" t="s">
        <v>31</v>
      </c>
      <c r="K1476" t="s">
        <v>38</v>
      </c>
      <c r="L1476" t="s">
        <v>828</v>
      </c>
      <c r="M1476" t="s">
        <v>829</v>
      </c>
      <c r="N1476" t="s">
        <v>2769</v>
      </c>
      <c r="O1476" t="s">
        <v>2770</v>
      </c>
      <c r="P1476" t="s">
        <v>2771</v>
      </c>
      <c r="T1476">
        <v>44.971513000000002</v>
      </c>
      <c r="U1476">
        <v>-93.254739000000001</v>
      </c>
      <c r="V1476">
        <f>SUM(W1476:X1476)+(Y1476*0.8)+(Z1476*0.4)</f>
        <v>1.5</v>
      </c>
      <c r="W1476">
        <v>1.5</v>
      </c>
      <c r="X1476">
        <v>0</v>
      </c>
      <c r="Y1476">
        <v>0</v>
      </c>
      <c r="Z1476">
        <v>0</v>
      </c>
      <c r="AA1476" t="s">
        <v>43</v>
      </c>
      <c r="AB1476">
        <v>0</v>
      </c>
      <c r="AD1476" t="s">
        <v>2785</v>
      </c>
      <c r="AE1476" t="s">
        <v>2786</v>
      </c>
    </row>
    <row r="1477" spans="1:31" x14ac:dyDescent="0.25">
      <c r="A1477" t="s">
        <v>31</v>
      </c>
      <c r="C1477" t="s">
        <v>1709</v>
      </c>
      <c r="D1477" t="s">
        <v>138</v>
      </c>
      <c r="E1477" t="s">
        <v>34</v>
      </c>
      <c r="F1477" t="s">
        <v>35</v>
      </c>
      <c r="G1477">
        <v>2022</v>
      </c>
      <c r="H1477" t="s">
        <v>36</v>
      </c>
      <c r="I1477" t="s">
        <v>1710</v>
      </c>
      <c r="J1477" t="s">
        <v>31</v>
      </c>
      <c r="K1477" t="s">
        <v>38</v>
      </c>
      <c r="L1477" t="s">
        <v>1433</v>
      </c>
      <c r="M1477" t="s">
        <v>1434</v>
      </c>
      <c r="N1477" t="s">
        <v>1711</v>
      </c>
      <c r="O1477" t="s">
        <v>1712</v>
      </c>
      <c r="P1477" t="s">
        <v>1713</v>
      </c>
      <c r="Q1477" t="s">
        <v>1714</v>
      </c>
      <c r="T1477">
        <v>41.588023950999997</v>
      </c>
      <c r="U1477">
        <v>-93.631063660999999</v>
      </c>
      <c r="V1477">
        <f>SUM(W1477:X1477)+(Y1477*0.8)+(Z1477*0.4)</f>
        <v>1.5</v>
      </c>
      <c r="W1477">
        <v>1.5</v>
      </c>
      <c r="X1477">
        <v>0</v>
      </c>
      <c r="Y1477">
        <v>0</v>
      </c>
      <c r="Z1477">
        <v>0</v>
      </c>
      <c r="AA1477" t="s">
        <v>43</v>
      </c>
      <c r="AB1477">
        <v>1.25</v>
      </c>
      <c r="AD1477" t="s">
        <v>1715</v>
      </c>
      <c r="AE1477" t="s">
        <v>1716</v>
      </c>
    </row>
    <row r="1478" spans="1:31" x14ac:dyDescent="0.25">
      <c r="A1478" t="s">
        <v>31</v>
      </c>
      <c r="C1478" t="s">
        <v>1530</v>
      </c>
      <c r="D1478" t="s">
        <v>1586</v>
      </c>
      <c r="E1478" t="s">
        <v>34</v>
      </c>
      <c r="F1478" t="s">
        <v>35</v>
      </c>
      <c r="G1478">
        <v>2017</v>
      </c>
      <c r="H1478" t="s">
        <v>36</v>
      </c>
      <c r="I1478" t="s">
        <v>1587</v>
      </c>
      <c r="J1478" t="s">
        <v>31</v>
      </c>
      <c r="K1478" t="s">
        <v>38</v>
      </c>
      <c r="L1478" t="s">
        <v>77</v>
      </c>
      <c r="M1478" t="s">
        <v>78</v>
      </c>
      <c r="N1478" t="s">
        <v>1588</v>
      </c>
      <c r="O1478" t="s">
        <v>1589</v>
      </c>
      <c r="Q1478" t="s">
        <v>1590</v>
      </c>
      <c r="T1478">
        <v>40.752223553999997</v>
      </c>
      <c r="U1478">
        <v>-79.637279448000001</v>
      </c>
      <c r="V1478">
        <f>SUM(W1478:X1478)+(Y1478*0.8)+(Z1478*0.4)</f>
        <v>1.5</v>
      </c>
      <c r="W1478">
        <v>1.5</v>
      </c>
      <c r="X1478">
        <v>0</v>
      </c>
      <c r="Y1478">
        <v>0</v>
      </c>
      <c r="Z1478">
        <v>0</v>
      </c>
      <c r="AA1478" t="s">
        <v>43</v>
      </c>
      <c r="AB1478">
        <v>1.45</v>
      </c>
      <c r="AD1478" t="s">
        <v>1591</v>
      </c>
      <c r="AE1478" t="s">
        <v>1592</v>
      </c>
    </row>
    <row r="1479" spans="1:31" x14ac:dyDescent="0.25">
      <c r="A1479" t="s">
        <v>31</v>
      </c>
      <c r="C1479" t="s">
        <v>169</v>
      </c>
      <c r="D1479" t="s">
        <v>307</v>
      </c>
      <c r="E1479" t="s">
        <v>34</v>
      </c>
      <c r="F1479" t="s">
        <v>35</v>
      </c>
      <c r="G1479">
        <v>2017</v>
      </c>
      <c r="H1479" t="s">
        <v>36</v>
      </c>
      <c r="I1479" t="s">
        <v>308</v>
      </c>
      <c r="J1479" t="s">
        <v>31</v>
      </c>
      <c r="K1479" t="s">
        <v>38</v>
      </c>
      <c r="L1479" t="s">
        <v>202</v>
      </c>
      <c r="M1479" t="s">
        <v>203</v>
      </c>
      <c r="N1479" t="s">
        <v>309</v>
      </c>
      <c r="O1479" t="s">
        <v>310</v>
      </c>
      <c r="P1479" t="s">
        <v>311</v>
      </c>
      <c r="T1479">
        <v>27.949744685999999</v>
      </c>
      <c r="U1479">
        <v>-82.458223407999995</v>
      </c>
      <c r="V1479">
        <f>SUM(W1479:X1479)+(Y1479*0.8)+(Z1479*0.4)</f>
        <v>1.5</v>
      </c>
      <c r="W1479">
        <v>1.5</v>
      </c>
      <c r="X1479">
        <v>0</v>
      </c>
      <c r="Y1479">
        <v>0</v>
      </c>
      <c r="Z1479">
        <v>0</v>
      </c>
      <c r="AA1479" t="s">
        <v>43</v>
      </c>
      <c r="AB1479">
        <v>1.44</v>
      </c>
      <c r="AD1479" t="s">
        <v>312</v>
      </c>
      <c r="AE1479" t="s">
        <v>313</v>
      </c>
    </row>
    <row r="1480" spans="1:31" x14ac:dyDescent="0.25">
      <c r="A1480" t="s">
        <v>31</v>
      </c>
      <c r="C1480" t="s">
        <v>9773</v>
      </c>
      <c r="D1480" t="s">
        <v>9774</v>
      </c>
      <c r="E1480" t="s">
        <v>362</v>
      </c>
      <c r="F1480" t="s">
        <v>381</v>
      </c>
      <c r="G1480">
        <v>2016</v>
      </c>
      <c r="H1480" t="s">
        <v>36</v>
      </c>
      <c r="I1480" t="s">
        <v>9775</v>
      </c>
      <c r="J1480" t="s">
        <v>31</v>
      </c>
      <c r="K1480" t="s">
        <v>38</v>
      </c>
      <c r="L1480" t="s">
        <v>1883</v>
      </c>
      <c r="M1480" t="s">
        <v>1884</v>
      </c>
      <c r="N1480" t="s">
        <v>1144</v>
      </c>
      <c r="O1480" t="s">
        <v>4065</v>
      </c>
      <c r="P1480" t="s">
        <v>4066</v>
      </c>
      <c r="T1480">
        <v>34.745485170000002</v>
      </c>
      <c r="U1480">
        <v>-86.691931439000001</v>
      </c>
      <c r="V1480">
        <f>SUM(W1480:X1480)+(Y1480*0.8)+(Z1480*0.4)</f>
        <v>1.5</v>
      </c>
      <c r="W1480">
        <v>1.5</v>
      </c>
      <c r="X1480">
        <v>0</v>
      </c>
      <c r="Y1480">
        <v>0</v>
      </c>
      <c r="Z1480">
        <v>0</v>
      </c>
      <c r="AA1480" t="s">
        <v>43</v>
      </c>
      <c r="AB1480">
        <v>1.5</v>
      </c>
      <c r="AD1480" t="s">
        <v>9776</v>
      </c>
      <c r="AE1480" t="s">
        <v>9777</v>
      </c>
    </row>
    <row r="1481" spans="1:31" x14ac:dyDescent="0.25">
      <c r="A1481" t="s">
        <v>31</v>
      </c>
      <c r="C1481" t="s">
        <v>4801</v>
      </c>
      <c r="D1481" t="s">
        <v>4878</v>
      </c>
      <c r="E1481" t="s">
        <v>34</v>
      </c>
      <c r="F1481" t="s">
        <v>66</v>
      </c>
      <c r="G1481">
        <v>2015</v>
      </c>
      <c r="H1481" t="s">
        <v>36</v>
      </c>
      <c r="I1481" t="s">
        <v>4879</v>
      </c>
      <c r="J1481" t="s">
        <v>31</v>
      </c>
      <c r="K1481" t="s">
        <v>38</v>
      </c>
      <c r="L1481" t="s">
        <v>202</v>
      </c>
      <c r="M1481" t="s">
        <v>203</v>
      </c>
      <c r="N1481" t="s">
        <v>397</v>
      </c>
      <c r="P1481" t="s">
        <v>398</v>
      </c>
      <c r="S1481" t="s">
        <v>399</v>
      </c>
      <c r="T1481">
        <v>25.793022564000001</v>
      </c>
      <c r="U1481">
        <v>-80.381204142000001</v>
      </c>
      <c r="V1481">
        <f>SUM(W1481:X1481)+(Y1481*0.8)+(Z1481*0.4)</f>
        <v>1.5</v>
      </c>
      <c r="W1481">
        <v>1.5</v>
      </c>
      <c r="X1481">
        <v>0</v>
      </c>
      <c r="Y1481">
        <v>0</v>
      </c>
      <c r="Z1481">
        <v>0</v>
      </c>
      <c r="AA1481" t="s">
        <v>43</v>
      </c>
      <c r="AB1481">
        <v>1.5</v>
      </c>
      <c r="AD1481" t="s">
        <v>4880</v>
      </c>
      <c r="AE1481" t="s">
        <v>4881</v>
      </c>
    </row>
    <row r="1482" spans="1:31" x14ac:dyDescent="0.25">
      <c r="A1482" t="s">
        <v>31</v>
      </c>
      <c r="C1482" t="s">
        <v>2706</v>
      </c>
      <c r="D1482" t="s">
        <v>2777</v>
      </c>
      <c r="E1482" t="s">
        <v>34</v>
      </c>
      <c r="F1482" t="s">
        <v>35</v>
      </c>
      <c r="G1482">
        <v>2015</v>
      </c>
      <c r="H1482" t="s">
        <v>36</v>
      </c>
      <c r="I1482" t="s">
        <v>2768</v>
      </c>
      <c r="J1482" t="s">
        <v>31</v>
      </c>
      <c r="K1482" t="s">
        <v>38</v>
      </c>
      <c r="L1482" t="s">
        <v>828</v>
      </c>
      <c r="M1482" t="s">
        <v>829</v>
      </c>
      <c r="N1482" t="s">
        <v>2769</v>
      </c>
      <c r="O1482" t="s">
        <v>2770</v>
      </c>
      <c r="P1482" t="s">
        <v>2771</v>
      </c>
      <c r="T1482">
        <v>44.971513000000002</v>
      </c>
      <c r="U1482">
        <v>-93.254739000000001</v>
      </c>
      <c r="V1482">
        <f>SUM(W1482:X1482)+(Y1482*0.8)+(Z1482*0.4)</f>
        <v>1.5</v>
      </c>
      <c r="W1482">
        <v>1.5</v>
      </c>
      <c r="X1482">
        <v>0</v>
      </c>
      <c r="Y1482">
        <v>0</v>
      </c>
      <c r="Z1482">
        <v>0</v>
      </c>
      <c r="AA1482" t="s">
        <v>43</v>
      </c>
      <c r="AB1482">
        <v>1.43</v>
      </c>
      <c r="AC1482">
        <v>1.21</v>
      </c>
      <c r="AD1482" t="s">
        <v>2778</v>
      </c>
      <c r="AE1482" t="s">
        <v>2779</v>
      </c>
    </row>
    <row r="1483" spans="1:31" x14ac:dyDescent="0.25">
      <c r="A1483" t="s">
        <v>31</v>
      </c>
      <c r="C1483" t="s">
        <v>7190</v>
      </c>
      <c r="D1483" t="s">
        <v>7191</v>
      </c>
      <c r="E1483" t="s">
        <v>34</v>
      </c>
      <c r="F1483" t="s">
        <v>35</v>
      </c>
      <c r="G1483">
        <v>2014</v>
      </c>
      <c r="H1483" t="s">
        <v>36</v>
      </c>
      <c r="I1483" t="s">
        <v>7192</v>
      </c>
      <c r="J1483" t="s">
        <v>31</v>
      </c>
      <c r="K1483" t="s">
        <v>38</v>
      </c>
      <c r="L1483" t="s">
        <v>68</v>
      </c>
      <c r="M1483" t="s">
        <v>69</v>
      </c>
      <c r="N1483" t="s">
        <v>1951</v>
      </c>
      <c r="O1483" t="s">
        <v>1952</v>
      </c>
      <c r="P1483" t="s">
        <v>7193</v>
      </c>
      <c r="T1483">
        <v>29.759114828000001</v>
      </c>
      <c r="U1483">
        <v>-95.366288737000005</v>
      </c>
      <c r="V1483">
        <f>SUM(W1483:X1483)+(Y1483*0.8)+(Z1483*0.4)</f>
        <v>1.5</v>
      </c>
      <c r="W1483">
        <v>1.5</v>
      </c>
      <c r="X1483">
        <v>0</v>
      </c>
      <c r="Y1483">
        <v>0</v>
      </c>
      <c r="Z1483">
        <v>0</v>
      </c>
      <c r="AA1483" t="s">
        <v>43</v>
      </c>
      <c r="AB1483">
        <v>1.2</v>
      </c>
      <c r="AD1483" t="s">
        <v>7194</v>
      </c>
      <c r="AE1483" t="s">
        <v>7195</v>
      </c>
    </row>
    <row r="1484" spans="1:31" x14ac:dyDescent="0.25">
      <c r="A1484" t="s">
        <v>31</v>
      </c>
      <c r="C1484" t="s">
        <v>7116</v>
      </c>
      <c r="D1484" t="s">
        <v>7122</v>
      </c>
      <c r="E1484" t="s">
        <v>34</v>
      </c>
      <c r="F1484" t="s">
        <v>35</v>
      </c>
      <c r="G1484">
        <v>2014</v>
      </c>
      <c r="H1484" t="s">
        <v>36</v>
      </c>
      <c r="I1484" t="s">
        <v>7123</v>
      </c>
      <c r="J1484" t="s">
        <v>31</v>
      </c>
      <c r="K1484" t="s">
        <v>38</v>
      </c>
      <c r="L1484" t="s">
        <v>68</v>
      </c>
      <c r="M1484" t="s">
        <v>69</v>
      </c>
      <c r="N1484" t="s">
        <v>1350</v>
      </c>
      <c r="O1484" t="s">
        <v>1351</v>
      </c>
      <c r="P1484" t="s">
        <v>3319</v>
      </c>
      <c r="Q1484" t="s">
        <v>3670</v>
      </c>
      <c r="T1484">
        <v>30.200488644</v>
      </c>
      <c r="U1484">
        <v>-97.707408072999996</v>
      </c>
      <c r="V1484">
        <f>SUM(W1484:X1484)+(Y1484*0.8)+(Z1484*0.4)</f>
        <v>1.5</v>
      </c>
      <c r="W1484">
        <v>1.5</v>
      </c>
      <c r="X1484">
        <v>0</v>
      </c>
      <c r="Y1484">
        <v>0</v>
      </c>
      <c r="Z1484">
        <v>0</v>
      </c>
      <c r="AA1484" t="s">
        <v>43</v>
      </c>
      <c r="AB1484">
        <v>1.2</v>
      </c>
      <c r="AD1484" t="s">
        <v>7124</v>
      </c>
      <c r="AE1484" t="s">
        <v>7125</v>
      </c>
    </row>
    <row r="1485" spans="1:31" x14ac:dyDescent="0.25">
      <c r="A1485" t="s">
        <v>31</v>
      </c>
      <c r="C1485" t="s">
        <v>3230</v>
      </c>
      <c r="D1485" t="s">
        <v>3252</v>
      </c>
      <c r="E1485" t="s">
        <v>34</v>
      </c>
      <c r="F1485" t="s">
        <v>35</v>
      </c>
      <c r="G1485">
        <v>2013</v>
      </c>
      <c r="H1485" t="s">
        <v>36</v>
      </c>
      <c r="I1485" t="s">
        <v>3253</v>
      </c>
      <c r="J1485" t="s">
        <v>31</v>
      </c>
      <c r="K1485" t="s">
        <v>38</v>
      </c>
      <c r="L1485" t="s">
        <v>251</v>
      </c>
      <c r="M1485" t="s">
        <v>252</v>
      </c>
      <c r="N1485" t="s">
        <v>253</v>
      </c>
      <c r="O1485" t="s">
        <v>254</v>
      </c>
      <c r="T1485">
        <v>42.313040940999997</v>
      </c>
      <c r="U1485">
        <v>-71.578967421000002</v>
      </c>
      <c r="V1485">
        <f>SUM(W1485:X1485)+(Y1485*0.8)+(Z1485*0.4)</f>
        <v>1.5</v>
      </c>
      <c r="W1485">
        <v>1.5</v>
      </c>
      <c r="X1485">
        <v>0</v>
      </c>
      <c r="Y1485">
        <v>0</v>
      </c>
      <c r="Z1485">
        <v>0</v>
      </c>
      <c r="AA1485" t="s">
        <v>43</v>
      </c>
      <c r="AB1485">
        <v>1.3</v>
      </c>
      <c r="AD1485" t="s">
        <v>3254</v>
      </c>
      <c r="AE1485" t="s">
        <v>3255</v>
      </c>
    </row>
    <row r="1486" spans="1:31" x14ac:dyDescent="0.25">
      <c r="A1486" t="s">
        <v>31</v>
      </c>
      <c r="C1486" t="s">
        <v>2706</v>
      </c>
      <c r="D1486" t="s">
        <v>2741</v>
      </c>
      <c r="E1486" t="s">
        <v>34</v>
      </c>
      <c r="F1486" t="s">
        <v>35</v>
      </c>
      <c r="G1486">
        <v>2013</v>
      </c>
      <c r="H1486" t="s">
        <v>36</v>
      </c>
      <c r="I1486" t="s">
        <v>2742</v>
      </c>
      <c r="J1486" t="s">
        <v>31</v>
      </c>
      <c r="K1486" t="s">
        <v>38</v>
      </c>
      <c r="L1486" t="s">
        <v>68</v>
      </c>
      <c r="M1486" t="s">
        <v>69</v>
      </c>
      <c r="N1486" t="s">
        <v>297</v>
      </c>
      <c r="O1486" t="s">
        <v>2116</v>
      </c>
      <c r="P1486" t="s">
        <v>2738</v>
      </c>
      <c r="T1486">
        <v>32.801057718000003</v>
      </c>
      <c r="U1486">
        <v>-96.819383509999994</v>
      </c>
      <c r="V1486">
        <f>SUM(W1486:X1486)+(Y1486*0.8)+(Z1486*0.4)</f>
        <v>1.5</v>
      </c>
      <c r="W1486">
        <v>1.5</v>
      </c>
      <c r="X1486">
        <v>0</v>
      </c>
      <c r="Y1486">
        <v>0</v>
      </c>
      <c r="Z1486">
        <v>0</v>
      </c>
      <c r="AA1486" t="s">
        <v>43</v>
      </c>
      <c r="AB1486">
        <v>1.5</v>
      </c>
      <c r="AC1486">
        <v>1.5</v>
      </c>
      <c r="AD1486" t="s">
        <v>2743</v>
      </c>
      <c r="AE1486" t="s">
        <v>2744</v>
      </c>
    </row>
    <row r="1487" spans="1:31" x14ac:dyDescent="0.25">
      <c r="A1487" t="s">
        <v>31</v>
      </c>
      <c r="B1487" t="s">
        <v>11350</v>
      </c>
      <c r="C1487" t="s">
        <v>1610</v>
      </c>
      <c r="D1487" t="s">
        <v>1629</v>
      </c>
      <c r="E1487" t="s">
        <v>34</v>
      </c>
      <c r="F1487" t="s">
        <v>35</v>
      </c>
      <c r="G1487">
        <v>2013</v>
      </c>
      <c r="H1487" t="s">
        <v>36</v>
      </c>
      <c r="I1487" t="s">
        <v>1630</v>
      </c>
      <c r="J1487" t="s">
        <v>31</v>
      </c>
      <c r="K1487" t="s">
        <v>38</v>
      </c>
      <c r="L1487" t="s">
        <v>172</v>
      </c>
      <c r="M1487" t="s">
        <v>173</v>
      </c>
      <c r="N1487" t="s">
        <v>1631</v>
      </c>
      <c r="O1487" t="s">
        <v>1632</v>
      </c>
      <c r="P1487" t="s">
        <v>1633</v>
      </c>
      <c r="T1487">
        <v>37.480897145</v>
      </c>
      <c r="U1487">
        <v>-122.200578373</v>
      </c>
      <c r="V1487">
        <f>SUM(W1487:X1487)+(Y1487*0.8)+(Z1487*0.4)</f>
        <v>1.5</v>
      </c>
      <c r="W1487">
        <v>1.5</v>
      </c>
      <c r="X1487">
        <v>0</v>
      </c>
      <c r="Y1487">
        <v>0</v>
      </c>
      <c r="Z1487">
        <v>0</v>
      </c>
      <c r="AA1487" t="s">
        <v>43</v>
      </c>
      <c r="AB1487">
        <v>1.48</v>
      </c>
      <c r="AD1487" t="s">
        <v>1634</v>
      </c>
      <c r="AE1487" t="s">
        <v>1635</v>
      </c>
    </row>
    <row r="1488" spans="1:31" x14ac:dyDescent="0.25">
      <c r="A1488" t="s">
        <v>31</v>
      </c>
      <c r="C1488" t="s">
        <v>10809</v>
      </c>
      <c r="D1488" t="s">
        <v>10810</v>
      </c>
      <c r="E1488" t="s">
        <v>34</v>
      </c>
      <c r="F1488" t="s">
        <v>35</v>
      </c>
      <c r="G1488">
        <v>2012</v>
      </c>
      <c r="H1488" t="s">
        <v>36</v>
      </c>
      <c r="I1488" t="s">
        <v>10811</v>
      </c>
      <c r="J1488" t="s">
        <v>31</v>
      </c>
      <c r="K1488" t="s">
        <v>38</v>
      </c>
      <c r="L1488" t="s">
        <v>828</v>
      </c>
      <c r="M1488" t="s">
        <v>829</v>
      </c>
      <c r="N1488" t="s">
        <v>2769</v>
      </c>
      <c r="O1488" t="s">
        <v>7401</v>
      </c>
      <c r="P1488" t="s">
        <v>10812</v>
      </c>
      <c r="Q1488" t="s">
        <v>7401</v>
      </c>
      <c r="T1488">
        <v>44.972082534999998</v>
      </c>
      <c r="U1488">
        <v>-93.436737489999999</v>
      </c>
      <c r="V1488">
        <f>SUM(W1488:X1488)+(Y1488*0.8)+(Z1488*0.4)</f>
        <v>1.5</v>
      </c>
      <c r="W1488">
        <v>1.5</v>
      </c>
      <c r="X1488">
        <v>0</v>
      </c>
      <c r="Y1488">
        <v>0</v>
      </c>
      <c r="Z1488">
        <v>0</v>
      </c>
      <c r="AA1488" t="s">
        <v>43</v>
      </c>
      <c r="AB1488">
        <v>0.75</v>
      </c>
      <c r="AD1488" t="s">
        <v>10813</v>
      </c>
      <c r="AE1488" t="s">
        <v>10814</v>
      </c>
    </row>
    <row r="1489" spans="1:31" x14ac:dyDescent="0.25">
      <c r="A1489" t="s">
        <v>31</v>
      </c>
      <c r="B1489" t="s">
        <v>11350</v>
      </c>
      <c r="C1489" t="s">
        <v>647</v>
      </c>
      <c r="D1489" t="s">
        <v>1045</v>
      </c>
      <c r="E1489" t="s">
        <v>362</v>
      </c>
      <c r="F1489" t="s">
        <v>649</v>
      </c>
      <c r="G1489">
        <v>2012</v>
      </c>
      <c r="H1489" t="s">
        <v>36</v>
      </c>
      <c r="I1489" t="s">
        <v>1046</v>
      </c>
      <c r="J1489" t="s">
        <v>31</v>
      </c>
      <c r="K1489" t="s">
        <v>38</v>
      </c>
      <c r="L1489" t="s">
        <v>242</v>
      </c>
      <c r="M1489" t="s">
        <v>243</v>
      </c>
      <c r="N1489" t="s">
        <v>509</v>
      </c>
      <c r="O1489" t="s">
        <v>510</v>
      </c>
      <c r="P1489" t="s">
        <v>511</v>
      </c>
      <c r="T1489">
        <v>38.790459695000003</v>
      </c>
      <c r="U1489">
        <v>-77.539907463999995</v>
      </c>
      <c r="V1489">
        <f>SUM(W1489:X1489)+(Y1489*0.8)+(Z1489*0.4)</f>
        <v>1.5</v>
      </c>
      <c r="W1489">
        <v>1.5</v>
      </c>
      <c r="X1489">
        <v>0</v>
      </c>
      <c r="Y1489">
        <v>0</v>
      </c>
      <c r="Z1489">
        <v>0</v>
      </c>
      <c r="AA1489" t="s">
        <v>43</v>
      </c>
      <c r="AB1489">
        <v>1.5</v>
      </c>
      <c r="AD1489" t="s">
        <v>1047</v>
      </c>
      <c r="AE1489" t="s">
        <v>1048</v>
      </c>
    </row>
    <row r="1490" spans="1:31" x14ac:dyDescent="0.25">
      <c r="A1490" t="s">
        <v>31</v>
      </c>
      <c r="C1490" t="s">
        <v>10777</v>
      </c>
      <c r="D1490" t="s">
        <v>10786</v>
      </c>
      <c r="E1490" t="s">
        <v>362</v>
      </c>
      <c r="F1490" t="s">
        <v>630</v>
      </c>
      <c r="G1490">
        <v>2011</v>
      </c>
      <c r="H1490" t="s">
        <v>36</v>
      </c>
      <c r="I1490" t="s">
        <v>10787</v>
      </c>
      <c r="J1490" t="s">
        <v>31</v>
      </c>
      <c r="K1490" t="s">
        <v>38</v>
      </c>
      <c r="L1490" t="s">
        <v>242</v>
      </c>
      <c r="M1490" t="s">
        <v>243</v>
      </c>
      <c r="N1490" t="s">
        <v>10788</v>
      </c>
      <c r="O1490" t="s">
        <v>10781</v>
      </c>
      <c r="P1490" t="s">
        <v>10789</v>
      </c>
      <c r="Q1490" t="s">
        <v>10790</v>
      </c>
      <c r="T1490">
        <v>38.048923707999997</v>
      </c>
      <c r="U1490">
        <v>-78.502493047000002</v>
      </c>
      <c r="V1490">
        <f>SUM(W1490:X1490)+(Y1490*0.8)+(Z1490*0.4)</f>
        <v>1.5</v>
      </c>
      <c r="W1490">
        <v>1.5</v>
      </c>
      <c r="X1490">
        <v>0</v>
      </c>
      <c r="Y1490">
        <v>0</v>
      </c>
      <c r="Z1490">
        <v>0</v>
      </c>
      <c r="AA1490" t="s">
        <v>43</v>
      </c>
      <c r="AB1490">
        <v>1.5</v>
      </c>
      <c r="AD1490" t="s">
        <v>10791</v>
      </c>
      <c r="AE1490" t="s">
        <v>10792</v>
      </c>
    </row>
    <row r="1491" spans="1:31" x14ac:dyDescent="0.25">
      <c r="A1491" t="s">
        <v>31</v>
      </c>
      <c r="C1491" t="s">
        <v>6381</v>
      </c>
      <c r="D1491" t="s">
        <v>6484</v>
      </c>
      <c r="E1491" t="s">
        <v>34</v>
      </c>
      <c r="F1491" t="s">
        <v>66</v>
      </c>
      <c r="G1491">
        <v>2011</v>
      </c>
      <c r="H1491" t="s">
        <v>36</v>
      </c>
      <c r="I1491" t="s">
        <v>6485</v>
      </c>
      <c r="J1491" t="s">
        <v>31</v>
      </c>
      <c r="K1491" t="s">
        <v>38</v>
      </c>
      <c r="L1491" t="s">
        <v>843</v>
      </c>
      <c r="M1491" t="s">
        <v>1644</v>
      </c>
      <c r="N1491" t="s">
        <v>2232</v>
      </c>
      <c r="O1491" t="s">
        <v>4155</v>
      </c>
      <c r="P1491" t="s">
        <v>5524</v>
      </c>
      <c r="Q1491" t="s">
        <v>6486</v>
      </c>
      <c r="S1491" t="s">
        <v>4157</v>
      </c>
      <c r="T1491">
        <v>47.619081999999999</v>
      </c>
      <c r="U1491">
        <v>-122.336572</v>
      </c>
      <c r="V1491">
        <f>SUM(W1491:X1491)+(Y1491*0.8)+(Z1491*0.4)</f>
        <v>1.5</v>
      </c>
      <c r="W1491">
        <v>1.5</v>
      </c>
      <c r="X1491">
        <v>0</v>
      </c>
      <c r="Y1491">
        <v>0</v>
      </c>
      <c r="Z1491">
        <v>0</v>
      </c>
      <c r="AA1491" t="s">
        <v>43</v>
      </c>
      <c r="AB1491">
        <v>1.4910000000000001</v>
      </c>
      <c r="AC1491">
        <v>1.3</v>
      </c>
      <c r="AD1491" t="s">
        <v>6487</v>
      </c>
      <c r="AE1491" t="s">
        <v>6488</v>
      </c>
    </row>
    <row r="1492" spans="1:31" x14ac:dyDescent="0.25">
      <c r="A1492" t="s">
        <v>31</v>
      </c>
      <c r="C1492" t="s">
        <v>4148</v>
      </c>
      <c r="D1492" t="s">
        <v>4181</v>
      </c>
      <c r="E1492" t="s">
        <v>34</v>
      </c>
      <c r="F1492" t="s">
        <v>35</v>
      </c>
      <c r="G1492">
        <v>2011</v>
      </c>
      <c r="H1492" t="s">
        <v>36</v>
      </c>
      <c r="I1492" t="s">
        <v>4182</v>
      </c>
      <c r="J1492" t="s">
        <v>31</v>
      </c>
      <c r="K1492" t="s">
        <v>38</v>
      </c>
      <c r="L1492" t="s">
        <v>133</v>
      </c>
      <c r="M1492" t="s">
        <v>134</v>
      </c>
      <c r="N1492" t="s">
        <v>419</v>
      </c>
      <c r="O1492" t="s">
        <v>4176</v>
      </c>
      <c r="P1492" t="s">
        <v>4177</v>
      </c>
      <c r="S1492" t="s">
        <v>4178</v>
      </c>
      <c r="T1492">
        <v>45.475663916000002</v>
      </c>
      <c r="U1492">
        <v>-122.776140224</v>
      </c>
      <c r="V1492">
        <f>SUM(W1492:X1492)+(Y1492*0.8)+(Z1492*0.4)</f>
        <v>1.5</v>
      </c>
      <c r="W1492">
        <v>1.5</v>
      </c>
      <c r="X1492">
        <v>0</v>
      </c>
      <c r="Y1492">
        <v>0</v>
      </c>
      <c r="Z1492">
        <v>0</v>
      </c>
      <c r="AA1492" t="s">
        <v>43</v>
      </c>
      <c r="AB1492">
        <v>1.1259999999999999</v>
      </c>
      <c r="AD1492" t="s">
        <v>4183</v>
      </c>
      <c r="AE1492" t="s">
        <v>4184</v>
      </c>
    </row>
    <row r="1493" spans="1:31" x14ac:dyDescent="0.25">
      <c r="A1493" t="s">
        <v>31</v>
      </c>
      <c r="C1493" t="s">
        <v>64</v>
      </c>
      <c r="D1493" t="s">
        <v>94</v>
      </c>
      <c r="E1493" t="s">
        <v>34</v>
      </c>
      <c r="F1493" t="s">
        <v>35</v>
      </c>
      <c r="G1493">
        <v>2011</v>
      </c>
      <c r="H1493" t="s">
        <v>36</v>
      </c>
      <c r="I1493" t="s">
        <v>95</v>
      </c>
      <c r="J1493" t="s">
        <v>31</v>
      </c>
      <c r="K1493" t="s">
        <v>38</v>
      </c>
      <c r="L1493" t="s">
        <v>86</v>
      </c>
      <c r="M1493" t="s">
        <v>87</v>
      </c>
      <c r="N1493" t="s">
        <v>88</v>
      </c>
      <c r="O1493" t="s">
        <v>89</v>
      </c>
      <c r="P1493" t="s">
        <v>96</v>
      </c>
      <c r="Q1493" t="s">
        <v>97</v>
      </c>
      <c r="S1493" t="s">
        <v>98</v>
      </c>
      <c r="T1493">
        <v>41.872594227999997</v>
      </c>
      <c r="U1493">
        <v>-87.633252212000002</v>
      </c>
      <c r="V1493">
        <f>SUM(W1493:X1493)+(Y1493*0.8)+(Z1493*0.4)</f>
        <v>1.5</v>
      </c>
      <c r="W1493">
        <v>1.5</v>
      </c>
      <c r="X1493">
        <v>0</v>
      </c>
      <c r="Y1493">
        <v>0</v>
      </c>
      <c r="Z1493">
        <v>0</v>
      </c>
      <c r="AA1493" t="s">
        <v>43</v>
      </c>
      <c r="AB1493">
        <v>0.67500000000000004</v>
      </c>
      <c r="AD1493" t="s">
        <v>99</v>
      </c>
      <c r="AE1493" t="s">
        <v>100</v>
      </c>
    </row>
    <row r="1494" spans="1:31" x14ac:dyDescent="0.25">
      <c r="A1494" t="s">
        <v>31</v>
      </c>
      <c r="C1494" t="s">
        <v>4133</v>
      </c>
      <c r="D1494" t="s">
        <v>4134</v>
      </c>
      <c r="E1494" t="s">
        <v>362</v>
      </c>
      <c r="F1494" t="s">
        <v>4135</v>
      </c>
      <c r="G1494">
        <v>2010</v>
      </c>
      <c r="H1494" t="s">
        <v>36</v>
      </c>
      <c r="I1494" t="s">
        <v>4136</v>
      </c>
      <c r="J1494" t="s">
        <v>31</v>
      </c>
      <c r="K1494" t="s">
        <v>38</v>
      </c>
      <c r="L1494" t="s">
        <v>640</v>
      </c>
      <c r="M1494" t="s">
        <v>641</v>
      </c>
      <c r="N1494" t="s">
        <v>4137</v>
      </c>
      <c r="O1494" t="s">
        <v>4138</v>
      </c>
      <c r="P1494" t="s">
        <v>4139</v>
      </c>
      <c r="T1494">
        <v>39.415333371000003</v>
      </c>
      <c r="U1494">
        <v>-77.915343153999999</v>
      </c>
      <c r="V1494">
        <f>SUM(W1494:X1494)+(Y1494*0.8)+(Z1494*0.4)</f>
        <v>1.5</v>
      </c>
      <c r="W1494">
        <v>1.5</v>
      </c>
      <c r="X1494">
        <v>0</v>
      </c>
      <c r="Y1494">
        <v>0</v>
      </c>
      <c r="Z1494">
        <v>0</v>
      </c>
      <c r="AA1494" t="s">
        <v>43</v>
      </c>
      <c r="AB1494">
        <v>1.5</v>
      </c>
      <c r="AD1494" t="s">
        <v>4140</v>
      </c>
      <c r="AE1494" t="s">
        <v>4141</v>
      </c>
    </row>
    <row r="1495" spans="1:31" x14ac:dyDescent="0.25">
      <c r="A1495" t="s">
        <v>31</v>
      </c>
      <c r="C1495" t="s">
        <v>3622</v>
      </c>
      <c r="D1495" t="s">
        <v>3639</v>
      </c>
      <c r="E1495" t="s">
        <v>34</v>
      </c>
      <c r="F1495" t="s">
        <v>35</v>
      </c>
      <c r="G1495">
        <v>2010</v>
      </c>
      <c r="H1495" t="s">
        <v>36</v>
      </c>
      <c r="I1495" t="s">
        <v>3640</v>
      </c>
      <c r="J1495" t="s">
        <v>31</v>
      </c>
      <c r="K1495" t="s">
        <v>38</v>
      </c>
      <c r="L1495" t="s">
        <v>77</v>
      </c>
      <c r="M1495" t="s">
        <v>78</v>
      </c>
      <c r="N1495" t="s">
        <v>3641</v>
      </c>
      <c r="O1495" t="s">
        <v>3642</v>
      </c>
      <c r="P1495" t="s">
        <v>3643</v>
      </c>
      <c r="Q1495" t="s">
        <v>3644</v>
      </c>
      <c r="T1495">
        <v>40.087853733999999</v>
      </c>
      <c r="U1495">
        <v>-75.339716081000006</v>
      </c>
      <c r="V1495">
        <f>SUM(W1495:X1495)+(Y1495*0.8)+(Z1495*0.4)</f>
        <v>1.5</v>
      </c>
      <c r="W1495">
        <v>1.5</v>
      </c>
      <c r="X1495">
        <v>0</v>
      </c>
      <c r="Y1495">
        <v>0</v>
      </c>
      <c r="Z1495">
        <v>0</v>
      </c>
      <c r="AA1495" t="s">
        <v>43</v>
      </c>
      <c r="AB1495">
        <v>1.38</v>
      </c>
      <c r="AD1495" t="s">
        <v>3645</v>
      </c>
      <c r="AE1495" t="s">
        <v>3646</v>
      </c>
    </row>
    <row r="1496" spans="1:31" x14ac:dyDescent="0.25">
      <c r="A1496" t="s">
        <v>31</v>
      </c>
      <c r="C1496" t="s">
        <v>9839</v>
      </c>
      <c r="D1496" t="s">
        <v>9840</v>
      </c>
      <c r="E1496" t="s">
        <v>362</v>
      </c>
      <c r="F1496" t="s">
        <v>649</v>
      </c>
      <c r="G1496">
        <v>2009</v>
      </c>
      <c r="H1496" t="s">
        <v>36</v>
      </c>
      <c r="I1496" t="s">
        <v>9841</v>
      </c>
      <c r="J1496" t="s">
        <v>31</v>
      </c>
      <c r="K1496" t="s">
        <v>38</v>
      </c>
      <c r="L1496" t="s">
        <v>68</v>
      </c>
      <c r="M1496" t="s">
        <v>69</v>
      </c>
      <c r="N1496" t="s">
        <v>547</v>
      </c>
      <c r="O1496" t="s">
        <v>548</v>
      </c>
      <c r="P1496" t="s">
        <v>549</v>
      </c>
      <c r="T1496">
        <v>33.00875482</v>
      </c>
      <c r="U1496">
        <v>-96.690014078999994</v>
      </c>
      <c r="V1496">
        <f>SUM(W1496:X1496)+(Y1496*0.8)+(Z1496*0.4)</f>
        <v>1.5</v>
      </c>
      <c r="W1496">
        <v>1.5</v>
      </c>
      <c r="X1496">
        <v>0</v>
      </c>
      <c r="Y1496">
        <v>0</v>
      </c>
      <c r="Z1496">
        <v>0</v>
      </c>
      <c r="AA1496" t="s">
        <v>43</v>
      </c>
      <c r="AB1496">
        <v>1.5</v>
      </c>
      <c r="AD1496" t="s">
        <v>9842</v>
      </c>
      <c r="AE1496" t="s">
        <v>9843</v>
      </c>
    </row>
    <row r="1497" spans="1:31" x14ac:dyDescent="0.25">
      <c r="A1497" t="s">
        <v>31</v>
      </c>
      <c r="C1497" t="s">
        <v>9159</v>
      </c>
      <c r="D1497" t="s">
        <v>9166</v>
      </c>
      <c r="E1497" t="s">
        <v>34</v>
      </c>
      <c r="F1497" t="s">
        <v>35</v>
      </c>
      <c r="G1497">
        <v>2009</v>
      </c>
      <c r="H1497" t="s">
        <v>36</v>
      </c>
      <c r="I1497" t="s">
        <v>9167</v>
      </c>
      <c r="J1497" t="s">
        <v>31</v>
      </c>
      <c r="K1497" t="s">
        <v>38</v>
      </c>
      <c r="L1497" t="s">
        <v>3244</v>
      </c>
      <c r="M1497" t="s">
        <v>3245</v>
      </c>
      <c r="N1497" t="s">
        <v>3246</v>
      </c>
      <c r="O1497" t="s">
        <v>3247</v>
      </c>
      <c r="P1497" t="s">
        <v>3248</v>
      </c>
      <c r="Q1497" t="s">
        <v>3247</v>
      </c>
      <c r="S1497" t="s">
        <v>3249</v>
      </c>
      <c r="T1497">
        <v>41.817421723000002</v>
      </c>
      <c r="U1497">
        <v>-71.427671138999997</v>
      </c>
      <c r="V1497">
        <f>SUM(W1497:X1497)+(Y1497*0.8)+(Z1497*0.4)</f>
        <v>1.5</v>
      </c>
      <c r="W1497">
        <v>1.5</v>
      </c>
      <c r="X1497">
        <v>0</v>
      </c>
      <c r="Y1497">
        <v>0</v>
      </c>
      <c r="Z1497">
        <v>0</v>
      </c>
      <c r="AA1497" t="s">
        <v>43</v>
      </c>
      <c r="AB1497">
        <v>1.3</v>
      </c>
      <c r="AD1497" t="s">
        <v>9168</v>
      </c>
      <c r="AE1497" t="s">
        <v>9169</v>
      </c>
    </row>
    <row r="1498" spans="1:31" x14ac:dyDescent="0.25">
      <c r="A1498" t="s">
        <v>31</v>
      </c>
      <c r="C1498" t="s">
        <v>6742</v>
      </c>
      <c r="D1498" t="s">
        <v>1445</v>
      </c>
      <c r="E1498" t="s">
        <v>362</v>
      </c>
      <c r="F1498" t="s">
        <v>381</v>
      </c>
      <c r="G1498">
        <v>2007</v>
      </c>
      <c r="H1498" t="s">
        <v>36</v>
      </c>
      <c r="I1498" t="s">
        <v>6757</v>
      </c>
      <c r="J1498" t="s">
        <v>31</v>
      </c>
      <c r="K1498" t="s">
        <v>38</v>
      </c>
      <c r="L1498" t="s">
        <v>326</v>
      </c>
      <c r="M1498" t="s">
        <v>327</v>
      </c>
      <c r="N1498" t="s">
        <v>328</v>
      </c>
      <c r="O1498" t="s">
        <v>596</v>
      </c>
      <c r="P1498" t="s">
        <v>6758</v>
      </c>
      <c r="T1498">
        <v>33.301198999999997</v>
      </c>
      <c r="U1498">
        <v>-111.88614200000001</v>
      </c>
      <c r="V1498">
        <f>SUM(W1498:X1498)+(Y1498*0.8)+(Z1498*0.4)</f>
        <v>1.5</v>
      </c>
      <c r="W1498">
        <v>1.5</v>
      </c>
      <c r="X1498">
        <v>0</v>
      </c>
      <c r="Y1498">
        <v>0</v>
      </c>
      <c r="Z1498">
        <v>0</v>
      </c>
      <c r="AA1498" t="s">
        <v>43</v>
      </c>
      <c r="AB1498">
        <v>1.5</v>
      </c>
      <c r="AD1498" t="s">
        <v>6759</v>
      </c>
      <c r="AE1498" t="s">
        <v>6760</v>
      </c>
    </row>
    <row r="1499" spans="1:31" x14ac:dyDescent="0.25">
      <c r="A1499" t="s">
        <v>31</v>
      </c>
      <c r="C1499" t="s">
        <v>5181</v>
      </c>
      <c r="D1499" t="s">
        <v>5480</v>
      </c>
      <c r="E1499" t="s">
        <v>34</v>
      </c>
      <c r="F1499" t="s">
        <v>35</v>
      </c>
      <c r="G1499">
        <v>2007</v>
      </c>
      <c r="H1499" t="s">
        <v>36</v>
      </c>
      <c r="I1499" t="s">
        <v>5481</v>
      </c>
      <c r="J1499" t="s">
        <v>31</v>
      </c>
      <c r="K1499" t="s">
        <v>38</v>
      </c>
      <c r="L1499" t="s">
        <v>172</v>
      </c>
      <c r="M1499" t="s">
        <v>173</v>
      </c>
      <c r="N1499" t="s">
        <v>780</v>
      </c>
      <c r="O1499" t="s">
        <v>2251</v>
      </c>
      <c r="P1499" t="s">
        <v>5473</v>
      </c>
      <c r="T1499">
        <v>37.399602000000002</v>
      </c>
      <c r="U1499">
        <v>-122.014639</v>
      </c>
      <c r="V1499">
        <f>SUM(W1499:X1499)+(Y1499*0.8)+(Z1499*0.4)</f>
        <v>1.5</v>
      </c>
      <c r="W1499">
        <v>1.5</v>
      </c>
      <c r="X1499">
        <v>0</v>
      </c>
      <c r="Y1499">
        <v>0</v>
      </c>
      <c r="Z1499">
        <v>0</v>
      </c>
      <c r="AA1499" t="s">
        <v>43</v>
      </c>
      <c r="AB1499">
        <v>1.5</v>
      </c>
      <c r="AD1499" t="s">
        <v>5482</v>
      </c>
      <c r="AE1499" t="s">
        <v>5483</v>
      </c>
    </row>
    <row r="1500" spans="1:31" x14ac:dyDescent="0.25">
      <c r="A1500" t="s">
        <v>31</v>
      </c>
      <c r="C1500" t="s">
        <v>3849</v>
      </c>
      <c r="D1500" t="s">
        <v>4507</v>
      </c>
      <c r="E1500" t="s">
        <v>34</v>
      </c>
      <c r="F1500" t="s">
        <v>35</v>
      </c>
      <c r="G1500">
        <v>2007</v>
      </c>
      <c r="H1500" t="s">
        <v>36</v>
      </c>
      <c r="I1500" t="s">
        <v>4508</v>
      </c>
      <c r="J1500" t="s">
        <v>31</v>
      </c>
      <c r="K1500" t="s">
        <v>38</v>
      </c>
      <c r="L1500" t="s">
        <v>68</v>
      </c>
      <c r="M1500" t="s">
        <v>69</v>
      </c>
      <c r="N1500" t="s">
        <v>297</v>
      </c>
      <c r="O1500" t="s">
        <v>2116</v>
      </c>
      <c r="P1500" t="s">
        <v>3176</v>
      </c>
      <c r="T1500">
        <v>32.827365999999998</v>
      </c>
      <c r="U1500">
        <v>-96.873712999999995</v>
      </c>
      <c r="V1500">
        <f>SUM(W1500:X1500)+(Y1500*0.8)+(Z1500*0.4)</f>
        <v>1.5</v>
      </c>
      <c r="W1500">
        <v>1.5</v>
      </c>
      <c r="X1500">
        <v>0</v>
      </c>
      <c r="Y1500">
        <v>0</v>
      </c>
      <c r="Z1500">
        <v>0</v>
      </c>
      <c r="AA1500" t="s">
        <v>43</v>
      </c>
      <c r="AB1500">
        <v>1.2</v>
      </c>
      <c r="AD1500" t="s">
        <v>4509</v>
      </c>
      <c r="AE1500" t="s">
        <v>4510</v>
      </c>
    </row>
    <row r="1501" spans="1:31" x14ac:dyDescent="0.25">
      <c r="A1501" t="s">
        <v>31</v>
      </c>
      <c r="C1501" t="s">
        <v>2813</v>
      </c>
      <c r="D1501" t="s">
        <v>2813</v>
      </c>
      <c r="E1501" t="s">
        <v>34</v>
      </c>
      <c r="F1501" t="s">
        <v>66</v>
      </c>
      <c r="G1501">
        <v>2007</v>
      </c>
      <c r="H1501" t="s">
        <v>36</v>
      </c>
      <c r="I1501" t="s">
        <v>2814</v>
      </c>
      <c r="J1501" t="s">
        <v>31</v>
      </c>
      <c r="K1501" t="s">
        <v>38</v>
      </c>
      <c r="L1501" t="s">
        <v>143</v>
      </c>
      <c r="M1501" t="s">
        <v>144</v>
      </c>
      <c r="N1501" t="s">
        <v>145</v>
      </c>
      <c r="O1501" t="s">
        <v>146</v>
      </c>
      <c r="P1501" t="s">
        <v>2815</v>
      </c>
      <c r="T1501">
        <v>41.667274223</v>
      </c>
      <c r="U1501">
        <v>-86.267044235</v>
      </c>
      <c r="V1501">
        <f>SUM(W1501:X1501)+(Y1501*0.8)+(Z1501*0.4)</f>
        <v>1.5</v>
      </c>
      <c r="W1501">
        <v>1.5</v>
      </c>
      <c r="X1501">
        <v>0</v>
      </c>
      <c r="Y1501">
        <v>0</v>
      </c>
      <c r="Z1501">
        <v>0</v>
      </c>
      <c r="AA1501" t="s">
        <v>43</v>
      </c>
      <c r="AB1501">
        <v>1.4</v>
      </c>
      <c r="AD1501" t="s">
        <v>2816</v>
      </c>
      <c r="AE1501" t="s">
        <v>2817</v>
      </c>
    </row>
    <row r="1502" spans="1:31" x14ac:dyDescent="0.25">
      <c r="A1502" t="s">
        <v>31</v>
      </c>
      <c r="C1502" t="s">
        <v>11138</v>
      </c>
      <c r="D1502" t="s">
        <v>11145</v>
      </c>
      <c r="E1502" t="s">
        <v>34</v>
      </c>
      <c r="F1502" t="s">
        <v>35</v>
      </c>
      <c r="G1502">
        <v>2006</v>
      </c>
      <c r="H1502" t="s">
        <v>36</v>
      </c>
      <c r="I1502" t="s">
        <v>11146</v>
      </c>
      <c r="J1502" t="s">
        <v>31</v>
      </c>
      <c r="K1502" t="s">
        <v>38</v>
      </c>
      <c r="L1502" t="s">
        <v>202</v>
      </c>
      <c r="M1502" t="s">
        <v>203</v>
      </c>
      <c r="N1502" t="s">
        <v>397</v>
      </c>
      <c r="O1502" t="s">
        <v>3122</v>
      </c>
      <c r="P1502" t="s">
        <v>4583</v>
      </c>
      <c r="T1502">
        <v>25.776034694</v>
      </c>
      <c r="U1502">
        <v>-80.188247602000004</v>
      </c>
      <c r="V1502">
        <f>SUM(W1502:X1502)+(Y1502*0.8)+(Z1502*0.4)</f>
        <v>1.5</v>
      </c>
      <c r="W1502">
        <v>1.5</v>
      </c>
      <c r="X1502">
        <v>0</v>
      </c>
      <c r="Y1502">
        <v>0</v>
      </c>
      <c r="Z1502">
        <v>0</v>
      </c>
      <c r="AA1502" t="s">
        <v>43</v>
      </c>
      <c r="AB1502">
        <v>0.8</v>
      </c>
      <c r="AD1502" t="s">
        <v>11147</v>
      </c>
      <c r="AE1502" t="s">
        <v>11148</v>
      </c>
    </row>
    <row r="1503" spans="1:31" x14ac:dyDescent="0.25">
      <c r="A1503" t="s">
        <v>31</v>
      </c>
      <c r="C1503" t="s">
        <v>5543</v>
      </c>
      <c r="D1503" t="s">
        <v>5544</v>
      </c>
      <c r="E1503" t="s">
        <v>34</v>
      </c>
      <c r="F1503" t="s">
        <v>35</v>
      </c>
      <c r="G1503">
        <v>2006</v>
      </c>
      <c r="H1503" t="s">
        <v>36</v>
      </c>
      <c r="I1503" t="s">
        <v>5545</v>
      </c>
      <c r="J1503" t="s">
        <v>31</v>
      </c>
      <c r="K1503" t="s">
        <v>38</v>
      </c>
      <c r="L1503" t="s">
        <v>448</v>
      </c>
      <c r="M1503" t="s">
        <v>449</v>
      </c>
      <c r="O1503" t="s">
        <v>470</v>
      </c>
      <c r="P1503" t="s">
        <v>5546</v>
      </c>
      <c r="T1503">
        <v>39.274661576</v>
      </c>
      <c r="U1503">
        <v>-76.591835222</v>
      </c>
      <c r="V1503">
        <f>SUM(W1503:X1503)+(Y1503*0.8)+(Z1503*0.4)</f>
        <v>1.5</v>
      </c>
      <c r="W1503">
        <v>1.5</v>
      </c>
      <c r="X1503">
        <v>0</v>
      </c>
      <c r="Y1503">
        <v>0</v>
      </c>
      <c r="Z1503">
        <v>0</v>
      </c>
      <c r="AA1503" t="s">
        <v>43</v>
      </c>
      <c r="AB1503">
        <v>1.27</v>
      </c>
      <c r="AD1503" t="s">
        <v>5547</v>
      </c>
      <c r="AE1503" t="s">
        <v>5548</v>
      </c>
    </row>
    <row r="1504" spans="1:31" x14ac:dyDescent="0.25">
      <c r="A1504" t="s">
        <v>31</v>
      </c>
      <c r="C1504" t="s">
        <v>10406</v>
      </c>
      <c r="D1504" t="s">
        <v>10428</v>
      </c>
      <c r="E1504" t="s">
        <v>34</v>
      </c>
      <c r="F1504" t="s">
        <v>35</v>
      </c>
      <c r="G1504">
        <v>2005</v>
      </c>
      <c r="H1504" t="s">
        <v>36</v>
      </c>
      <c r="I1504" t="s">
        <v>10429</v>
      </c>
      <c r="J1504" t="s">
        <v>31</v>
      </c>
      <c r="K1504" t="s">
        <v>38</v>
      </c>
      <c r="L1504" t="s">
        <v>448</v>
      </c>
      <c r="M1504" t="s">
        <v>449</v>
      </c>
      <c r="O1504" t="s">
        <v>470</v>
      </c>
      <c r="P1504" t="s">
        <v>10430</v>
      </c>
      <c r="S1504" t="s">
        <v>10431</v>
      </c>
      <c r="T1504">
        <v>39.275339404999997</v>
      </c>
      <c r="U1504">
        <v>-76.625568688000001</v>
      </c>
      <c r="V1504">
        <f>SUM(W1504:X1504)+(Y1504*0.8)+(Z1504*0.4)</f>
        <v>1.5</v>
      </c>
      <c r="W1504">
        <v>1.5</v>
      </c>
      <c r="X1504">
        <v>0</v>
      </c>
      <c r="Y1504">
        <v>0</v>
      </c>
      <c r="Z1504">
        <v>0</v>
      </c>
      <c r="AA1504" t="s">
        <v>43</v>
      </c>
      <c r="AB1504">
        <v>1</v>
      </c>
      <c r="AD1504" t="s">
        <v>10432</v>
      </c>
      <c r="AE1504" t="s">
        <v>10433</v>
      </c>
    </row>
    <row r="1505" spans="1:31" x14ac:dyDescent="0.25">
      <c r="A1505" t="s">
        <v>31</v>
      </c>
      <c r="C1505" t="s">
        <v>2064</v>
      </c>
      <c r="D1505" t="s">
        <v>2065</v>
      </c>
      <c r="E1505" t="s">
        <v>34</v>
      </c>
      <c r="F1505" t="s">
        <v>35</v>
      </c>
      <c r="G1505">
        <v>2005</v>
      </c>
      <c r="H1505" t="s">
        <v>36</v>
      </c>
      <c r="I1505" t="s">
        <v>2066</v>
      </c>
      <c r="J1505" t="s">
        <v>31</v>
      </c>
      <c r="K1505" t="s">
        <v>38</v>
      </c>
      <c r="L1505" t="s">
        <v>172</v>
      </c>
      <c r="M1505" t="s">
        <v>173</v>
      </c>
      <c r="N1505" t="s">
        <v>780</v>
      </c>
      <c r="O1505" t="s">
        <v>2067</v>
      </c>
      <c r="P1505" t="s">
        <v>2068</v>
      </c>
      <c r="Q1505" t="s">
        <v>2069</v>
      </c>
      <c r="S1505" t="s">
        <v>2070</v>
      </c>
      <c r="T1505">
        <v>37.418776995000002</v>
      </c>
      <c r="U1505">
        <v>-121.942982724</v>
      </c>
      <c r="V1505">
        <f>SUM(W1505:X1505)+(Y1505*0.8)+(Z1505*0.4)</f>
        <v>1.5</v>
      </c>
      <c r="W1505">
        <v>1.5</v>
      </c>
      <c r="X1505">
        <v>0</v>
      </c>
      <c r="Y1505">
        <v>0</v>
      </c>
      <c r="Z1505">
        <v>0</v>
      </c>
      <c r="AA1505" t="s">
        <v>43</v>
      </c>
      <c r="AB1505">
        <v>1.49</v>
      </c>
      <c r="AD1505" t="s">
        <v>2071</v>
      </c>
      <c r="AE1505" t="s">
        <v>2072</v>
      </c>
    </row>
    <row r="1506" spans="1:31" x14ac:dyDescent="0.25">
      <c r="A1506" t="s">
        <v>31</v>
      </c>
      <c r="C1506" t="s">
        <v>484</v>
      </c>
      <c r="D1506" t="s">
        <v>485</v>
      </c>
      <c r="E1506" t="s">
        <v>362</v>
      </c>
      <c r="F1506" t="s">
        <v>381</v>
      </c>
      <c r="G1506">
        <v>2004</v>
      </c>
      <c r="H1506" t="s">
        <v>36</v>
      </c>
      <c r="I1506" t="s">
        <v>486</v>
      </c>
      <c r="J1506" t="s">
        <v>31</v>
      </c>
      <c r="K1506" t="s">
        <v>38</v>
      </c>
      <c r="L1506" t="s">
        <v>383</v>
      </c>
      <c r="M1506" t="s">
        <v>384</v>
      </c>
      <c r="N1506" t="s">
        <v>487</v>
      </c>
      <c r="O1506" t="s">
        <v>485</v>
      </c>
      <c r="T1506">
        <v>35.054490393999998</v>
      </c>
      <c r="U1506">
        <v>-78.882858185000003</v>
      </c>
      <c r="V1506">
        <f>SUM(W1506:X1506)+(Y1506*0.8)+(Z1506*0.4)</f>
        <v>1.5</v>
      </c>
      <c r="W1506">
        <v>1.5</v>
      </c>
      <c r="X1506">
        <v>0</v>
      </c>
      <c r="Y1506">
        <v>0</v>
      </c>
      <c r="Z1506">
        <v>0</v>
      </c>
      <c r="AA1506" t="s">
        <v>43</v>
      </c>
      <c r="AB1506">
        <v>1.5</v>
      </c>
      <c r="AD1506" t="s">
        <v>488</v>
      </c>
      <c r="AE1506" t="s">
        <v>489</v>
      </c>
    </row>
    <row r="1507" spans="1:31" x14ac:dyDescent="0.25">
      <c r="A1507" t="s">
        <v>31</v>
      </c>
      <c r="C1507" t="s">
        <v>6556</v>
      </c>
      <c r="D1507" t="s">
        <v>6565</v>
      </c>
      <c r="E1507" t="s">
        <v>34</v>
      </c>
      <c r="F1507" t="s">
        <v>35</v>
      </c>
      <c r="G1507">
        <v>2003</v>
      </c>
      <c r="H1507" t="s">
        <v>36</v>
      </c>
      <c r="I1507" t="s">
        <v>4342</v>
      </c>
      <c r="J1507" t="s">
        <v>31</v>
      </c>
      <c r="K1507" t="s">
        <v>38</v>
      </c>
      <c r="L1507" t="s">
        <v>172</v>
      </c>
      <c r="M1507" t="s">
        <v>173</v>
      </c>
      <c r="N1507" t="s">
        <v>493</v>
      </c>
      <c r="O1507" t="s">
        <v>494</v>
      </c>
      <c r="P1507" t="s">
        <v>3107</v>
      </c>
      <c r="S1507" t="s">
        <v>138</v>
      </c>
      <c r="T1507">
        <v>34.047540798</v>
      </c>
      <c r="U1507">
        <v>-118.25753243600001</v>
      </c>
      <c r="V1507">
        <f>SUM(W1507:X1507)+(Y1507*0.8)+(Z1507*0.4)</f>
        <v>1.5</v>
      </c>
      <c r="W1507">
        <v>1.5</v>
      </c>
      <c r="X1507">
        <v>0</v>
      </c>
      <c r="Y1507">
        <v>0</v>
      </c>
      <c r="Z1507">
        <v>0</v>
      </c>
      <c r="AA1507" t="s">
        <v>43</v>
      </c>
      <c r="AB1507">
        <v>1.43</v>
      </c>
      <c r="AD1507" t="s">
        <v>6566</v>
      </c>
      <c r="AE1507" t="s">
        <v>6567</v>
      </c>
    </row>
    <row r="1508" spans="1:31" x14ac:dyDescent="0.25">
      <c r="A1508" t="s">
        <v>31</v>
      </c>
      <c r="C1508" t="s">
        <v>5499</v>
      </c>
      <c r="D1508" t="s">
        <v>5527</v>
      </c>
      <c r="E1508" t="s">
        <v>34</v>
      </c>
      <c r="F1508" t="s">
        <v>35</v>
      </c>
      <c r="G1508">
        <v>2002</v>
      </c>
      <c r="H1508" t="s">
        <v>36</v>
      </c>
      <c r="I1508" t="s">
        <v>5528</v>
      </c>
      <c r="J1508" t="s">
        <v>31</v>
      </c>
      <c r="K1508" t="s">
        <v>38</v>
      </c>
      <c r="L1508" t="s">
        <v>172</v>
      </c>
      <c r="M1508" t="s">
        <v>173</v>
      </c>
      <c r="N1508" t="s">
        <v>780</v>
      </c>
      <c r="O1508" t="s">
        <v>781</v>
      </c>
      <c r="P1508" t="s">
        <v>3145</v>
      </c>
      <c r="T1508">
        <v>37.378121264999997</v>
      </c>
      <c r="U1508">
        <v>-121.954304722</v>
      </c>
      <c r="V1508">
        <f>SUM(W1508:X1508)+(Y1508*0.8)+(Z1508*0.4)</f>
        <v>1.5</v>
      </c>
      <c r="W1508">
        <v>1.5</v>
      </c>
      <c r="X1508">
        <v>0</v>
      </c>
      <c r="Y1508">
        <v>0</v>
      </c>
      <c r="Z1508">
        <v>0</v>
      </c>
      <c r="AA1508" t="s">
        <v>43</v>
      </c>
      <c r="AB1508">
        <v>1.5</v>
      </c>
      <c r="AD1508" t="s">
        <v>5529</v>
      </c>
      <c r="AE1508" t="s">
        <v>5530</v>
      </c>
    </row>
    <row r="1509" spans="1:31" x14ac:dyDescent="0.25">
      <c r="A1509" t="s">
        <v>31</v>
      </c>
      <c r="C1509" t="s">
        <v>5181</v>
      </c>
      <c r="D1509" t="s">
        <v>5450</v>
      </c>
      <c r="E1509" t="s">
        <v>34</v>
      </c>
      <c r="F1509" t="s">
        <v>35</v>
      </c>
      <c r="G1509">
        <v>2002</v>
      </c>
      <c r="H1509" t="s">
        <v>36</v>
      </c>
      <c r="I1509" t="s">
        <v>5451</v>
      </c>
      <c r="J1509" t="s">
        <v>31</v>
      </c>
      <c r="K1509" t="s">
        <v>38</v>
      </c>
      <c r="L1509" t="s">
        <v>172</v>
      </c>
      <c r="M1509" t="s">
        <v>173</v>
      </c>
      <c r="N1509" t="s">
        <v>780</v>
      </c>
      <c r="O1509" t="s">
        <v>781</v>
      </c>
      <c r="P1509" t="s">
        <v>5443</v>
      </c>
      <c r="T1509">
        <v>37.376122373999998</v>
      </c>
      <c r="U1509">
        <v>-121.988856911</v>
      </c>
      <c r="V1509">
        <f>SUM(W1509:X1509)+(Y1509*0.8)+(Z1509*0.4)</f>
        <v>1.5</v>
      </c>
      <c r="W1509">
        <v>1.5</v>
      </c>
      <c r="X1509">
        <v>0</v>
      </c>
      <c r="Y1509">
        <v>0</v>
      </c>
      <c r="Z1509">
        <v>0</v>
      </c>
      <c r="AA1509" t="s">
        <v>43</v>
      </c>
      <c r="AB1509">
        <v>1.45</v>
      </c>
      <c r="AD1509" t="s">
        <v>5452</v>
      </c>
      <c r="AE1509" t="s">
        <v>5453</v>
      </c>
    </row>
    <row r="1510" spans="1:31" x14ac:dyDescent="0.25">
      <c r="A1510" t="s">
        <v>31</v>
      </c>
      <c r="C1510" t="s">
        <v>8739</v>
      </c>
      <c r="D1510" t="s">
        <v>8740</v>
      </c>
      <c r="E1510" t="s">
        <v>362</v>
      </c>
      <c r="F1510" t="s">
        <v>649</v>
      </c>
      <c r="G1510">
        <v>2001</v>
      </c>
      <c r="H1510" t="s">
        <v>36</v>
      </c>
      <c r="I1510" t="s">
        <v>8741</v>
      </c>
      <c r="J1510" t="s">
        <v>31</v>
      </c>
      <c r="K1510" t="s">
        <v>38</v>
      </c>
      <c r="L1510" t="s">
        <v>133</v>
      </c>
      <c r="M1510" t="s">
        <v>134</v>
      </c>
      <c r="N1510" t="s">
        <v>419</v>
      </c>
      <c r="O1510" t="s">
        <v>420</v>
      </c>
      <c r="P1510" t="s">
        <v>421</v>
      </c>
      <c r="S1510" t="s">
        <v>4334</v>
      </c>
      <c r="T1510">
        <v>45.544007677000003</v>
      </c>
      <c r="U1510">
        <v>-122.896598868</v>
      </c>
      <c r="V1510">
        <f>SUM(W1510:X1510)+(Y1510*0.8)+(Z1510*0.4)</f>
        <v>1.5</v>
      </c>
      <c r="W1510">
        <v>1.5</v>
      </c>
      <c r="X1510">
        <v>0</v>
      </c>
      <c r="Y1510">
        <v>0</v>
      </c>
      <c r="Z1510">
        <v>0</v>
      </c>
      <c r="AA1510" t="s">
        <v>43</v>
      </c>
      <c r="AB1510">
        <v>1.5</v>
      </c>
      <c r="AD1510" t="s">
        <v>8742</v>
      </c>
      <c r="AE1510" t="s">
        <v>8743</v>
      </c>
    </row>
    <row r="1511" spans="1:31" x14ac:dyDescent="0.25">
      <c r="A1511" t="s">
        <v>31</v>
      </c>
      <c r="C1511" t="s">
        <v>6381</v>
      </c>
      <c r="D1511" t="s">
        <v>6460</v>
      </c>
      <c r="E1511" t="s">
        <v>34</v>
      </c>
      <c r="F1511" t="s">
        <v>35</v>
      </c>
      <c r="G1511">
        <v>2001</v>
      </c>
      <c r="H1511" t="s">
        <v>36</v>
      </c>
      <c r="I1511" t="s">
        <v>6461</v>
      </c>
      <c r="J1511" t="s">
        <v>31</v>
      </c>
      <c r="K1511" t="s">
        <v>38</v>
      </c>
      <c r="L1511" t="s">
        <v>133</v>
      </c>
      <c r="M1511" t="s">
        <v>134</v>
      </c>
      <c r="N1511" t="s">
        <v>135</v>
      </c>
      <c r="O1511" t="s">
        <v>136</v>
      </c>
      <c r="P1511" t="s">
        <v>6462</v>
      </c>
      <c r="S1511" t="s">
        <v>6463</v>
      </c>
      <c r="T1511">
        <v>45.531916950999999</v>
      </c>
      <c r="U1511">
        <v>-122.683976331</v>
      </c>
      <c r="V1511">
        <f>SUM(W1511:X1511)+(Y1511*0.8)+(Z1511*0.4)</f>
        <v>1.5</v>
      </c>
      <c r="W1511">
        <v>1.5</v>
      </c>
      <c r="X1511">
        <v>0</v>
      </c>
      <c r="Y1511">
        <v>0</v>
      </c>
      <c r="Z1511">
        <v>0</v>
      </c>
      <c r="AA1511" t="s">
        <v>43</v>
      </c>
      <c r="AB1511">
        <v>1.42</v>
      </c>
      <c r="AD1511" t="s">
        <v>6464</v>
      </c>
      <c r="AE1511" t="s">
        <v>6465</v>
      </c>
    </row>
    <row r="1512" spans="1:31" x14ac:dyDescent="0.25">
      <c r="A1512" t="s">
        <v>31</v>
      </c>
      <c r="C1512" t="s">
        <v>1377</v>
      </c>
      <c r="D1512" t="s">
        <v>1378</v>
      </c>
      <c r="E1512" t="s">
        <v>34</v>
      </c>
      <c r="F1512" t="s">
        <v>35</v>
      </c>
      <c r="G1512">
        <v>2001</v>
      </c>
      <c r="H1512" t="s">
        <v>36</v>
      </c>
      <c r="I1512" t="s">
        <v>1379</v>
      </c>
      <c r="J1512" t="s">
        <v>31</v>
      </c>
      <c r="K1512" t="s">
        <v>38</v>
      </c>
      <c r="L1512" t="s">
        <v>1380</v>
      </c>
      <c r="M1512" t="s">
        <v>1381</v>
      </c>
      <c r="N1512" t="s">
        <v>1382</v>
      </c>
      <c r="O1512" t="s">
        <v>1383</v>
      </c>
      <c r="P1512" t="s">
        <v>1384</v>
      </c>
      <c r="Q1512" t="s">
        <v>1383</v>
      </c>
      <c r="T1512">
        <v>41.091619178999998</v>
      </c>
      <c r="U1512">
        <v>-73.516753962999999</v>
      </c>
      <c r="V1512">
        <f>SUM(W1512:X1512)+(Y1512*0.8)+(Z1512*0.4)</f>
        <v>1.5</v>
      </c>
      <c r="W1512">
        <v>1.5</v>
      </c>
      <c r="X1512">
        <v>0</v>
      </c>
      <c r="Y1512">
        <v>0</v>
      </c>
      <c r="Z1512">
        <v>0</v>
      </c>
      <c r="AA1512" t="s">
        <v>43</v>
      </c>
      <c r="AB1512">
        <v>1.1499999999999999</v>
      </c>
      <c r="AD1512" t="s">
        <v>1385</v>
      </c>
      <c r="AE1512" t="s">
        <v>1386</v>
      </c>
    </row>
    <row r="1513" spans="1:31" x14ac:dyDescent="0.25">
      <c r="A1513" t="s">
        <v>31</v>
      </c>
      <c r="C1513" t="s">
        <v>7218</v>
      </c>
      <c r="D1513" t="s">
        <v>7273</v>
      </c>
      <c r="E1513" t="s">
        <v>362</v>
      </c>
      <c r="F1513" t="s">
        <v>1611</v>
      </c>
      <c r="G1513">
        <v>1999</v>
      </c>
      <c r="H1513" t="s">
        <v>36</v>
      </c>
      <c r="I1513" t="s">
        <v>7274</v>
      </c>
      <c r="J1513" t="s">
        <v>31</v>
      </c>
      <c r="K1513" t="s">
        <v>38</v>
      </c>
      <c r="L1513" t="s">
        <v>123</v>
      </c>
      <c r="M1513" t="s">
        <v>124</v>
      </c>
      <c r="N1513" t="s">
        <v>217</v>
      </c>
      <c r="O1513" t="s">
        <v>218</v>
      </c>
      <c r="P1513" t="s">
        <v>7275</v>
      </c>
      <c r="Q1513" t="s">
        <v>7276</v>
      </c>
      <c r="T1513">
        <v>42.875926974000002</v>
      </c>
      <c r="U1513">
        <v>-78.867475943000002</v>
      </c>
      <c r="V1513">
        <f>SUM(W1513:X1513)+(Y1513*0.8)+(Z1513*0.4)</f>
        <v>1.5</v>
      </c>
      <c r="W1513">
        <v>1.5</v>
      </c>
      <c r="X1513">
        <v>0</v>
      </c>
      <c r="Y1513">
        <v>0</v>
      </c>
      <c r="Z1513">
        <v>0</v>
      </c>
      <c r="AA1513" t="s">
        <v>43</v>
      </c>
      <c r="AB1513">
        <v>1.5</v>
      </c>
      <c r="AD1513" t="s">
        <v>7277</v>
      </c>
      <c r="AE1513" t="s">
        <v>7278</v>
      </c>
    </row>
    <row r="1514" spans="1:31" x14ac:dyDescent="0.25">
      <c r="A1514" t="s">
        <v>31</v>
      </c>
      <c r="C1514" t="s">
        <v>6381</v>
      </c>
      <c r="D1514" t="s">
        <v>6429</v>
      </c>
      <c r="E1514" t="s">
        <v>34</v>
      </c>
      <c r="F1514" t="s">
        <v>35</v>
      </c>
      <c r="G1514">
        <v>1999</v>
      </c>
      <c r="H1514" t="s">
        <v>36</v>
      </c>
      <c r="I1514" t="s">
        <v>6430</v>
      </c>
      <c r="J1514" t="s">
        <v>31</v>
      </c>
      <c r="K1514" t="s">
        <v>38</v>
      </c>
      <c r="L1514" t="s">
        <v>828</v>
      </c>
      <c r="M1514" t="s">
        <v>829</v>
      </c>
      <c r="N1514" t="s">
        <v>6431</v>
      </c>
      <c r="O1514" t="s">
        <v>6432</v>
      </c>
      <c r="P1514" t="s">
        <v>6433</v>
      </c>
      <c r="Q1514" t="s">
        <v>6432</v>
      </c>
      <c r="S1514" t="s">
        <v>6434</v>
      </c>
      <c r="T1514">
        <v>44.971572696000003</v>
      </c>
      <c r="U1514">
        <v>-93.147404050000006</v>
      </c>
      <c r="V1514">
        <f>SUM(W1514:X1514)+(Y1514*0.8)+(Z1514*0.4)</f>
        <v>1.5</v>
      </c>
      <c r="W1514">
        <v>1.5</v>
      </c>
      <c r="X1514">
        <v>0</v>
      </c>
      <c r="Y1514">
        <v>0</v>
      </c>
      <c r="Z1514">
        <v>0</v>
      </c>
      <c r="AA1514" t="s">
        <v>43</v>
      </c>
      <c r="AB1514">
        <v>1.0349999999999999</v>
      </c>
      <c r="AD1514" t="s">
        <v>6435</v>
      </c>
      <c r="AE1514" t="s">
        <v>6436</v>
      </c>
    </row>
    <row r="1515" spans="1:31" x14ac:dyDescent="0.25">
      <c r="A1515" t="s">
        <v>31</v>
      </c>
      <c r="C1515" t="s">
        <v>7218</v>
      </c>
      <c r="D1515" t="s">
        <v>7350</v>
      </c>
      <c r="E1515" t="s">
        <v>34</v>
      </c>
      <c r="F1515" t="s">
        <v>35</v>
      </c>
      <c r="G1515">
        <v>1998</v>
      </c>
      <c r="H1515" t="s">
        <v>36</v>
      </c>
      <c r="I1515" t="s">
        <v>7351</v>
      </c>
      <c r="J1515" t="s">
        <v>31</v>
      </c>
      <c r="K1515" t="s">
        <v>38</v>
      </c>
      <c r="L1515" t="s">
        <v>68</v>
      </c>
      <c r="M1515" t="s">
        <v>69</v>
      </c>
      <c r="N1515" t="s">
        <v>1951</v>
      </c>
      <c r="O1515" t="s">
        <v>1952</v>
      </c>
      <c r="P1515" t="s">
        <v>7352</v>
      </c>
      <c r="S1515" t="s">
        <v>7353</v>
      </c>
      <c r="T1515">
        <v>29.771095508999998</v>
      </c>
      <c r="U1515">
        <v>-95.346237497999994</v>
      </c>
      <c r="V1515">
        <f>SUM(W1515:X1515)+(Y1515*0.8)+(Z1515*0.4)</f>
        <v>1.5</v>
      </c>
      <c r="W1515">
        <v>1.5</v>
      </c>
      <c r="X1515">
        <v>0</v>
      </c>
      <c r="Y1515">
        <v>0</v>
      </c>
      <c r="Z1515">
        <v>0</v>
      </c>
      <c r="AA1515" t="s">
        <v>43</v>
      </c>
      <c r="AB1515">
        <v>1.5</v>
      </c>
      <c r="AD1515" t="s">
        <v>7354</v>
      </c>
      <c r="AE1515" t="s">
        <v>7355</v>
      </c>
    </row>
    <row r="1516" spans="1:31" x14ac:dyDescent="0.25">
      <c r="A1516" t="s">
        <v>31</v>
      </c>
      <c r="C1516" t="s">
        <v>9415</v>
      </c>
      <c r="D1516" t="s">
        <v>9416</v>
      </c>
      <c r="E1516" t="s">
        <v>34</v>
      </c>
      <c r="F1516" t="s">
        <v>35</v>
      </c>
      <c r="G1516">
        <v>1990</v>
      </c>
      <c r="H1516" t="s">
        <v>36</v>
      </c>
      <c r="I1516" t="s">
        <v>9417</v>
      </c>
      <c r="J1516" t="s">
        <v>31</v>
      </c>
      <c r="K1516" t="s">
        <v>38</v>
      </c>
      <c r="L1516" t="s">
        <v>1900</v>
      </c>
      <c r="M1516" t="s">
        <v>1901</v>
      </c>
      <c r="N1516" t="s">
        <v>5058</v>
      </c>
      <c r="O1516" t="s">
        <v>5056</v>
      </c>
      <c r="P1516" t="s">
        <v>9418</v>
      </c>
      <c r="Q1516" t="s">
        <v>5060</v>
      </c>
      <c r="S1516" t="s">
        <v>9419</v>
      </c>
      <c r="T1516">
        <v>39.290483000000002</v>
      </c>
      <c r="U1516">
        <v>-94.675860999999998</v>
      </c>
      <c r="V1516">
        <f>SUM(W1516:X1516)+(Y1516*0.8)+(Z1516*0.4)</f>
        <v>1.5</v>
      </c>
      <c r="W1516">
        <v>1.5</v>
      </c>
      <c r="X1516">
        <v>0</v>
      </c>
      <c r="Y1516">
        <v>0</v>
      </c>
      <c r="Z1516">
        <v>0</v>
      </c>
      <c r="AA1516" t="s">
        <v>43</v>
      </c>
      <c r="AB1516">
        <v>1.2</v>
      </c>
      <c r="AD1516" t="s">
        <v>9420</v>
      </c>
      <c r="AE1516" t="s">
        <v>9421</v>
      </c>
    </row>
    <row r="1517" spans="1:31" x14ac:dyDescent="0.25">
      <c r="A1517" t="s">
        <v>31</v>
      </c>
      <c r="C1517" t="s">
        <v>2584</v>
      </c>
      <c r="D1517" t="s">
        <v>2633</v>
      </c>
      <c r="E1517" t="s">
        <v>34</v>
      </c>
      <c r="F1517" t="s">
        <v>35</v>
      </c>
      <c r="G1517">
        <v>1990</v>
      </c>
      <c r="H1517" t="s">
        <v>36</v>
      </c>
      <c r="I1517" t="s">
        <v>2634</v>
      </c>
      <c r="J1517" t="s">
        <v>31</v>
      </c>
      <c r="K1517" t="s">
        <v>38</v>
      </c>
      <c r="L1517" t="s">
        <v>172</v>
      </c>
      <c r="M1517" t="s">
        <v>173</v>
      </c>
      <c r="N1517" t="s">
        <v>493</v>
      </c>
      <c r="O1517" t="s">
        <v>2633</v>
      </c>
      <c r="P1517" t="s">
        <v>2635</v>
      </c>
      <c r="S1517" t="s">
        <v>2636</v>
      </c>
      <c r="T1517">
        <v>34.168414003999999</v>
      </c>
      <c r="U1517">
        <v>-118.08897267099999</v>
      </c>
      <c r="V1517">
        <f>SUM(W1517:X1517)+(Y1517*0.8)+(Z1517*0.4)</f>
        <v>1.5</v>
      </c>
      <c r="W1517">
        <v>1.5</v>
      </c>
      <c r="X1517">
        <v>0</v>
      </c>
      <c r="Y1517">
        <v>0</v>
      </c>
      <c r="Z1517">
        <v>0</v>
      </c>
      <c r="AA1517" t="s">
        <v>43</v>
      </c>
      <c r="AB1517">
        <v>1.3</v>
      </c>
      <c r="AD1517" t="s">
        <v>2637</v>
      </c>
      <c r="AE1517" t="s">
        <v>2638</v>
      </c>
    </row>
    <row r="1518" spans="1:31" x14ac:dyDescent="0.25">
      <c r="A1518" t="s">
        <v>31</v>
      </c>
      <c r="C1518" t="s">
        <v>64</v>
      </c>
      <c r="D1518" t="s">
        <v>65</v>
      </c>
      <c r="E1518" t="s">
        <v>34</v>
      </c>
      <c r="F1518" t="s">
        <v>66</v>
      </c>
      <c r="G1518">
        <v>1990</v>
      </c>
      <c r="H1518" t="s">
        <v>36</v>
      </c>
      <c r="I1518" t="s">
        <v>67</v>
      </c>
      <c r="J1518" t="s">
        <v>31</v>
      </c>
      <c r="K1518" t="s">
        <v>38</v>
      </c>
      <c r="L1518" t="s">
        <v>68</v>
      </c>
      <c r="M1518" t="s">
        <v>69</v>
      </c>
      <c r="N1518" t="s">
        <v>70</v>
      </c>
      <c r="O1518" t="s">
        <v>71</v>
      </c>
      <c r="P1518" t="s">
        <v>72</v>
      </c>
      <c r="T1518">
        <v>26.202261491000002</v>
      </c>
      <c r="U1518">
        <v>-98.231415815000005</v>
      </c>
      <c r="V1518">
        <f>SUM(W1518:X1518)+(Y1518*0.8)+(Z1518*0.4)</f>
        <v>1.5</v>
      </c>
      <c r="W1518">
        <v>1.5</v>
      </c>
      <c r="X1518">
        <v>0</v>
      </c>
      <c r="Y1518">
        <v>0</v>
      </c>
      <c r="Z1518">
        <v>0</v>
      </c>
      <c r="AA1518" t="s">
        <v>43</v>
      </c>
      <c r="AB1518">
        <v>1.2</v>
      </c>
      <c r="AD1518" t="s">
        <v>73</v>
      </c>
      <c r="AE1518" t="s">
        <v>74</v>
      </c>
    </row>
    <row r="1519" spans="1:31" x14ac:dyDescent="0.25">
      <c r="A1519" t="s">
        <v>31</v>
      </c>
      <c r="C1519" t="s">
        <v>5765</v>
      </c>
      <c r="D1519" t="s">
        <v>5863</v>
      </c>
      <c r="E1519" t="s">
        <v>34</v>
      </c>
      <c r="F1519" t="s">
        <v>35</v>
      </c>
      <c r="G1519">
        <v>2005</v>
      </c>
      <c r="H1519" t="s">
        <v>36</v>
      </c>
      <c r="I1519" t="s">
        <v>5864</v>
      </c>
      <c r="J1519" t="s">
        <v>31</v>
      </c>
      <c r="K1519" t="s">
        <v>38</v>
      </c>
      <c r="L1519" t="s">
        <v>260</v>
      </c>
      <c r="M1519" t="s">
        <v>261</v>
      </c>
      <c r="N1519" t="s">
        <v>956</v>
      </c>
      <c r="O1519" t="s">
        <v>5865</v>
      </c>
      <c r="P1519" t="s">
        <v>5866</v>
      </c>
      <c r="T1519">
        <v>35.972447682000002</v>
      </c>
      <c r="U1519">
        <v>-86.808527858999994</v>
      </c>
      <c r="V1519">
        <f>SUM(W1519:X1519)+(Y1519*0.8)+(Z1519*0.4)</f>
        <v>1.49</v>
      </c>
      <c r="W1519">
        <v>1.49</v>
      </c>
      <c r="X1519">
        <v>0</v>
      </c>
      <c r="Y1519">
        <v>0</v>
      </c>
      <c r="Z1519">
        <v>0</v>
      </c>
      <c r="AA1519" t="s">
        <v>43</v>
      </c>
      <c r="AB1519">
        <v>1</v>
      </c>
      <c r="AC1519">
        <v>1.85</v>
      </c>
      <c r="AD1519" t="s">
        <v>5867</v>
      </c>
      <c r="AE1519" t="s">
        <v>5868</v>
      </c>
    </row>
    <row r="1520" spans="1:31" x14ac:dyDescent="0.25">
      <c r="A1520" t="s">
        <v>31</v>
      </c>
      <c r="C1520" t="s">
        <v>5543</v>
      </c>
      <c r="D1520" t="s">
        <v>5555</v>
      </c>
      <c r="E1520" t="s">
        <v>34</v>
      </c>
      <c r="F1520" t="s">
        <v>76</v>
      </c>
      <c r="G1520">
        <v>1999</v>
      </c>
      <c r="H1520" t="s">
        <v>36</v>
      </c>
      <c r="I1520" t="s">
        <v>5556</v>
      </c>
      <c r="J1520" t="s">
        <v>31</v>
      </c>
      <c r="K1520" t="s">
        <v>38</v>
      </c>
      <c r="L1520" t="s">
        <v>193</v>
      </c>
      <c r="M1520" t="s">
        <v>194</v>
      </c>
      <c r="N1520" t="s">
        <v>2858</v>
      </c>
      <c r="O1520" t="s">
        <v>2859</v>
      </c>
      <c r="P1520" t="s">
        <v>2129</v>
      </c>
      <c r="T1520">
        <v>39.581275781999999</v>
      </c>
      <c r="U1520">
        <v>-104.842526646</v>
      </c>
      <c r="V1520">
        <f>SUM(W1520:X1520)+(Y1520*0.8)+(Z1520*0.4)</f>
        <v>1.48</v>
      </c>
      <c r="W1520">
        <v>1</v>
      </c>
      <c r="X1520">
        <v>0</v>
      </c>
      <c r="Y1520">
        <v>0.6</v>
      </c>
      <c r="Z1520">
        <v>0</v>
      </c>
      <c r="AA1520" t="s">
        <v>43</v>
      </c>
      <c r="AB1520">
        <v>0.55000000000000004</v>
      </c>
      <c r="AD1520" t="s">
        <v>5557</v>
      </c>
      <c r="AE1520" t="s">
        <v>5558</v>
      </c>
    </row>
    <row r="1521" spans="1:31" x14ac:dyDescent="0.25">
      <c r="A1521" t="s">
        <v>31</v>
      </c>
      <c r="C1521" t="s">
        <v>5765</v>
      </c>
      <c r="D1521" t="s">
        <v>5853</v>
      </c>
      <c r="E1521" t="s">
        <v>34</v>
      </c>
      <c r="F1521" t="s">
        <v>35</v>
      </c>
      <c r="G1521">
        <v>2013</v>
      </c>
      <c r="H1521" t="s">
        <v>36</v>
      </c>
      <c r="I1521" t="s">
        <v>5854</v>
      </c>
      <c r="J1521" t="s">
        <v>31</v>
      </c>
      <c r="K1521" t="s">
        <v>38</v>
      </c>
      <c r="L1521" t="s">
        <v>1918</v>
      </c>
      <c r="M1521" t="s">
        <v>1919</v>
      </c>
      <c r="N1521" t="s">
        <v>1885</v>
      </c>
      <c r="O1521" t="s">
        <v>1920</v>
      </c>
      <c r="P1521" t="s">
        <v>5855</v>
      </c>
      <c r="T1521">
        <v>38.277211645999998</v>
      </c>
      <c r="U1521">
        <v>-85.507080134000006</v>
      </c>
      <c r="V1521">
        <f>SUM(W1521:X1521)+(Y1521*0.8)+(Z1521*0.4)</f>
        <v>1.46</v>
      </c>
      <c r="W1521">
        <v>1.46</v>
      </c>
      <c r="X1521">
        <v>0</v>
      </c>
      <c r="Y1521">
        <v>0</v>
      </c>
      <c r="Z1521">
        <v>0</v>
      </c>
      <c r="AA1521" t="s">
        <v>43</v>
      </c>
      <c r="AB1521">
        <v>0.73</v>
      </c>
      <c r="AC1521">
        <v>2.1</v>
      </c>
      <c r="AD1521" t="s">
        <v>5856</v>
      </c>
      <c r="AE1521" t="s">
        <v>5857</v>
      </c>
    </row>
    <row r="1522" spans="1:31" x14ac:dyDescent="0.25">
      <c r="A1522" t="s">
        <v>31</v>
      </c>
      <c r="C1522" t="s">
        <v>3710</v>
      </c>
      <c r="D1522" t="s">
        <v>3856</v>
      </c>
      <c r="E1522" t="s">
        <v>34</v>
      </c>
      <c r="F1522" t="s">
        <v>35</v>
      </c>
      <c r="G1522">
        <v>2015</v>
      </c>
      <c r="H1522" t="s">
        <v>36</v>
      </c>
      <c r="I1522" t="s">
        <v>3857</v>
      </c>
      <c r="J1522" t="s">
        <v>31</v>
      </c>
      <c r="K1522" t="s">
        <v>38</v>
      </c>
      <c r="L1522" t="s">
        <v>68</v>
      </c>
      <c r="M1522" t="s">
        <v>69</v>
      </c>
      <c r="N1522" t="s">
        <v>297</v>
      </c>
      <c r="O1522" t="s">
        <v>2116</v>
      </c>
      <c r="P1522" t="s">
        <v>2738</v>
      </c>
      <c r="T1522">
        <v>32.800486063999998</v>
      </c>
      <c r="U1522">
        <v>-96.819461028999996</v>
      </c>
      <c r="V1522">
        <f>SUM(W1522:X1522)+(Y1522*0.8)+(Z1522*0.4)</f>
        <v>1.45</v>
      </c>
      <c r="W1522">
        <v>1.45</v>
      </c>
      <c r="X1522">
        <v>0</v>
      </c>
      <c r="Y1522">
        <v>0</v>
      </c>
      <c r="Z1522">
        <v>0</v>
      </c>
      <c r="AA1522" t="s">
        <v>43</v>
      </c>
      <c r="AB1522">
        <v>1.45</v>
      </c>
      <c r="AC1522">
        <v>1.32</v>
      </c>
      <c r="AD1522" t="s">
        <v>3858</v>
      </c>
      <c r="AE1522" t="s">
        <v>3859</v>
      </c>
    </row>
    <row r="1523" spans="1:31" x14ac:dyDescent="0.25">
      <c r="A1523" t="s">
        <v>31</v>
      </c>
      <c r="C1523" t="s">
        <v>7116</v>
      </c>
      <c r="D1523" t="s">
        <v>7147</v>
      </c>
      <c r="E1523" t="s">
        <v>34</v>
      </c>
      <c r="F1523" t="s">
        <v>35</v>
      </c>
      <c r="G1523">
        <v>2011</v>
      </c>
      <c r="H1523" t="s">
        <v>36</v>
      </c>
      <c r="I1523" t="s">
        <v>7148</v>
      </c>
      <c r="J1523" t="s">
        <v>31</v>
      </c>
      <c r="K1523" t="s">
        <v>38</v>
      </c>
      <c r="L1523" t="s">
        <v>153</v>
      </c>
      <c r="M1523" t="s">
        <v>154</v>
      </c>
      <c r="N1523" t="s">
        <v>5682</v>
      </c>
      <c r="O1523" t="s">
        <v>5680</v>
      </c>
      <c r="P1523" t="s">
        <v>6257</v>
      </c>
      <c r="Q1523" t="s">
        <v>5680</v>
      </c>
      <c r="T1523">
        <v>41.159807325999999</v>
      </c>
      <c r="U1523">
        <v>-96.025657414999998</v>
      </c>
      <c r="V1523">
        <f>SUM(W1523:X1523)+(Y1523*0.8)+(Z1523*0.4)</f>
        <v>1.45</v>
      </c>
      <c r="W1523">
        <v>1.45</v>
      </c>
      <c r="X1523">
        <v>0</v>
      </c>
      <c r="Y1523">
        <v>0</v>
      </c>
      <c r="Z1523">
        <v>0</v>
      </c>
      <c r="AA1523" t="s">
        <v>43</v>
      </c>
      <c r="AB1523">
        <v>1.3149999999999999</v>
      </c>
      <c r="AD1523" t="s">
        <v>7149</v>
      </c>
      <c r="AE1523" t="s">
        <v>7150</v>
      </c>
    </row>
    <row r="1524" spans="1:31" x14ac:dyDescent="0.25">
      <c r="A1524" t="s">
        <v>31</v>
      </c>
      <c r="C1524" t="s">
        <v>3551</v>
      </c>
      <c r="D1524" t="s">
        <v>3598</v>
      </c>
      <c r="E1524" t="s">
        <v>34</v>
      </c>
      <c r="F1524" t="s">
        <v>35</v>
      </c>
      <c r="G1524">
        <v>2007</v>
      </c>
      <c r="H1524" t="s">
        <v>36</v>
      </c>
      <c r="I1524" t="s">
        <v>3599</v>
      </c>
      <c r="J1524" t="s">
        <v>31</v>
      </c>
      <c r="K1524" t="s">
        <v>38</v>
      </c>
      <c r="L1524" t="s">
        <v>2437</v>
      </c>
      <c r="M1524" t="s">
        <v>2438</v>
      </c>
      <c r="N1524" t="s">
        <v>3600</v>
      </c>
      <c r="O1524" t="s">
        <v>3598</v>
      </c>
      <c r="P1524" t="s">
        <v>3601</v>
      </c>
      <c r="T1524">
        <v>34.807245115000001</v>
      </c>
      <c r="U1524">
        <v>-82.343484927999995</v>
      </c>
      <c r="V1524">
        <f>SUM(W1524:X1524)+(Y1524*0.8)+(Z1524*0.4)</f>
        <v>1.45</v>
      </c>
      <c r="W1524">
        <v>1.45</v>
      </c>
      <c r="X1524">
        <v>0</v>
      </c>
      <c r="Y1524">
        <v>0</v>
      </c>
      <c r="Z1524">
        <v>0</v>
      </c>
      <c r="AA1524" t="s">
        <v>43</v>
      </c>
      <c r="AB1524">
        <v>0.7</v>
      </c>
      <c r="AD1524" t="s">
        <v>3602</v>
      </c>
      <c r="AE1524" t="s">
        <v>3603</v>
      </c>
    </row>
    <row r="1525" spans="1:31" x14ac:dyDescent="0.25">
      <c r="A1525" t="s">
        <v>31</v>
      </c>
      <c r="C1525" t="s">
        <v>4801</v>
      </c>
      <c r="D1525" t="s">
        <v>4866</v>
      </c>
      <c r="E1525" t="s">
        <v>34</v>
      </c>
      <c r="F1525" t="s">
        <v>35</v>
      </c>
      <c r="G1525">
        <v>2015</v>
      </c>
      <c r="H1525" t="s">
        <v>36</v>
      </c>
      <c r="I1525" t="s">
        <v>4867</v>
      </c>
      <c r="J1525" t="s">
        <v>31</v>
      </c>
      <c r="K1525" t="s">
        <v>38</v>
      </c>
      <c r="L1525" t="s">
        <v>112</v>
      </c>
      <c r="M1525" t="s">
        <v>113</v>
      </c>
      <c r="N1525" t="s">
        <v>345</v>
      </c>
      <c r="O1525" t="s">
        <v>4868</v>
      </c>
      <c r="P1525" t="s">
        <v>4869</v>
      </c>
      <c r="Q1525" t="s">
        <v>343</v>
      </c>
      <c r="S1525" t="s">
        <v>4870</v>
      </c>
      <c r="T1525">
        <v>43.049196999999999</v>
      </c>
      <c r="U1525">
        <v>-89.297290000000004</v>
      </c>
      <c r="V1525">
        <f>SUM(W1525:X1525)+(Y1525*0.8)+(Z1525*0.4)</f>
        <v>1.4</v>
      </c>
      <c r="W1525">
        <v>1.4</v>
      </c>
      <c r="X1525">
        <v>0</v>
      </c>
      <c r="Y1525">
        <v>0</v>
      </c>
      <c r="Z1525">
        <v>0</v>
      </c>
      <c r="AA1525" t="s">
        <v>43</v>
      </c>
      <c r="AB1525">
        <v>1.28</v>
      </c>
      <c r="AD1525" t="s">
        <v>4871</v>
      </c>
      <c r="AE1525" t="s">
        <v>4872</v>
      </c>
    </row>
    <row r="1526" spans="1:31" x14ac:dyDescent="0.25">
      <c r="A1526" t="s">
        <v>31</v>
      </c>
      <c r="C1526" t="s">
        <v>4801</v>
      </c>
      <c r="D1526" t="s">
        <v>4915</v>
      </c>
      <c r="E1526" t="s">
        <v>34</v>
      </c>
      <c r="F1526" t="s">
        <v>66</v>
      </c>
      <c r="G1526">
        <v>2014</v>
      </c>
      <c r="H1526" t="s">
        <v>36</v>
      </c>
      <c r="I1526" t="s">
        <v>4916</v>
      </c>
      <c r="J1526" t="s">
        <v>31</v>
      </c>
      <c r="K1526" t="s">
        <v>38</v>
      </c>
      <c r="L1526" t="s">
        <v>77</v>
      </c>
      <c r="M1526" t="s">
        <v>78</v>
      </c>
      <c r="N1526" t="s">
        <v>1358</v>
      </c>
      <c r="O1526" t="s">
        <v>1518</v>
      </c>
      <c r="P1526" t="s">
        <v>4917</v>
      </c>
      <c r="Q1526" t="s">
        <v>4918</v>
      </c>
      <c r="T1526">
        <v>40.452300000000001</v>
      </c>
      <c r="U1526">
        <v>-80.041697999999997</v>
      </c>
      <c r="V1526">
        <f>SUM(W1526:X1526)+(Y1526*0.8)+(Z1526*0.4)</f>
        <v>1.4</v>
      </c>
      <c r="W1526">
        <v>1</v>
      </c>
      <c r="X1526">
        <v>0</v>
      </c>
      <c r="Y1526">
        <v>0.5</v>
      </c>
      <c r="Z1526">
        <v>0</v>
      </c>
      <c r="AA1526" t="s">
        <v>43</v>
      </c>
      <c r="AB1526">
        <v>0.99</v>
      </c>
      <c r="AD1526" t="s">
        <v>4919</v>
      </c>
      <c r="AE1526" t="s">
        <v>4920</v>
      </c>
    </row>
    <row r="1527" spans="1:31" x14ac:dyDescent="0.25">
      <c r="A1527" t="s">
        <v>31</v>
      </c>
      <c r="C1527" t="s">
        <v>6832</v>
      </c>
      <c r="D1527" t="s">
        <v>6893</v>
      </c>
      <c r="E1527" t="s">
        <v>34</v>
      </c>
      <c r="F1527" t="s">
        <v>66</v>
      </c>
      <c r="G1527">
        <v>2013</v>
      </c>
      <c r="H1527" t="s">
        <v>36</v>
      </c>
      <c r="I1527" t="s">
        <v>6894</v>
      </c>
      <c r="J1527" t="s">
        <v>31</v>
      </c>
      <c r="K1527" t="s">
        <v>38</v>
      </c>
      <c r="L1527" t="s">
        <v>317</v>
      </c>
      <c r="M1527" t="s">
        <v>318</v>
      </c>
      <c r="N1527" t="s">
        <v>3352</v>
      </c>
      <c r="O1527" t="s">
        <v>6895</v>
      </c>
      <c r="P1527" t="s">
        <v>6896</v>
      </c>
      <c r="Q1527" t="s">
        <v>6897</v>
      </c>
      <c r="T1527">
        <v>39.590922843999998</v>
      </c>
      <c r="U1527">
        <v>-84.236441403000001</v>
      </c>
      <c r="V1527">
        <f>SUM(W1527:X1527)+(Y1527*0.8)+(Z1527*0.4)</f>
        <v>1.4</v>
      </c>
      <c r="W1527">
        <v>1.4</v>
      </c>
      <c r="X1527">
        <v>0</v>
      </c>
      <c r="Y1527">
        <v>0</v>
      </c>
      <c r="Z1527">
        <v>0</v>
      </c>
      <c r="AA1527" t="s">
        <v>43</v>
      </c>
      <c r="AB1527">
        <v>0.7</v>
      </c>
      <c r="AC1527">
        <v>1.2</v>
      </c>
      <c r="AD1527" t="s">
        <v>6898</v>
      </c>
      <c r="AE1527" t="s">
        <v>6899</v>
      </c>
    </row>
    <row r="1528" spans="1:31" x14ac:dyDescent="0.25">
      <c r="A1528" t="s">
        <v>31</v>
      </c>
      <c r="C1528" t="s">
        <v>3174</v>
      </c>
      <c r="D1528" t="s">
        <v>2116</v>
      </c>
      <c r="E1528" t="s">
        <v>34</v>
      </c>
      <c r="F1528" t="s">
        <v>35</v>
      </c>
      <c r="G1528">
        <v>2011</v>
      </c>
      <c r="H1528" t="s">
        <v>36</v>
      </c>
      <c r="I1528" t="s">
        <v>3175</v>
      </c>
      <c r="J1528" t="s">
        <v>31</v>
      </c>
      <c r="K1528" t="s">
        <v>38</v>
      </c>
      <c r="L1528" t="s">
        <v>68</v>
      </c>
      <c r="M1528" t="s">
        <v>69</v>
      </c>
      <c r="N1528" t="s">
        <v>297</v>
      </c>
      <c r="O1528" t="s">
        <v>2116</v>
      </c>
      <c r="P1528" t="s">
        <v>3176</v>
      </c>
      <c r="T1528">
        <v>32.817633022000003</v>
      </c>
      <c r="U1528">
        <v>-96.873021348999998</v>
      </c>
      <c r="V1528">
        <f>SUM(W1528:X1528)+(Y1528*0.8)+(Z1528*0.4)</f>
        <v>1.4</v>
      </c>
      <c r="W1528">
        <v>1.4</v>
      </c>
      <c r="X1528">
        <v>0</v>
      </c>
      <c r="Y1528">
        <v>0</v>
      </c>
      <c r="Z1528">
        <v>0</v>
      </c>
      <c r="AA1528" t="s">
        <v>43</v>
      </c>
      <c r="AB1528">
        <v>1.4</v>
      </c>
      <c r="AD1528" t="s">
        <v>3177</v>
      </c>
      <c r="AE1528" t="s">
        <v>3178</v>
      </c>
    </row>
    <row r="1529" spans="1:31" x14ac:dyDescent="0.25">
      <c r="A1529" t="s">
        <v>31</v>
      </c>
      <c r="C1529" t="s">
        <v>10406</v>
      </c>
      <c r="D1529" t="s">
        <v>10505</v>
      </c>
      <c r="E1529" t="s">
        <v>34</v>
      </c>
      <c r="F1529" t="s">
        <v>35</v>
      </c>
      <c r="G1529">
        <v>2008</v>
      </c>
      <c r="H1529" t="s">
        <v>36</v>
      </c>
      <c r="I1529" t="s">
        <v>10506</v>
      </c>
      <c r="J1529" t="s">
        <v>31</v>
      </c>
      <c r="K1529" t="s">
        <v>38</v>
      </c>
      <c r="L1529" t="s">
        <v>1819</v>
      </c>
      <c r="M1529" t="s">
        <v>1820</v>
      </c>
      <c r="N1529" t="s">
        <v>8210</v>
      </c>
      <c r="O1529" t="s">
        <v>8208</v>
      </c>
      <c r="T1529">
        <v>35.514334757</v>
      </c>
      <c r="U1529">
        <v>-97.596742633999995</v>
      </c>
      <c r="V1529">
        <f>SUM(W1529:X1529)+(Y1529*0.8)+(Z1529*0.4)</f>
        <v>1.4</v>
      </c>
      <c r="W1529">
        <v>1.4</v>
      </c>
      <c r="X1529">
        <v>0</v>
      </c>
      <c r="Y1529">
        <v>0</v>
      </c>
      <c r="Z1529">
        <v>0</v>
      </c>
      <c r="AA1529" t="s">
        <v>43</v>
      </c>
      <c r="AB1529">
        <v>0.8</v>
      </c>
      <c r="AD1529" t="s">
        <v>10507</v>
      </c>
      <c r="AE1529" t="s">
        <v>10508</v>
      </c>
    </row>
    <row r="1530" spans="1:31" x14ac:dyDescent="0.25">
      <c r="A1530" t="s">
        <v>31</v>
      </c>
      <c r="C1530" t="s">
        <v>3849</v>
      </c>
      <c r="D1530" t="s">
        <v>4586</v>
      </c>
      <c r="E1530" t="s">
        <v>34</v>
      </c>
      <c r="F1530" t="s">
        <v>35</v>
      </c>
      <c r="G1530">
        <v>2005</v>
      </c>
      <c r="H1530" t="s">
        <v>36</v>
      </c>
      <c r="I1530" t="s">
        <v>4587</v>
      </c>
      <c r="J1530" t="s">
        <v>31</v>
      </c>
      <c r="K1530" t="s">
        <v>38</v>
      </c>
      <c r="L1530" t="s">
        <v>86</v>
      </c>
      <c r="M1530" t="s">
        <v>87</v>
      </c>
      <c r="N1530" t="s">
        <v>88</v>
      </c>
      <c r="O1530" t="s">
        <v>89</v>
      </c>
      <c r="P1530" t="s">
        <v>3065</v>
      </c>
      <c r="Q1530" t="s">
        <v>97</v>
      </c>
      <c r="S1530" t="s">
        <v>98</v>
      </c>
      <c r="T1530">
        <v>41.874383999999999</v>
      </c>
      <c r="U1530">
        <v>-87.629991000000004</v>
      </c>
      <c r="V1530">
        <f>SUM(W1530:X1530)+(Y1530*0.8)+(Z1530*0.4)</f>
        <v>1.4</v>
      </c>
      <c r="W1530">
        <v>1.4</v>
      </c>
      <c r="X1530">
        <v>0</v>
      </c>
      <c r="Y1530">
        <v>0</v>
      </c>
      <c r="Z1530">
        <v>0</v>
      </c>
      <c r="AA1530" t="s">
        <v>43</v>
      </c>
      <c r="AB1530">
        <v>1.2</v>
      </c>
      <c r="AD1530" t="s">
        <v>4588</v>
      </c>
      <c r="AE1530" t="s">
        <v>4589</v>
      </c>
    </row>
    <row r="1531" spans="1:31" x14ac:dyDescent="0.25">
      <c r="A1531" t="s">
        <v>31</v>
      </c>
      <c r="C1531" t="s">
        <v>5765</v>
      </c>
      <c r="D1531" t="s">
        <v>2751</v>
      </c>
      <c r="E1531" t="s">
        <v>34</v>
      </c>
      <c r="F1531" t="s">
        <v>35</v>
      </c>
      <c r="G1531">
        <v>2000</v>
      </c>
      <c r="H1531" t="s">
        <v>36</v>
      </c>
      <c r="I1531" t="s">
        <v>5831</v>
      </c>
      <c r="J1531" t="s">
        <v>31</v>
      </c>
      <c r="K1531" t="s">
        <v>38</v>
      </c>
      <c r="L1531" t="s">
        <v>202</v>
      </c>
      <c r="M1531" t="s">
        <v>203</v>
      </c>
      <c r="N1531" t="s">
        <v>2750</v>
      </c>
      <c r="O1531" t="s">
        <v>2751</v>
      </c>
      <c r="P1531" t="s">
        <v>5832</v>
      </c>
      <c r="S1531" t="s">
        <v>5833</v>
      </c>
      <c r="T1531">
        <v>30.245683759999999</v>
      </c>
      <c r="U1531">
        <v>-81.581857829</v>
      </c>
      <c r="V1531">
        <f>SUM(W1531:X1531)+(Y1531*0.8)+(Z1531*0.4)</f>
        <v>1.39</v>
      </c>
      <c r="W1531">
        <v>1.39</v>
      </c>
      <c r="X1531">
        <v>0</v>
      </c>
      <c r="Y1531">
        <v>0</v>
      </c>
      <c r="Z1531">
        <v>0</v>
      </c>
      <c r="AA1531" t="s">
        <v>43</v>
      </c>
      <c r="AB1531">
        <v>1</v>
      </c>
      <c r="AC1531">
        <v>1.65</v>
      </c>
      <c r="AD1531" t="s">
        <v>5834</v>
      </c>
      <c r="AE1531" t="s">
        <v>5835</v>
      </c>
    </row>
    <row r="1532" spans="1:31" x14ac:dyDescent="0.25">
      <c r="A1532" t="s">
        <v>31</v>
      </c>
      <c r="C1532" t="s">
        <v>5765</v>
      </c>
      <c r="D1532" t="s">
        <v>5836</v>
      </c>
      <c r="E1532" t="s">
        <v>34</v>
      </c>
      <c r="F1532" t="s">
        <v>35</v>
      </c>
      <c r="G1532">
        <v>2009</v>
      </c>
      <c r="H1532" t="s">
        <v>36</v>
      </c>
      <c r="I1532" t="s">
        <v>5837</v>
      </c>
      <c r="J1532" t="s">
        <v>31</v>
      </c>
      <c r="K1532" t="s">
        <v>38</v>
      </c>
      <c r="L1532" t="s">
        <v>1457</v>
      </c>
      <c r="M1532" t="s">
        <v>1458</v>
      </c>
      <c r="N1532" t="s">
        <v>319</v>
      </c>
      <c r="O1532" t="s">
        <v>3904</v>
      </c>
      <c r="P1532" t="s">
        <v>5838</v>
      </c>
      <c r="T1532">
        <v>36.168353854999999</v>
      </c>
      <c r="U1532">
        <v>-115.143157045</v>
      </c>
      <c r="V1532">
        <f>SUM(W1532:X1532)+(Y1532*0.8)+(Z1532*0.4)</f>
        <v>1.3660000000000001</v>
      </c>
      <c r="W1532">
        <v>1.3660000000000001</v>
      </c>
      <c r="X1532">
        <v>0</v>
      </c>
      <c r="Y1532">
        <v>0</v>
      </c>
      <c r="Z1532">
        <v>0</v>
      </c>
      <c r="AA1532" t="s">
        <v>43</v>
      </c>
      <c r="AB1532">
        <v>1.36</v>
      </c>
      <c r="AC1532">
        <v>2</v>
      </c>
      <c r="AD1532" t="s">
        <v>5839</v>
      </c>
      <c r="AE1532" t="s">
        <v>5840</v>
      </c>
    </row>
    <row r="1533" spans="1:31" x14ac:dyDescent="0.25">
      <c r="A1533" t="s">
        <v>31</v>
      </c>
      <c r="C1533" t="s">
        <v>3710</v>
      </c>
      <c r="D1533" t="s">
        <v>3715</v>
      </c>
      <c r="E1533" t="s">
        <v>34</v>
      </c>
      <c r="F1533" t="s">
        <v>35</v>
      </c>
      <c r="G1533">
        <v>2002</v>
      </c>
      <c r="H1533" t="s">
        <v>36</v>
      </c>
      <c r="I1533" t="s">
        <v>3716</v>
      </c>
      <c r="J1533" t="s">
        <v>31</v>
      </c>
      <c r="K1533" t="s">
        <v>38</v>
      </c>
      <c r="L1533" t="s">
        <v>828</v>
      </c>
      <c r="M1533" t="s">
        <v>829</v>
      </c>
      <c r="N1533" t="s">
        <v>2769</v>
      </c>
      <c r="O1533" t="s">
        <v>3717</v>
      </c>
      <c r="P1533" t="s">
        <v>3718</v>
      </c>
      <c r="Q1533" t="s">
        <v>3719</v>
      </c>
      <c r="T1533">
        <v>44.862622977999997</v>
      </c>
      <c r="U1533">
        <v>-93.330547472999996</v>
      </c>
      <c r="V1533">
        <f>SUM(W1533:X1533)+(Y1533*0.8)+(Z1533*0.4)</f>
        <v>1.35</v>
      </c>
      <c r="W1533">
        <v>1.35</v>
      </c>
      <c r="X1533">
        <v>0</v>
      </c>
      <c r="Y1533">
        <v>0</v>
      </c>
      <c r="Z1533">
        <v>0</v>
      </c>
      <c r="AA1533" t="s">
        <v>43</v>
      </c>
      <c r="AB1533">
        <v>0.95</v>
      </c>
      <c r="AD1533" t="s">
        <v>3720</v>
      </c>
      <c r="AE1533" t="s">
        <v>3721</v>
      </c>
    </row>
    <row r="1534" spans="1:31" x14ac:dyDescent="0.25">
      <c r="A1534" t="s">
        <v>31</v>
      </c>
      <c r="C1534" t="s">
        <v>10313</v>
      </c>
      <c r="D1534" t="s">
        <v>10314</v>
      </c>
      <c r="E1534" t="s">
        <v>34</v>
      </c>
      <c r="F1534" t="s">
        <v>35</v>
      </c>
      <c r="G1534">
        <v>2020</v>
      </c>
      <c r="H1534" t="s">
        <v>36</v>
      </c>
      <c r="I1534" t="s">
        <v>10315</v>
      </c>
      <c r="J1534" t="s">
        <v>31</v>
      </c>
      <c r="K1534" t="s">
        <v>38</v>
      </c>
      <c r="L1534" t="s">
        <v>260</v>
      </c>
      <c r="M1534" t="s">
        <v>261</v>
      </c>
      <c r="N1534" t="s">
        <v>8451</v>
      </c>
      <c r="O1534" t="s">
        <v>8452</v>
      </c>
      <c r="P1534" t="s">
        <v>10316</v>
      </c>
      <c r="T1534">
        <v>35.970528438999999</v>
      </c>
      <c r="U1534">
        <v>-83.912155904000002</v>
      </c>
      <c r="V1534">
        <f>SUM(W1534:X1534)+(Y1534*0.8)+(Z1534*0.4)</f>
        <v>1.3</v>
      </c>
      <c r="W1534">
        <v>1.3</v>
      </c>
      <c r="X1534">
        <v>0</v>
      </c>
      <c r="Y1534">
        <v>0</v>
      </c>
      <c r="Z1534">
        <v>0</v>
      </c>
      <c r="AA1534" t="s">
        <v>43</v>
      </c>
      <c r="AB1534">
        <v>0.3</v>
      </c>
      <c r="AC1534">
        <v>1.35</v>
      </c>
      <c r="AD1534" t="s">
        <v>10317</v>
      </c>
      <c r="AE1534" t="s">
        <v>10318</v>
      </c>
    </row>
    <row r="1535" spans="1:31" x14ac:dyDescent="0.25">
      <c r="A1535" t="s">
        <v>31</v>
      </c>
      <c r="C1535" t="s">
        <v>4801</v>
      </c>
      <c r="D1535" t="s">
        <v>4948</v>
      </c>
      <c r="E1535" t="s">
        <v>34</v>
      </c>
      <c r="F1535" t="s">
        <v>66</v>
      </c>
      <c r="G1535">
        <v>2016</v>
      </c>
      <c r="H1535" t="s">
        <v>36</v>
      </c>
      <c r="I1535" t="s">
        <v>4949</v>
      </c>
      <c r="J1535" t="s">
        <v>31</v>
      </c>
      <c r="K1535" t="s">
        <v>38</v>
      </c>
      <c r="L1535" t="s">
        <v>2620</v>
      </c>
      <c r="M1535" t="s">
        <v>2621</v>
      </c>
      <c r="N1535" t="s">
        <v>4950</v>
      </c>
      <c r="O1535" t="s">
        <v>4951</v>
      </c>
      <c r="P1535" t="s">
        <v>4952</v>
      </c>
      <c r="T1535">
        <v>30.287110999999999</v>
      </c>
      <c r="U1535">
        <v>-89.737443999999996</v>
      </c>
      <c r="V1535">
        <f>SUM(W1535:X1535)+(Y1535*0.8)+(Z1535*0.4)</f>
        <v>1.3</v>
      </c>
      <c r="W1535">
        <v>0.5</v>
      </c>
      <c r="X1535">
        <v>0</v>
      </c>
      <c r="Y1535">
        <v>1</v>
      </c>
      <c r="Z1535">
        <v>0</v>
      </c>
      <c r="AA1535" t="s">
        <v>43</v>
      </c>
      <c r="AB1535">
        <v>0.4</v>
      </c>
      <c r="AD1535" t="s">
        <v>4953</v>
      </c>
      <c r="AE1535" t="s">
        <v>4954</v>
      </c>
    </row>
    <row r="1536" spans="1:31" x14ac:dyDescent="0.25">
      <c r="A1536" t="s">
        <v>31</v>
      </c>
      <c r="C1536" t="s">
        <v>5543</v>
      </c>
      <c r="D1536" t="s">
        <v>5589</v>
      </c>
      <c r="E1536" t="s">
        <v>34</v>
      </c>
      <c r="F1536" t="s">
        <v>35</v>
      </c>
      <c r="G1536">
        <v>2015</v>
      </c>
      <c r="H1536" t="s">
        <v>36</v>
      </c>
      <c r="I1536" t="s">
        <v>5590</v>
      </c>
      <c r="J1536" t="s">
        <v>31</v>
      </c>
      <c r="K1536" t="s">
        <v>38</v>
      </c>
      <c r="L1536" t="s">
        <v>260</v>
      </c>
      <c r="M1536" t="s">
        <v>261</v>
      </c>
      <c r="N1536" t="s">
        <v>336</v>
      </c>
      <c r="O1536" t="s">
        <v>5589</v>
      </c>
      <c r="P1536" t="s">
        <v>5591</v>
      </c>
      <c r="S1536" t="s">
        <v>5592</v>
      </c>
      <c r="T1536">
        <v>35.063076000000002</v>
      </c>
      <c r="U1536">
        <v>-89.786292000000003</v>
      </c>
      <c r="V1536">
        <f>SUM(W1536:X1536)+(Y1536*0.8)+(Z1536*0.4)</f>
        <v>1.3</v>
      </c>
      <c r="W1536">
        <v>0.5</v>
      </c>
      <c r="X1536">
        <v>0</v>
      </c>
      <c r="Y1536">
        <v>1</v>
      </c>
      <c r="Z1536">
        <v>0</v>
      </c>
      <c r="AA1536" t="s">
        <v>43</v>
      </c>
      <c r="AB1536">
        <v>0.4</v>
      </c>
      <c r="AD1536" t="s">
        <v>5593</v>
      </c>
      <c r="AE1536" t="s">
        <v>5594</v>
      </c>
    </row>
    <row r="1537" spans="1:31" x14ac:dyDescent="0.25">
      <c r="A1537" t="s">
        <v>31</v>
      </c>
      <c r="C1537" t="s">
        <v>4801</v>
      </c>
      <c r="D1537" t="s">
        <v>4862</v>
      </c>
      <c r="E1537" t="s">
        <v>34</v>
      </c>
      <c r="F1537" t="s">
        <v>66</v>
      </c>
      <c r="G1537">
        <v>2015</v>
      </c>
      <c r="H1537" t="s">
        <v>36</v>
      </c>
      <c r="I1537" t="s">
        <v>4863</v>
      </c>
      <c r="J1537" t="s">
        <v>31</v>
      </c>
      <c r="K1537" t="s">
        <v>38</v>
      </c>
      <c r="L1537" t="s">
        <v>202</v>
      </c>
      <c r="M1537" t="s">
        <v>203</v>
      </c>
      <c r="N1537" t="s">
        <v>2750</v>
      </c>
      <c r="O1537" t="s">
        <v>2751</v>
      </c>
      <c r="P1537" t="s">
        <v>3302</v>
      </c>
      <c r="S1537" t="s">
        <v>3303</v>
      </c>
      <c r="T1537">
        <v>30.254224885999999</v>
      </c>
      <c r="U1537">
        <v>-81.60418799</v>
      </c>
      <c r="V1537">
        <f>SUM(W1537:X1537)+(Y1537*0.8)+(Z1537*0.4)</f>
        <v>1.3</v>
      </c>
      <c r="W1537">
        <v>0.5</v>
      </c>
      <c r="X1537">
        <v>0</v>
      </c>
      <c r="Y1537">
        <v>1</v>
      </c>
      <c r="Z1537">
        <v>0</v>
      </c>
      <c r="AA1537" t="s">
        <v>43</v>
      </c>
      <c r="AB1537">
        <v>0.35</v>
      </c>
      <c r="AD1537" t="s">
        <v>4864</v>
      </c>
      <c r="AE1537" t="s">
        <v>4865</v>
      </c>
    </row>
    <row r="1538" spans="1:31" x14ac:dyDescent="0.25">
      <c r="A1538" t="s">
        <v>31</v>
      </c>
      <c r="C1538" t="s">
        <v>169</v>
      </c>
      <c r="D1538" t="s">
        <v>215</v>
      </c>
      <c r="E1538" t="s">
        <v>34</v>
      </c>
      <c r="F1538" t="s">
        <v>35</v>
      </c>
      <c r="G1538">
        <v>2004</v>
      </c>
      <c r="H1538" t="s">
        <v>36</v>
      </c>
      <c r="I1538" t="s">
        <v>216</v>
      </c>
      <c r="J1538" t="s">
        <v>31</v>
      </c>
      <c r="K1538" t="s">
        <v>38</v>
      </c>
      <c r="L1538" t="s">
        <v>123</v>
      </c>
      <c r="M1538" t="s">
        <v>124</v>
      </c>
      <c r="N1538" t="s">
        <v>217</v>
      </c>
      <c r="O1538" t="s">
        <v>218</v>
      </c>
      <c r="P1538" t="s">
        <v>219</v>
      </c>
      <c r="Q1538" t="s">
        <v>138</v>
      </c>
      <c r="T1538">
        <v>42.884220173000003</v>
      </c>
      <c r="U1538">
        <v>-78.875409844000004</v>
      </c>
      <c r="V1538">
        <f>SUM(W1538:X1538)+(Y1538*0.8)+(Z1538*0.4)</f>
        <v>1.3</v>
      </c>
      <c r="W1538">
        <v>1.3</v>
      </c>
      <c r="X1538">
        <v>0</v>
      </c>
      <c r="Y1538">
        <v>0</v>
      </c>
      <c r="Z1538">
        <v>0</v>
      </c>
      <c r="AA1538" t="s">
        <v>43</v>
      </c>
      <c r="AB1538">
        <v>1.052</v>
      </c>
      <c r="AD1538" t="s">
        <v>220</v>
      </c>
      <c r="AE1538" t="s">
        <v>221</v>
      </c>
    </row>
    <row r="1539" spans="1:31" x14ac:dyDescent="0.25">
      <c r="A1539" t="s">
        <v>31</v>
      </c>
      <c r="C1539" t="s">
        <v>5169</v>
      </c>
      <c r="D1539" t="s">
        <v>5170</v>
      </c>
      <c r="E1539" t="s">
        <v>362</v>
      </c>
      <c r="F1539" t="s">
        <v>649</v>
      </c>
      <c r="G1539">
        <v>2000</v>
      </c>
      <c r="H1539" t="s">
        <v>36</v>
      </c>
      <c r="I1539" t="s">
        <v>5171</v>
      </c>
      <c r="J1539" t="s">
        <v>31</v>
      </c>
      <c r="K1539" t="s">
        <v>38</v>
      </c>
      <c r="L1539" t="s">
        <v>68</v>
      </c>
      <c r="M1539" t="s">
        <v>69</v>
      </c>
      <c r="N1539" t="s">
        <v>540</v>
      </c>
      <c r="O1539" t="s">
        <v>2134</v>
      </c>
      <c r="P1539" t="s">
        <v>5172</v>
      </c>
      <c r="Q1539" t="s">
        <v>5173</v>
      </c>
      <c r="T1539">
        <v>32.750640380999997</v>
      </c>
      <c r="U1539">
        <v>-97.334617425999994</v>
      </c>
      <c r="V1539">
        <f>SUM(W1539:X1539)+(Y1539*0.8)+(Z1539*0.4)</f>
        <v>1.3</v>
      </c>
      <c r="W1539">
        <v>1.3</v>
      </c>
      <c r="X1539">
        <v>0</v>
      </c>
      <c r="Y1539">
        <v>0</v>
      </c>
      <c r="Z1539">
        <v>0</v>
      </c>
      <c r="AA1539" t="s">
        <v>43</v>
      </c>
      <c r="AB1539">
        <v>1.3</v>
      </c>
      <c r="AD1539" t="s">
        <v>5174</v>
      </c>
      <c r="AE1539" t="s">
        <v>5175</v>
      </c>
    </row>
    <row r="1540" spans="1:31" x14ac:dyDescent="0.25">
      <c r="A1540" t="s">
        <v>31</v>
      </c>
      <c r="C1540" t="s">
        <v>2706</v>
      </c>
      <c r="D1540" t="s">
        <v>538</v>
      </c>
      <c r="E1540" t="s">
        <v>34</v>
      </c>
      <c r="F1540" t="s">
        <v>35</v>
      </c>
      <c r="G1540">
        <v>2020</v>
      </c>
      <c r="H1540" t="s">
        <v>36</v>
      </c>
      <c r="I1540" t="s">
        <v>2745</v>
      </c>
      <c r="J1540" t="s">
        <v>31</v>
      </c>
      <c r="K1540" t="s">
        <v>38</v>
      </c>
      <c r="L1540" t="s">
        <v>68</v>
      </c>
      <c r="M1540" t="s">
        <v>69</v>
      </c>
      <c r="N1540" t="s">
        <v>297</v>
      </c>
      <c r="O1540" t="s">
        <v>2116</v>
      </c>
      <c r="P1540" t="s">
        <v>2738</v>
      </c>
      <c r="T1540">
        <v>32.800933544000003</v>
      </c>
      <c r="U1540">
        <v>-96.819786534000002</v>
      </c>
      <c r="V1540">
        <f>SUM(W1540:X1540)+(Y1540*0.8)+(Z1540*0.4)</f>
        <v>1.25</v>
      </c>
      <c r="W1540">
        <v>1.25</v>
      </c>
      <c r="X1540">
        <v>0</v>
      </c>
      <c r="Y1540">
        <v>0</v>
      </c>
      <c r="Z1540">
        <v>0</v>
      </c>
      <c r="AA1540" t="s">
        <v>43</v>
      </c>
      <c r="AB1540">
        <v>0.625</v>
      </c>
      <c r="AC1540">
        <v>1.5</v>
      </c>
      <c r="AD1540" t="s">
        <v>2746</v>
      </c>
      <c r="AE1540" t="s">
        <v>2747</v>
      </c>
    </row>
    <row r="1541" spans="1:31" x14ac:dyDescent="0.25">
      <c r="A1541" t="s">
        <v>31</v>
      </c>
      <c r="C1541" t="s">
        <v>8418</v>
      </c>
      <c r="D1541" t="s">
        <v>8419</v>
      </c>
      <c r="E1541" t="s">
        <v>34</v>
      </c>
      <c r="F1541" t="s">
        <v>35</v>
      </c>
      <c r="G1541">
        <v>2002</v>
      </c>
      <c r="H1541" t="s">
        <v>36</v>
      </c>
      <c r="I1541" t="s">
        <v>8420</v>
      </c>
      <c r="J1541" t="s">
        <v>31</v>
      </c>
      <c r="K1541" t="s">
        <v>38</v>
      </c>
      <c r="L1541" t="s">
        <v>86</v>
      </c>
      <c r="M1541" t="s">
        <v>87</v>
      </c>
      <c r="N1541" t="s">
        <v>2215</v>
      </c>
      <c r="O1541" t="s">
        <v>3744</v>
      </c>
      <c r="P1541" t="s">
        <v>3745</v>
      </c>
      <c r="Q1541" t="s">
        <v>3746</v>
      </c>
      <c r="T1541">
        <v>41.845517000000001</v>
      </c>
      <c r="U1541">
        <v>-87.941394000000003</v>
      </c>
      <c r="V1541">
        <f>SUM(W1541:X1541)+(Y1541*0.8)+(Z1541*0.4)</f>
        <v>1.25</v>
      </c>
      <c r="W1541">
        <v>1.25</v>
      </c>
      <c r="X1541">
        <v>0</v>
      </c>
      <c r="Y1541">
        <v>0</v>
      </c>
      <c r="Z1541">
        <v>0</v>
      </c>
      <c r="AA1541" t="s">
        <v>43</v>
      </c>
      <c r="AB1541">
        <v>0.625</v>
      </c>
      <c r="AD1541" t="s">
        <v>8421</v>
      </c>
      <c r="AE1541" t="s">
        <v>8422</v>
      </c>
    </row>
    <row r="1542" spans="1:31" x14ac:dyDescent="0.25">
      <c r="A1542" t="s">
        <v>31</v>
      </c>
      <c r="C1542" t="s">
        <v>5181</v>
      </c>
      <c r="D1542" t="s">
        <v>3105</v>
      </c>
      <c r="E1542" t="s">
        <v>34</v>
      </c>
      <c r="F1542" t="s">
        <v>35</v>
      </c>
      <c r="G1542">
        <v>2000</v>
      </c>
      <c r="H1542" t="s">
        <v>36</v>
      </c>
      <c r="I1542" t="s">
        <v>5339</v>
      </c>
      <c r="J1542" t="s">
        <v>31</v>
      </c>
      <c r="K1542" t="s">
        <v>38</v>
      </c>
      <c r="L1542" t="s">
        <v>172</v>
      </c>
      <c r="M1542" t="s">
        <v>173</v>
      </c>
      <c r="N1542" t="s">
        <v>493</v>
      </c>
      <c r="O1542" t="s">
        <v>494</v>
      </c>
      <c r="P1542" t="s">
        <v>495</v>
      </c>
      <c r="S1542" t="s">
        <v>138</v>
      </c>
      <c r="T1542">
        <v>34.048935999999998</v>
      </c>
      <c r="U1542">
        <v>-118.259733</v>
      </c>
      <c r="V1542">
        <f>SUM(W1542:X1542)+(Y1542*0.8)+(Z1542*0.4)</f>
        <v>1.25</v>
      </c>
      <c r="W1542">
        <v>1.25</v>
      </c>
      <c r="X1542">
        <v>0</v>
      </c>
      <c r="Y1542">
        <v>0</v>
      </c>
      <c r="Z1542">
        <v>0</v>
      </c>
      <c r="AA1542" t="s">
        <v>43</v>
      </c>
      <c r="AB1542">
        <v>1.25</v>
      </c>
      <c r="AD1542" t="s">
        <v>5340</v>
      </c>
      <c r="AE1542" t="s">
        <v>5341</v>
      </c>
    </row>
    <row r="1543" spans="1:31" x14ac:dyDescent="0.25">
      <c r="A1543" t="s">
        <v>31</v>
      </c>
      <c r="C1543" t="s">
        <v>379</v>
      </c>
      <c r="D1543" t="s">
        <v>380</v>
      </c>
      <c r="E1543" t="s">
        <v>362</v>
      </c>
      <c r="F1543" t="s">
        <v>381</v>
      </c>
      <c r="G1543">
        <v>1996</v>
      </c>
      <c r="H1543" t="s">
        <v>36</v>
      </c>
      <c r="I1543" t="s">
        <v>382</v>
      </c>
      <c r="J1543" t="s">
        <v>31</v>
      </c>
      <c r="K1543" t="s">
        <v>38</v>
      </c>
      <c r="L1543" t="s">
        <v>383</v>
      </c>
      <c r="M1543" t="s">
        <v>384</v>
      </c>
      <c r="N1543" t="s">
        <v>385</v>
      </c>
      <c r="O1543" t="s">
        <v>386</v>
      </c>
      <c r="P1543" t="s">
        <v>387</v>
      </c>
      <c r="T1543">
        <v>35.895776662999999</v>
      </c>
      <c r="U1543">
        <v>-78.849244061999997</v>
      </c>
      <c r="V1543">
        <f>SUM(W1543:X1543)+(Y1543*0.8)+(Z1543*0.4)</f>
        <v>1.25</v>
      </c>
      <c r="W1543">
        <v>1.25</v>
      </c>
      <c r="X1543">
        <v>0</v>
      </c>
      <c r="Y1543">
        <v>0</v>
      </c>
      <c r="Z1543">
        <v>0</v>
      </c>
      <c r="AA1543" t="s">
        <v>43</v>
      </c>
      <c r="AB1543">
        <v>1.25</v>
      </c>
      <c r="AD1543" t="s">
        <v>388</v>
      </c>
      <c r="AE1543" t="s">
        <v>389</v>
      </c>
    </row>
    <row r="1544" spans="1:31" x14ac:dyDescent="0.25">
      <c r="A1544" t="s">
        <v>31</v>
      </c>
      <c r="C1544" t="s">
        <v>10406</v>
      </c>
      <c r="D1544" t="s">
        <v>10563</v>
      </c>
      <c r="E1544" t="s">
        <v>34</v>
      </c>
      <c r="F1544" t="s">
        <v>35</v>
      </c>
      <c r="G1544">
        <v>2018</v>
      </c>
      <c r="H1544" t="s">
        <v>36</v>
      </c>
      <c r="I1544" t="s">
        <v>10564</v>
      </c>
      <c r="J1544" t="s">
        <v>31</v>
      </c>
      <c r="K1544" t="s">
        <v>38</v>
      </c>
      <c r="L1544" t="s">
        <v>1819</v>
      </c>
      <c r="M1544" t="s">
        <v>1820</v>
      </c>
      <c r="N1544" t="s">
        <v>1821</v>
      </c>
      <c r="O1544" t="s">
        <v>1822</v>
      </c>
      <c r="P1544" t="s">
        <v>10565</v>
      </c>
      <c r="T1544">
        <v>36.096404192999998</v>
      </c>
      <c r="U1544">
        <v>-95.840188239</v>
      </c>
      <c r="V1544">
        <f>SUM(W1544:X1544)+(Y1544*0.8)+(Z1544*0.4)</f>
        <v>1.2</v>
      </c>
      <c r="W1544">
        <v>1.2</v>
      </c>
      <c r="X1544">
        <v>0</v>
      </c>
      <c r="Y1544">
        <v>0</v>
      </c>
      <c r="Z1544">
        <v>0</v>
      </c>
      <c r="AA1544" t="s">
        <v>43</v>
      </c>
      <c r="AB1544">
        <v>0.4</v>
      </c>
      <c r="AD1544" t="s">
        <v>10566</v>
      </c>
      <c r="AE1544" t="s">
        <v>10567</v>
      </c>
    </row>
    <row r="1545" spans="1:31" x14ac:dyDescent="0.25">
      <c r="A1545" t="s">
        <v>31</v>
      </c>
      <c r="C1545" t="s">
        <v>8180</v>
      </c>
      <c r="D1545" t="s">
        <v>2969</v>
      </c>
      <c r="E1545" t="s">
        <v>34</v>
      </c>
      <c r="F1545" t="s">
        <v>35</v>
      </c>
      <c r="G1545">
        <v>2018</v>
      </c>
      <c r="H1545" t="s">
        <v>36</v>
      </c>
      <c r="I1545" t="s">
        <v>8181</v>
      </c>
      <c r="J1545" t="s">
        <v>31</v>
      </c>
      <c r="K1545" t="s">
        <v>38</v>
      </c>
      <c r="L1545" t="s">
        <v>353</v>
      </c>
      <c r="M1545" t="s">
        <v>354</v>
      </c>
      <c r="N1545" t="s">
        <v>355</v>
      </c>
      <c r="O1545" t="s">
        <v>356</v>
      </c>
      <c r="P1545" t="s">
        <v>2971</v>
      </c>
      <c r="Q1545" t="s">
        <v>356</v>
      </c>
      <c r="T1545">
        <v>46.836529046999999</v>
      </c>
      <c r="U1545">
        <v>-96.866037595999998</v>
      </c>
      <c r="V1545">
        <f>SUM(W1545:X1545)+(Y1545*0.8)+(Z1545*0.4)</f>
        <v>1.2</v>
      </c>
      <c r="W1545">
        <v>1.2</v>
      </c>
      <c r="X1545">
        <v>0</v>
      </c>
      <c r="Y1545">
        <v>0</v>
      </c>
      <c r="Z1545">
        <v>0</v>
      </c>
      <c r="AA1545" t="s">
        <v>43</v>
      </c>
      <c r="AB1545">
        <v>0.5</v>
      </c>
      <c r="AD1545" t="s">
        <v>8182</v>
      </c>
      <c r="AE1545" t="s">
        <v>8183</v>
      </c>
    </row>
    <row r="1546" spans="1:31" x14ac:dyDescent="0.25">
      <c r="A1546" t="s">
        <v>31</v>
      </c>
      <c r="C1546" t="s">
        <v>1300</v>
      </c>
      <c r="D1546" t="s">
        <v>1301</v>
      </c>
      <c r="E1546" t="s">
        <v>362</v>
      </c>
      <c r="F1546" t="s">
        <v>1302</v>
      </c>
      <c r="G1546">
        <v>2015</v>
      </c>
      <c r="H1546" t="s">
        <v>36</v>
      </c>
      <c r="I1546" t="s">
        <v>1303</v>
      </c>
      <c r="J1546" t="s">
        <v>31</v>
      </c>
      <c r="K1546" t="s">
        <v>38</v>
      </c>
      <c r="L1546" t="s">
        <v>317</v>
      </c>
      <c r="M1546" t="s">
        <v>318</v>
      </c>
      <c r="N1546" t="s">
        <v>665</v>
      </c>
      <c r="O1546" t="s">
        <v>1304</v>
      </c>
      <c r="P1546" t="s">
        <v>1305</v>
      </c>
      <c r="Q1546" t="s">
        <v>1178</v>
      </c>
      <c r="T1546">
        <v>40.10374487</v>
      </c>
      <c r="U1546">
        <v>-82.80899556</v>
      </c>
      <c r="V1546">
        <f>SUM(W1546:X1546)+(Y1546*0.8)+(Z1546*0.4)</f>
        <v>1.2</v>
      </c>
      <c r="W1546">
        <v>1.2</v>
      </c>
      <c r="X1546">
        <v>0</v>
      </c>
      <c r="Y1546">
        <v>0</v>
      </c>
      <c r="Z1546">
        <v>0</v>
      </c>
      <c r="AA1546" t="s">
        <v>43</v>
      </c>
      <c r="AB1546">
        <v>1.2</v>
      </c>
      <c r="AD1546" t="s">
        <v>1306</v>
      </c>
      <c r="AE1546" t="s">
        <v>1307</v>
      </c>
    </row>
    <row r="1547" spans="1:31" x14ac:dyDescent="0.25">
      <c r="A1547" t="s">
        <v>31</v>
      </c>
      <c r="C1547" t="s">
        <v>8751</v>
      </c>
      <c r="D1547" t="s">
        <v>8756</v>
      </c>
      <c r="E1547" t="s">
        <v>34</v>
      </c>
      <c r="F1547" t="s">
        <v>35</v>
      </c>
      <c r="G1547">
        <v>2014</v>
      </c>
      <c r="H1547" t="s">
        <v>36</v>
      </c>
      <c r="I1547" t="s">
        <v>8757</v>
      </c>
      <c r="J1547" t="s">
        <v>31</v>
      </c>
      <c r="K1547" t="s">
        <v>38</v>
      </c>
      <c r="L1547" t="s">
        <v>49</v>
      </c>
      <c r="M1547" t="s">
        <v>50</v>
      </c>
      <c r="N1547" t="s">
        <v>8434</v>
      </c>
      <c r="O1547" t="s">
        <v>8758</v>
      </c>
      <c r="P1547" t="s">
        <v>8759</v>
      </c>
      <c r="Q1547" t="s">
        <v>8758</v>
      </c>
      <c r="T1547">
        <v>42.331205701000002</v>
      </c>
      <c r="U1547">
        <v>-83.419496272999993</v>
      </c>
      <c r="V1547">
        <f>SUM(W1547:X1547)+(Y1547*0.8)+(Z1547*0.4)</f>
        <v>1.2</v>
      </c>
      <c r="W1547">
        <v>1.2</v>
      </c>
      <c r="X1547">
        <v>0</v>
      </c>
      <c r="Y1547">
        <v>0</v>
      </c>
      <c r="Z1547">
        <v>0</v>
      </c>
      <c r="AA1547" t="s">
        <v>43</v>
      </c>
      <c r="AB1547">
        <v>0.6</v>
      </c>
      <c r="AD1547" t="s">
        <v>8760</v>
      </c>
      <c r="AE1547" t="s">
        <v>8761</v>
      </c>
    </row>
    <row r="1548" spans="1:31" x14ac:dyDescent="0.25">
      <c r="A1548" t="s">
        <v>31</v>
      </c>
      <c r="C1548" t="s">
        <v>8280</v>
      </c>
      <c r="D1548" t="s">
        <v>8281</v>
      </c>
      <c r="E1548" t="s">
        <v>362</v>
      </c>
      <c r="F1548" t="s">
        <v>1803</v>
      </c>
      <c r="G1548">
        <v>2012</v>
      </c>
      <c r="H1548" t="s">
        <v>36</v>
      </c>
      <c r="I1548" t="s">
        <v>8282</v>
      </c>
      <c r="J1548" t="s">
        <v>31</v>
      </c>
      <c r="K1548" t="s">
        <v>38</v>
      </c>
      <c r="L1548" t="s">
        <v>3288</v>
      </c>
      <c r="M1548" t="s">
        <v>3289</v>
      </c>
      <c r="N1548" t="s">
        <v>7478</v>
      </c>
      <c r="O1548" t="s">
        <v>7479</v>
      </c>
      <c r="P1548" t="s">
        <v>8283</v>
      </c>
      <c r="T1548">
        <v>41.128857572999998</v>
      </c>
      <c r="U1548">
        <v>-104.897366831</v>
      </c>
      <c r="V1548">
        <f>SUM(W1548:X1548)+(Y1548*0.8)+(Z1548*0.4)</f>
        <v>1.2</v>
      </c>
      <c r="W1548">
        <v>1.2</v>
      </c>
      <c r="X1548">
        <v>0</v>
      </c>
      <c r="Y1548">
        <v>0</v>
      </c>
      <c r="Z1548">
        <v>0</v>
      </c>
      <c r="AA1548" t="s">
        <v>43</v>
      </c>
      <c r="AB1548">
        <v>1.2</v>
      </c>
      <c r="AD1548" t="s">
        <v>8284</v>
      </c>
      <c r="AE1548" t="s">
        <v>8285</v>
      </c>
    </row>
    <row r="1549" spans="1:31" x14ac:dyDescent="0.25">
      <c r="A1549" t="s">
        <v>31</v>
      </c>
      <c r="C1549" t="s">
        <v>10863</v>
      </c>
      <c r="D1549" t="s">
        <v>5756</v>
      </c>
      <c r="E1549" t="s">
        <v>34</v>
      </c>
      <c r="F1549" t="s">
        <v>35</v>
      </c>
      <c r="G1549">
        <v>2010</v>
      </c>
      <c r="H1549" t="s">
        <v>36</v>
      </c>
      <c r="I1549" t="s">
        <v>10872</v>
      </c>
      <c r="J1549" t="s">
        <v>31</v>
      </c>
      <c r="K1549" t="s">
        <v>38</v>
      </c>
      <c r="L1549" t="s">
        <v>620</v>
      </c>
      <c r="M1549" t="s">
        <v>621</v>
      </c>
      <c r="N1549" t="s">
        <v>419</v>
      </c>
      <c r="O1549" t="s">
        <v>5756</v>
      </c>
      <c r="P1549" t="s">
        <v>10873</v>
      </c>
      <c r="T1549">
        <v>37.081440974000003</v>
      </c>
      <c r="U1549">
        <v>-113.607279241</v>
      </c>
      <c r="V1549">
        <f>SUM(W1549:X1549)+(Y1549*0.8)+(Z1549*0.4)</f>
        <v>1.2</v>
      </c>
      <c r="W1549">
        <v>1.2</v>
      </c>
      <c r="X1549">
        <v>0</v>
      </c>
      <c r="Y1549">
        <v>0</v>
      </c>
      <c r="Z1549">
        <v>0</v>
      </c>
      <c r="AA1549" t="s">
        <v>43</v>
      </c>
      <c r="AB1549">
        <v>0.7</v>
      </c>
      <c r="AD1549" t="s">
        <v>10874</v>
      </c>
      <c r="AE1549" t="s">
        <v>10875</v>
      </c>
    </row>
    <row r="1550" spans="1:31" x14ac:dyDescent="0.25">
      <c r="A1550" t="s">
        <v>31</v>
      </c>
      <c r="C1550" t="s">
        <v>5623</v>
      </c>
      <c r="D1550" t="s">
        <v>1881</v>
      </c>
      <c r="E1550" t="s">
        <v>362</v>
      </c>
      <c r="F1550" t="s">
        <v>630</v>
      </c>
      <c r="G1550">
        <v>2010</v>
      </c>
      <c r="H1550" t="s">
        <v>36</v>
      </c>
      <c r="I1550" t="s">
        <v>5624</v>
      </c>
      <c r="J1550" t="s">
        <v>31</v>
      </c>
      <c r="K1550" t="s">
        <v>38</v>
      </c>
      <c r="L1550" t="s">
        <v>843</v>
      </c>
      <c r="M1550" t="s">
        <v>1644</v>
      </c>
      <c r="N1550" t="s">
        <v>5625</v>
      </c>
      <c r="O1550" t="s">
        <v>5626</v>
      </c>
      <c r="P1550" t="s">
        <v>5627</v>
      </c>
      <c r="T1550">
        <v>47.645898045000003</v>
      </c>
      <c r="U1550">
        <v>-117.573329104</v>
      </c>
      <c r="V1550">
        <f>SUM(W1550:X1550)+(Y1550*0.8)+(Z1550*0.4)</f>
        <v>1.2</v>
      </c>
      <c r="W1550">
        <v>1.2</v>
      </c>
      <c r="X1550">
        <v>0</v>
      </c>
      <c r="Y1550">
        <v>0</v>
      </c>
      <c r="Z1550">
        <v>0</v>
      </c>
      <c r="AA1550" t="s">
        <v>43</v>
      </c>
      <c r="AB1550">
        <v>1.2</v>
      </c>
      <c r="AD1550" t="s">
        <v>5628</v>
      </c>
      <c r="AE1550" t="s">
        <v>5629</v>
      </c>
    </row>
    <row r="1551" spans="1:31" x14ac:dyDescent="0.25">
      <c r="A1551" t="s">
        <v>31</v>
      </c>
      <c r="C1551" t="s">
        <v>5120</v>
      </c>
      <c r="D1551" t="s">
        <v>5121</v>
      </c>
      <c r="E1551" t="s">
        <v>34</v>
      </c>
      <c r="F1551" t="s">
        <v>35</v>
      </c>
      <c r="G1551">
        <v>2010</v>
      </c>
      <c r="H1551" t="s">
        <v>36</v>
      </c>
      <c r="I1551" t="s">
        <v>5122</v>
      </c>
      <c r="J1551" t="s">
        <v>31</v>
      </c>
      <c r="K1551" t="s">
        <v>38</v>
      </c>
      <c r="L1551" t="s">
        <v>123</v>
      </c>
      <c r="M1551" t="s">
        <v>124</v>
      </c>
      <c r="N1551" t="s">
        <v>217</v>
      </c>
      <c r="O1551" t="s">
        <v>218</v>
      </c>
      <c r="P1551" t="s">
        <v>5123</v>
      </c>
      <c r="Q1551" t="s">
        <v>218</v>
      </c>
      <c r="S1551" t="s">
        <v>138</v>
      </c>
      <c r="T1551">
        <v>42.88738163</v>
      </c>
      <c r="U1551">
        <v>-78.868211024000004</v>
      </c>
      <c r="V1551">
        <f>SUM(W1551:X1551)+(Y1551*0.8)+(Z1551*0.4)</f>
        <v>1.2</v>
      </c>
      <c r="W1551">
        <v>1.2</v>
      </c>
      <c r="X1551">
        <v>0</v>
      </c>
      <c r="Y1551">
        <v>0</v>
      </c>
      <c r="Z1551">
        <v>0</v>
      </c>
      <c r="AA1551" t="s">
        <v>43</v>
      </c>
      <c r="AB1551">
        <v>1.17</v>
      </c>
      <c r="AD1551" t="s">
        <v>5124</v>
      </c>
      <c r="AE1551" t="s">
        <v>5125</v>
      </c>
    </row>
    <row r="1552" spans="1:31" x14ac:dyDescent="0.25">
      <c r="A1552" t="s">
        <v>31</v>
      </c>
      <c r="C1552" t="s">
        <v>5181</v>
      </c>
      <c r="D1552" t="s">
        <v>1405</v>
      </c>
      <c r="E1552" t="s">
        <v>34</v>
      </c>
      <c r="F1552" t="s">
        <v>35</v>
      </c>
      <c r="G1552">
        <v>1998</v>
      </c>
      <c r="H1552" t="s">
        <v>36</v>
      </c>
      <c r="I1552" t="s">
        <v>5258</v>
      </c>
      <c r="J1552" t="s">
        <v>31</v>
      </c>
      <c r="K1552" t="s">
        <v>38</v>
      </c>
      <c r="L1552" t="s">
        <v>242</v>
      </c>
      <c r="M1552" t="s">
        <v>243</v>
      </c>
      <c r="N1552" t="s">
        <v>405</v>
      </c>
      <c r="O1552" t="s">
        <v>516</v>
      </c>
      <c r="P1552" t="s">
        <v>517</v>
      </c>
      <c r="T1552">
        <v>39.015903000000002</v>
      </c>
      <c r="U1552">
        <v>-77.460041000000004</v>
      </c>
      <c r="V1552">
        <f>SUM(W1552:X1552)+(Y1552*0.8)+(Z1552*0.4)</f>
        <v>1.2</v>
      </c>
      <c r="W1552">
        <v>1.2</v>
      </c>
      <c r="X1552">
        <v>0</v>
      </c>
      <c r="Y1552">
        <v>0</v>
      </c>
      <c r="Z1552">
        <v>0</v>
      </c>
      <c r="AA1552" t="s">
        <v>43</v>
      </c>
      <c r="AB1552">
        <v>1.1499999999999999</v>
      </c>
      <c r="AD1552" t="s">
        <v>5259</v>
      </c>
      <c r="AE1552" t="s">
        <v>5260</v>
      </c>
    </row>
    <row r="1553" spans="1:31" x14ac:dyDescent="0.25">
      <c r="A1553" t="s">
        <v>31</v>
      </c>
      <c r="C1553" t="s">
        <v>10304</v>
      </c>
      <c r="D1553" t="s">
        <v>1637</v>
      </c>
      <c r="E1553" t="s">
        <v>34</v>
      </c>
      <c r="F1553" t="s">
        <v>35</v>
      </c>
      <c r="G1553">
        <v>1995</v>
      </c>
      <c r="H1553" t="s">
        <v>36</v>
      </c>
      <c r="I1553" t="s">
        <v>10305</v>
      </c>
      <c r="J1553" t="s">
        <v>31</v>
      </c>
      <c r="K1553" t="s">
        <v>38</v>
      </c>
      <c r="L1553" t="s">
        <v>317</v>
      </c>
      <c r="M1553" t="s">
        <v>318</v>
      </c>
      <c r="N1553" t="s">
        <v>2482</v>
      </c>
      <c r="O1553" t="s">
        <v>2483</v>
      </c>
      <c r="P1553" t="s">
        <v>2484</v>
      </c>
      <c r="Q1553" t="s">
        <v>2483</v>
      </c>
      <c r="T1553">
        <v>41.624344102000002</v>
      </c>
      <c r="U1553">
        <v>-83.656158735000005</v>
      </c>
      <c r="V1553">
        <f>SUM(W1553:X1553)+(Y1553*0.8)+(Z1553*0.4)</f>
        <v>1.2</v>
      </c>
      <c r="W1553">
        <v>1.2</v>
      </c>
      <c r="X1553">
        <v>0</v>
      </c>
      <c r="Y1553">
        <v>0</v>
      </c>
      <c r="Z1553">
        <v>0</v>
      </c>
      <c r="AA1553" t="s">
        <v>43</v>
      </c>
      <c r="AB1553">
        <v>0.6</v>
      </c>
      <c r="AD1553" t="s">
        <v>10306</v>
      </c>
      <c r="AE1553" t="s">
        <v>10307</v>
      </c>
    </row>
    <row r="1554" spans="1:31" x14ac:dyDescent="0.25">
      <c r="A1554" t="s">
        <v>31</v>
      </c>
      <c r="C1554" t="s">
        <v>1603</v>
      </c>
      <c r="D1554" t="s">
        <v>1604</v>
      </c>
      <c r="E1554" t="s">
        <v>362</v>
      </c>
      <c r="F1554" t="s">
        <v>43</v>
      </c>
      <c r="G1554">
        <v>1993</v>
      </c>
      <c r="H1554" t="s">
        <v>36</v>
      </c>
      <c r="I1554" t="s">
        <v>1605</v>
      </c>
      <c r="J1554" t="s">
        <v>31</v>
      </c>
      <c r="K1554" t="s">
        <v>38</v>
      </c>
      <c r="L1554" t="s">
        <v>185</v>
      </c>
      <c r="M1554" t="s">
        <v>186</v>
      </c>
      <c r="N1554" t="s">
        <v>303</v>
      </c>
      <c r="O1554" t="s">
        <v>1606</v>
      </c>
      <c r="P1554" t="s">
        <v>1607</v>
      </c>
      <c r="T1554">
        <v>33.89983196</v>
      </c>
      <c r="U1554">
        <v>-84.463467441999995</v>
      </c>
      <c r="V1554">
        <f>SUM(W1554:X1554)+(Y1554*0.8)+(Z1554*0.4)</f>
        <v>1.2</v>
      </c>
      <c r="W1554">
        <v>1.2</v>
      </c>
      <c r="X1554">
        <v>0</v>
      </c>
      <c r="Y1554">
        <v>0</v>
      </c>
      <c r="Z1554">
        <v>0</v>
      </c>
      <c r="AA1554" t="s">
        <v>43</v>
      </c>
      <c r="AB1554">
        <v>1.2</v>
      </c>
      <c r="AD1554" t="s">
        <v>1608</v>
      </c>
      <c r="AE1554" t="s">
        <v>1609</v>
      </c>
    </row>
    <row r="1555" spans="1:31" x14ac:dyDescent="0.25">
      <c r="A1555" t="s">
        <v>31</v>
      </c>
      <c r="C1555" t="s">
        <v>5131</v>
      </c>
      <c r="D1555" t="s">
        <v>5132</v>
      </c>
      <c r="E1555" t="s">
        <v>34</v>
      </c>
      <c r="F1555" t="s">
        <v>35</v>
      </c>
      <c r="G1555">
        <v>2008</v>
      </c>
      <c r="H1555" t="s">
        <v>36</v>
      </c>
      <c r="I1555" t="s">
        <v>5133</v>
      </c>
      <c r="J1555" t="s">
        <v>31</v>
      </c>
      <c r="K1555" t="s">
        <v>38</v>
      </c>
      <c r="L1555" t="s">
        <v>1918</v>
      </c>
      <c r="M1555" t="s">
        <v>1919</v>
      </c>
      <c r="N1555" t="s">
        <v>5134</v>
      </c>
      <c r="O1555" t="s">
        <v>5135</v>
      </c>
      <c r="P1555" t="s">
        <v>5136</v>
      </c>
      <c r="T1555">
        <v>36.848272031999997</v>
      </c>
      <c r="U1555">
        <v>-87.464625196</v>
      </c>
      <c r="V1555">
        <f>SUM(W1555:X1555)+(Y1555*0.8)+(Z1555*0.4)</f>
        <v>1.1299999999999999</v>
      </c>
      <c r="W1555">
        <v>1.1299999999999999</v>
      </c>
      <c r="X1555">
        <v>0</v>
      </c>
      <c r="Y1555">
        <v>0</v>
      </c>
      <c r="Z1555">
        <v>0</v>
      </c>
      <c r="AA1555" t="s">
        <v>43</v>
      </c>
      <c r="AB1555">
        <v>0.56999999999999995</v>
      </c>
      <c r="AD1555" t="s">
        <v>5137</v>
      </c>
      <c r="AE1555" t="s">
        <v>5138</v>
      </c>
    </row>
    <row r="1556" spans="1:31" x14ac:dyDescent="0.25">
      <c r="A1556" t="s">
        <v>31</v>
      </c>
      <c r="C1556" t="s">
        <v>6773</v>
      </c>
      <c r="D1556" t="s">
        <v>6773</v>
      </c>
      <c r="E1556" t="s">
        <v>34</v>
      </c>
      <c r="F1556" t="s">
        <v>35</v>
      </c>
      <c r="G1556">
        <v>2006</v>
      </c>
      <c r="H1556" t="s">
        <v>36</v>
      </c>
      <c r="I1556" t="s">
        <v>6774</v>
      </c>
      <c r="J1556" t="s">
        <v>31</v>
      </c>
      <c r="K1556" t="s">
        <v>38</v>
      </c>
      <c r="L1556" t="s">
        <v>1433</v>
      </c>
      <c r="M1556" t="s">
        <v>1434</v>
      </c>
      <c r="N1556" t="s">
        <v>1711</v>
      </c>
      <c r="O1556" t="s">
        <v>1712</v>
      </c>
      <c r="P1556" t="s">
        <v>6775</v>
      </c>
      <c r="Q1556" t="s">
        <v>6776</v>
      </c>
      <c r="T1556">
        <v>41.586424227999998</v>
      </c>
      <c r="U1556">
        <v>-93.659583566999999</v>
      </c>
      <c r="V1556">
        <f>SUM(W1556:X1556)+(Y1556*0.8)+(Z1556*0.4)</f>
        <v>1.1000000000000001</v>
      </c>
      <c r="W1556">
        <v>1.1000000000000001</v>
      </c>
      <c r="X1556">
        <v>0</v>
      </c>
      <c r="Y1556">
        <v>0</v>
      </c>
      <c r="Z1556">
        <v>0</v>
      </c>
      <c r="AA1556" t="s">
        <v>43</v>
      </c>
      <c r="AB1556">
        <v>0.77</v>
      </c>
      <c r="AC1556">
        <v>1.28</v>
      </c>
      <c r="AD1556" t="s">
        <v>6777</v>
      </c>
      <c r="AE1556" t="s">
        <v>6778</v>
      </c>
    </row>
    <row r="1557" spans="1:31" x14ac:dyDescent="0.25">
      <c r="A1557" t="s">
        <v>31</v>
      </c>
      <c r="C1557" t="s">
        <v>2301</v>
      </c>
      <c r="D1557" t="s">
        <v>2360</v>
      </c>
      <c r="E1557" t="s">
        <v>34</v>
      </c>
      <c r="F1557" t="s">
        <v>35</v>
      </c>
      <c r="G1557">
        <v>2002</v>
      </c>
      <c r="H1557" t="s">
        <v>36</v>
      </c>
      <c r="I1557" t="s">
        <v>2361</v>
      </c>
      <c r="J1557" t="s">
        <v>31</v>
      </c>
      <c r="K1557" t="s">
        <v>38</v>
      </c>
      <c r="L1557" t="s">
        <v>326</v>
      </c>
      <c r="M1557" t="s">
        <v>327</v>
      </c>
      <c r="N1557" t="s">
        <v>328</v>
      </c>
      <c r="O1557" t="s">
        <v>590</v>
      </c>
      <c r="P1557" t="s">
        <v>2362</v>
      </c>
      <c r="S1557" t="s">
        <v>2363</v>
      </c>
      <c r="T1557">
        <v>33.439737000000001</v>
      </c>
      <c r="U1557">
        <v>-112.046977</v>
      </c>
      <c r="V1557">
        <f>SUM(W1557:X1557)+(Y1557*0.8)+(Z1557*0.4)</f>
        <v>1.1000000000000001</v>
      </c>
      <c r="W1557">
        <v>1.1000000000000001</v>
      </c>
      <c r="X1557">
        <v>0</v>
      </c>
      <c r="Y1557">
        <v>0</v>
      </c>
      <c r="Z1557">
        <v>0</v>
      </c>
      <c r="AA1557" t="s">
        <v>43</v>
      </c>
      <c r="AB1557">
        <v>0.8</v>
      </c>
      <c r="AC1557">
        <v>1.3</v>
      </c>
      <c r="AD1557" t="s">
        <v>2364</v>
      </c>
      <c r="AE1557" t="s">
        <v>2365</v>
      </c>
    </row>
    <row r="1558" spans="1:31" x14ac:dyDescent="0.25">
      <c r="A1558" t="s">
        <v>31</v>
      </c>
      <c r="C1558" t="s">
        <v>637</v>
      </c>
      <c r="D1558" t="s">
        <v>638</v>
      </c>
      <c r="E1558" t="s">
        <v>34</v>
      </c>
      <c r="F1558" t="s">
        <v>35</v>
      </c>
      <c r="G1558">
        <v>1990</v>
      </c>
      <c r="H1558" t="s">
        <v>36</v>
      </c>
      <c r="I1558" t="s">
        <v>639</v>
      </c>
      <c r="J1558" t="s">
        <v>31</v>
      </c>
      <c r="K1558" t="s">
        <v>38</v>
      </c>
      <c r="L1558" t="s">
        <v>640</v>
      </c>
      <c r="M1558" t="s">
        <v>641</v>
      </c>
      <c r="N1558" t="s">
        <v>642</v>
      </c>
      <c r="O1558" t="s">
        <v>643</v>
      </c>
      <c r="P1558" t="s">
        <v>644</v>
      </c>
      <c r="T1558">
        <v>38.353197723999997</v>
      </c>
      <c r="U1558">
        <v>-81.696171043999996</v>
      </c>
      <c r="V1558">
        <f>SUM(W1558:X1558)+(Y1558*0.8)+(Z1558*0.4)</f>
        <v>1.05</v>
      </c>
      <c r="W1558">
        <v>1.05</v>
      </c>
      <c r="X1558">
        <v>0</v>
      </c>
      <c r="Y1558">
        <v>0</v>
      </c>
      <c r="Z1558">
        <v>0</v>
      </c>
      <c r="AA1558" t="s">
        <v>43</v>
      </c>
      <c r="AB1558">
        <v>0.95</v>
      </c>
      <c r="AD1558" t="s">
        <v>645</v>
      </c>
      <c r="AE1558" t="s">
        <v>646</v>
      </c>
    </row>
    <row r="1559" spans="1:31" x14ac:dyDescent="0.25">
      <c r="A1559" t="s">
        <v>31</v>
      </c>
      <c r="C1559" t="s">
        <v>4795</v>
      </c>
      <c r="D1559" t="s">
        <v>4795</v>
      </c>
      <c r="E1559" t="s">
        <v>34</v>
      </c>
      <c r="F1559" t="s">
        <v>43</v>
      </c>
      <c r="G1559">
        <v>2024</v>
      </c>
      <c r="H1559" t="s">
        <v>36</v>
      </c>
      <c r="I1559" t="s">
        <v>4796</v>
      </c>
      <c r="J1559" t="s">
        <v>31</v>
      </c>
      <c r="K1559" t="s">
        <v>38</v>
      </c>
      <c r="L1559" t="s">
        <v>172</v>
      </c>
      <c r="M1559" t="s">
        <v>173</v>
      </c>
      <c r="N1559" t="s">
        <v>780</v>
      </c>
      <c r="O1559" t="s">
        <v>4797</v>
      </c>
      <c r="P1559" t="s">
        <v>4798</v>
      </c>
      <c r="T1559">
        <v>37.395919462999998</v>
      </c>
      <c r="U1559">
        <v>-122.04694292799999</v>
      </c>
      <c r="V1559">
        <f>SUM(W1559:X1559)+(Y1559*0.8)+(Z1559*0.4)</f>
        <v>1</v>
      </c>
      <c r="W1559">
        <v>1</v>
      </c>
      <c r="X1559">
        <v>0</v>
      </c>
      <c r="Y1559">
        <v>0</v>
      </c>
      <c r="Z1559">
        <v>0</v>
      </c>
      <c r="AA1559" t="s">
        <v>43</v>
      </c>
      <c r="AB1559">
        <v>1</v>
      </c>
      <c r="AC1559">
        <v>1.05</v>
      </c>
      <c r="AD1559" t="s">
        <v>4799</v>
      </c>
      <c r="AE1559" t="s">
        <v>4800</v>
      </c>
    </row>
    <row r="1560" spans="1:31" x14ac:dyDescent="0.25">
      <c r="A1560" t="s">
        <v>31</v>
      </c>
      <c r="C1560" t="s">
        <v>8286</v>
      </c>
      <c r="D1560" t="s">
        <v>8287</v>
      </c>
      <c r="E1560" t="s">
        <v>362</v>
      </c>
      <c r="F1560" t="s">
        <v>43</v>
      </c>
      <c r="G1560">
        <v>2022</v>
      </c>
      <c r="H1560" t="s">
        <v>36</v>
      </c>
      <c r="I1560" t="s">
        <v>8288</v>
      </c>
      <c r="J1560" t="s">
        <v>31</v>
      </c>
      <c r="K1560" t="s">
        <v>38</v>
      </c>
      <c r="L1560" t="s">
        <v>1959</v>
      </c>
      <c r="M1560" t="s">
        <v>1960</v>
      </c>
      <c r="N1560" t="s">
        <v>2075</v>
      </c>
      <c r="O1560" t="s">
        <v>2076</v>
      </c>
      <c r="P1560" t="s">
        <v>8289</v>
      </c>
      <c r="T1560">
        <v>35.058583118999998</v>
      </c>
      <c r="U1560">
        <v>-106.53444827200001</v>
      </c>
      <c r="V1560">
        <f>SUM(W1560:X1560)+(Y1560*0.8)+(Z1560*0.4)</f>
        <v>1</v>
      </c>
      <c r="W1560">
        <v>1</v>
      </c>
      <c r="X1560">
        <v>0</v>
      </c>
      <c r="Y1560">
        <v>0</v>
      </c>
      <c r="Z1560">
        <v>0</v>
      </c>
      <c r="AA1560" t="s">
        <v>43</v>
      </c>
      <c r="AB1560">
        <v>1</v>
      </c>
      <c r="AD1560" t="s">
        <v>8290</v>
      </c>
      <c r="AE1560" t="s">
        <v>8291</v>
      </c>
    </row>
    <row r="1561" spans="1:31" x14ac:dyDescent="0.25">
      <c r="A1561" t="s">
        <v>31</v>
      </c>
      <c r="C1561" t="s">
        <v>3622</v>
      </c>
      <c r="D1561" t="s">
        <v>3623</v>
      </c>
      <c r="E1561" t="s">
        <v>34</v>
      </c>
      <c r="F1561" t="s">
        <v>35</v>
      </c>
      <c r="G1561">
        <v>2021</v>
      </c>
      <c r="H1561" t="s">
        <v>36</v>
      </c>
      <c r="I1561" t="s">
        <v>3624</v>
      </c>
      <c r="J1561" t="s">
        <v>31</v>
      </c>
      <c r="K1561" t="s">
        <v>38</v>
      </c>
      <c r="L1561" t="s">
        <v>3625</v>
      </c>
      <c r="M1561" t="s">
        <v>3626</v>
      </c>
      <c r="N1561" t="s">
        <v>3627</v>
      </c>
      <c r="O1561" t="s">
        <v>3628</v>
      </c>
      <c r="P1561" t="s">
        <v>3629</v>
      </c>
      <c r="Q1561" t="s">
        <v>3630</v>
      </c>
      <c r="T1561">
        <v>39.748021805</v>
      </c>
      <c r="U1561">
        <v>-75.546784887000001</v>
      </c>
      <c r="V1561">
        <f>SUM(W1561:X1561)+(Y1561*0.8)+(Z1561*0.4)</f>
        <v>1</v>
      </c>
      <c r="W1561">
        <v>1</v>
      </c>
      <c r="X1561">
        <v>0</v>
      </c>
      <c r="Y1561">
        <v>0</v>
      </c>
      <c r="Z1561">
        <v>0</v>
      </c>
      <c r="AA1561" t="s">
        <v>43</v>
      </c>
      <c r="AB1561">
        <v>0.94</v>
      </c>
      <c r="AD1561" t="s">
        <v>3631</v>
      </c>
      <c r="AE1561" t="s">
        <v>3632</v>
      </c>
    </row>
    <row r="1562" spans="1:31" x14ac:dyDescent="0.25">
      <c r="A1562" t="s">
        <v>31</v>
      </c>
      <c r="C1562" t="s">
        <v>7605</v>
      </c>
      <c r="D1562" t="s">
        <v>7622</v>
      </c>
      <c r="E1562" t="s">
        <v>34</v>
      </c>
      <c r="F1562" t="s">
        <v>35</v>
      </c>
      <c r="G1562">
        <v>2020</v>
      </c>
      <c r="H1562" t="s">
        <v>36</v>
      </c>
      <c r="I1562" t="s">
        <v>7623</v>
      </c>
      <c r="J1562" t="s">
        <v>31</v>
      </c>
      <c r="K1562" t="s">
        <v>38</v>
      </c>
      <c r="L1562" t="s">
        <v>68</v>
      </c>
      <c r="M1562" t="s">
        <v>69</v>
      </c>
      <c r="N1562" t="s">
        <v>70</v>
      </c>
      <c r="O1562" t="s">
        <v>7624</v>
      </c>
      <c r="P1562" t="s">
        <v>72</v>
      </c>
      <c r="T1562">
        <v>26.199355806</v>
      </c>
      <c r="U1562">
        <v>-98.232137335999994</v>
      </c>
      <c r="V1562">
        <f>SUM(W1562:X1562)+(Y1562*0.8)+(Z1562*0.4)</f>
        <v>1</v>
      </c>
      <c r="W1562">
        <v>1</v>
      </c>
      <c r="X1562">
        <v>0</v>
      </c>
      <c r="Y1562">
        <v>0</v>
      </c>
      <c r="Z1562">
        <v>0</v>
      </c>
      <c r="AA1562" t="s">
        <v>43</v>
      </c>
      <c r="AB1562">
        <v>0.7</v>
      </c>
      <c r="AD1562" t="s">
        <v>7625</v>
      </c>
      <c r="AE1562" t="s">
        <v>7626</v>
      </c>
    </row>
    <row r="1563" spans="1:31" x14ac:dyDescent="0.25">
      <c r="A1563" t="s">
        <v>31</v>
      </c>
      <c r="C1563" t="s">
        <v>11227</v>
      </c>
      <c r="D1563" t="s">
        <v>11228</v>
      </c>
      <c r="E1563" t="s">
        <v>34</v>
      </c>
      <c r="F1563" t="s">
        <v>35</v>
      </c>
      <c r="G1563">
        <v>2017</v>
      </c>
      <c r="H1563" t="s">
        <v>36</v>
      </c>
      <c r="I1563" t="s">
        <v>11229</v>
      </c>
      <c r="J1563" t="s">
        <v>31</v>
      </c>
      <c r="K1563" t="s">
        <v>38</v>
      </c>
      <c r="L1563" t="s">
        <v>39</v>
      </c>
      <c r="M1563" t="s">
        <v>40</v>
      </c>
      <c r="N1563" t="s">
        <v>41</v>
      </c>
      <c r="O1563" t="s">
        <v>11230</v>
      </c>
      <c r="P1563" t="s">
        <v>11231</v>
      </c>
      <c r="Q1563" t="s">
        <v>11230</v>
      </c>
      <c r="T1563">
        <v>40.883273502999998</v>
      </c>
      <c r="U1563">
        <v>-74.050279262000004</v>
      </c>
      <c r="V1563">
        <f>SUM(W1563:X1563)+(Y1563*0.8)+(Z1563*0.4)</f>
        <v>1</v>
      </c>
      <c r="W1563">
        <v>1</v>
      </c>
      <c r="X1563">
        <v>0</v>
      </c>
      <c r="Y1563">
        <v>0</v>
      </c>
      <c r="Z1563">
        <v>0</v>
      </c>
      <c r="AA1563" t="s">
        <v>43</v>
      </c>
      <c r="AB1563">
        <v>0.97</v>
      </c>
      <c r="AD1563" t="s">
        <v>11232</v>
      </c>
      <c r="AE1563" t="s">
        <v>11233</v>
      </c>
    </row>
    <row r="1564" spans="1:31" x14ac:dyDescent="0.25">
      <c r="A1564" t="s">
        <v>31</v>
      </c>
      <c r="C1564" t="s">
        <v>169</v>
      </c>
      <c r="D1564" t="s">
        <v>234</v>
      </c>
      <c r="E1564" t="s">
        <v>34</v>
      </c>
      <c r="F1564" t="s">
        <v>35</v>
      </c>
      <c r="G1564">
        <v>2017</v>
      </c>
      <c r="H1564" t="s">
        <v>36</v>
      </c>
      <c r="I1564" t="s">
        <v>235</v>
      </c>
      <c r="J1564" t="s">
        <v>31</v>
      </c>
      <c r="K1564" t="s">
        <v>38</v>
      </c>
      <c r="L1564" t="s">
        <v>202</v>
      </c>
      <c r="M1564" t="s">
        <v>203</v>
      </c>
      <c r="N1564" t="s">
        <v>236</v>
      </c>
      <c r="O1564" t="s">
        <v>234</v>
      </c>
      <c r="P1564" t="s">
        <v>237</v>
      </c>
      <c r="T1564">
        <v>26.184809631</v>
      </c>
      <c r="U1564">
        <v>-80.190692350000006</v>
      </c>
      <c r="V1564">
        <f>SUM(W1564:X1564)+(Y1564*0.8)+(Z1564*0.4)</f>
        <v>1</v>
      </c>
      <c r="W1564">
        <v>1</v>
      </c>
      <c r="X1564">
        <v>0</v>
      </c>
      <c r="Y1564">
        <v>0</v>
      </c>
      <c r="Z1564">
        <v>0</v>
      </c>
      <c r="AA1564" t="s">
        <v>43</v>
      </c>
      <c r="AB1564">
        <v>0.82</v>
      </c>
      <c r="AD1564" t="s">
        <v>238</v>
      </c>
      <c r="AE1564" t="s">
        <v>239</v>
      </c>
    </row>
    <row r="1565" spans="1:31" x14ac:dyDescent="0.25">
      <c r="A1565" t="s">
        <v>31</v>
      </c>
      <c r="C1565" t="s">
        <v>6575</v>
      </c>
      <c r="D1565" t="s">
        <v>1881</v>
      </c>
      <c r="E1565" t="s">
        <v>362</v>
      </c>
      <c r="F1565" t="s">
        <v>4135</v>
      </c>
      <c r="G1565">
        <v>2016</v>
      </c>
      <c r="H1565" t="s">
        <v>36</v>
      </c>
      <c r="I1565" t="s">
        <v>6576</v>
      </c>
      <c r="J1565" t="s">
        <v>31</v>
      </c>
      <c r="K1565" t="s">
        <v>38</v>
      </c>
      <c r="L1565" t="s">
        <v>103</v>
      </c>
      <c r="M1565" t="s">
        <v>104</v>
      </c>
      <c r="N1565" t="s">
        <v>4001</v>
      </c>
      <c r="O1565" t="s">
        <v>105</v>
      </c>
      <c r="P1565" t="s">
        <v>6577</v>
      </c>
      <c r="Q1565" t="s">
        <v>6578</v>
      </c>
      <c r="S1565" t="s">
        <v>6579</v>
      </c>
      <c r="T1565">
        <v>21.296856699999999</v>
      </c>
      <c r="U1565">
        <v>-157.841528109</v>
      </c>
      <c r="V1565">
        <f>SUM(W1565:X1565)+(Y1565*0.8)+(Z1565*0.4)</f>
        <v>1</v>
      </c>
      <c r="W1565">
        <v>1</v>
      </c>
      <c r="X1565">
        <v>0</v>
      </c>
      <c r="Y1565">
        <v>0</v>
      </c>
      <c r="Z1565">
        <v>0</v>
      </c>
      <c r="AA1565" t="s">
        <v>43</v>
      </c>
      <c r="AB1565">
        <v>1</v>
      </c>
      <c r="AD1565" t="s">
        <v>6580</v>
      </c>
      <c r="AE1565" t="s">
        <v>6581</v>
      </c>
    </row>
    <row r="1566" spans="1:31" x14ac:dyDescent="0.25">
      <c r="A1566" t="s">
        <v>31</v>
      </c>
      <c r="C1566" t="s">
        <v>3703</v>
      </c>
      <c r="D1566" t="s">
        <v>3704</v>
      </c>
      <c r="E1566" t="s">
        <v>34</v>
      </c>
      <c r="F1566" t="s">
        <v>35</v>
      </c>
      <c r="G1566">
        <v>2016</v>
      </c>
      <c r="H1566" t="s">
        <v>36</v>
      </c>
      <c r="I1566" t="s">
        <v>3705</v>
      </c>
      <c r="J1566" t="s">
        <v>31</v>
      </c>
      <c r="K1566" t="s">
        <v>38</v>
      </c>
      <c r="L1566" t="s">
        <v>260</v>
      </c>
      <c r="M1566" t="s">
        <v>261</v>
      </c>
      <c r="N1566" t="s">
        <v>3706</v>
      </c>
      <c r="O1566" t="s">
        <v>3704</v>
      </c>
      <c r="P1566" t="s">
        <v>3707</v>
      </c>
      <c r="T1566">
        <v>35.857390094000003</v>
      </c>
      <c r="U1566">
        <v>-86.406521931</v>
      </c>
      <c r="V1566">
        <f>SUM(W1566:X1566)+(Y1566*0.8)+(Z1566*0.4)</f>
        <v>1</v>
      </c>
      <c r="W1566">
        <v>1</v>
      </c>
      <c r="X1566">
        <v>0</v>
      </c>
      <c r="Y1566">
        <v>0</v>
      </c>
      <c r="Z1566">
        <v>0</v>
      </c>
      <c r="AA1566" t="s">
        <v>43</v>
      </c>
      <c r="AB1566">
        <v>0.5</v>
      </c>
      <c r="AD1566" t="s">
        <v>3708</v>
      </c>
      <c r="AE1566" t="s">
        <v>3709</v>
      </c>
    </row>
    <row r="1567" spans="1:31" x14ac:dyDescent="0.25">
      <c r="A1567" t="s">
        <v>31</v>
      </c>
      <c r="C1567" t="s">
        <v>3551</v>
      </c>
      <c r="D1567" t="s">
        <v>3610</v>
      </c>
      <c r="E1567" t="s">
        <v>34</v>
      </c>
      <c r="F1567" t="s">
        <v>35</v>
      </c>
      <c r="G1567">
        <v>2016</v>
      </c>
      <c r="H1567" t="s">
        <v>36</v>
      </c>
      <c r="I1567" t="s">
        <v>3611</v>
      </c>
      <c r="J1567" t="s">
        <v>31</v>
      </c>
      <c r="K1567" t="s">
        <v>38</v>
      </c>
      <c r="L1567" t="s">
        <v>2620</v>
      </c>
      <c r="M1567" t="s">
        <v>2621</v>
      </c>
      <c r="N1567" t="s">
        <v>3612</v>
      </c>
      <c r="O1567" t="s">
        <v>3610</v>
      </c>
      <c r="P1567" t="s">
        <v>3613</v>
      </c>
      <c r="T1567">
        <v>32.510947350999999</v>
      </c>
      <c r="U1567">
        <v>-93.749782796000005</v>
      </c>
      <c r="V1567">
        <f>SUM(W1567:X1567)+(Y1567*0.8)+(Z1567*0.4)</f>
        <v>1</v>
      </c>
      <c r="W1567">
        <v>1</v>
      </c>
      <c r="X1567">
        <v>0</v>
      </c>
      <c r="Y1567">
        <v>0</v>
      </c>
      <c r="Z1567">
        <v>0</v>
      </c>
      <c r="AA1567" t="s">
        <v>43</v>
      </c>
      <c r="AB1567">
        <v>0.8</v>
      </c>
      <c r="AD1567" t="s">
        <v>3614</v>
      </c>
      <c r="AE1567" t="s">
        <v>3615</v>
      </c>
    </row>
    <row r="1568" spans="1:31" x14ac:dyDescent="0.25">
      <c r="A1568" t="s">
        <v>31</v>
      </c>
      <c r="C1568" t="s">
        <v>2301</v>
      </c>
      <c r="D1568" t="s">
        <v>2335</v>
      </c>
      <c r="E1568" t="s">
        <v>362</v>
      </c>
      <c r="F1568" t="s">
        <v>1611</v>
      </c>
      <c r="G1568">
        <v>2016</v>
      </c>
      <c r="H1568" t="s">
        <v>36</v>
      </c>
      <c r="I1568" t="s">
        <v>2336</v>
      </c>
      <c r="J1568" t="s">
        <v>31</v>
      </c>
      <c r="K1568" t="s">
        <v>38</v>
      </c>
      <c r="L1568" t="s">
        <v>242</v>
      </c>
      <c r="M1568" t="s">
        <v>243</v>
      </c>
      <c r="N1568" t="s">
        <v>405</v>
      </c>
      <c r="O1568" t="s">
        <v>516</v>
      </c>
      <c r="P1568" t="s">
        <v>517</v>
      </c>
      <c r="T1568">
        <v>39.022161515000001</v>
      </c>
      <c r="U1568">
        <v>-77.457725025000002</v>
      </c>
      <c r="V1568">
        <f>SUM(W1568:X1568)+(Y1568*0.8)+(Z1568*0.4)</f>
        <v>1</v>
      </c>
      <c r="W1568">
        <v>1</v>
      </c>
      <c r="X1568">
        <v>0</v>
      </c>
      <c r="Y1568">
        <v>0</v>
      </c>
      <c r="Z1568">
        <v>0</v>
      </c>
      <c r="AA1568" t="s">
        <v>43</v>
      </c>
      <c r="AB1568">
        <v>1</v>
      </c>
      <c r="AD1568" t="s">
        <v>2337</v>
      </c>
      <c r="AE1568" t="s">
        <v>2338</v>
      </c>
    </row>
    <row r="1569" spans="1:31" x14ac:dyDescent="0.25">
      <c r="A1569" t="s">
        <v>31</v>
      </c>
      <c r="C1569" t="s">
        <v>9192</v>
      </c>
      <c r="D1569" t="s">
        <v>9198</v>
      </c>
      <c r="E1569" t="s">
        <v>34</v>
      </c>
      <c r="F1569" t="s">
        <v>35</v>
      </c>
      <c r="G1569">
        <v>2015</v>
      </c>
      <c r="H1569" t="s">
        <v>36</v>
      </c>
      <c r="I1569" t="s">
        <v>9199</v>
      </c>
      <c r="J1569" t="s">
        <v>31</v>
      </c>
      <c r="K1569" t="s">
        <v>38</v>
      </c>
      <c r="L1569" t="s">
        <v>172</v>
      </c>
      <c r="M1569" t="s">
        <v>173</v>
      </c>
      <c r="N1569" t="s">
        <v>493</v>
      </c>
      <c r="O1569" t="s">
        <v>494</v>
      </c>
      <c r="P1569" t="s">
        <v>495</v>
      </c>
      <c r="S1569" t="s">
        <v>2670</v>
      </c>
      <c r="T1569">
        <v>34.048901772999997</v>
      </c>
      <c r="U1569">
        <v>-118.25751707400001</v>
      </c>
      <c r="V1569">
        <f>SUM(W1569:X1569)+(Y1569*0.8)+(Z1569*0.4)</f>
        <v>1</v>
      </c>
      <c r="W1569">
        <v>1</v>
      </c>
      <c r="X1569">
        <v>0</v>
      </c>
      <c r="Y1569">
        <v>0</v>
      </c>
      <c r="Z1569">
        <v>0</v>
      </c>
      <c r="AA1569" t="s">
        <v>43</v>
      </c>
      <c r="AB1569">
        <v>0.95</v>
      </c>
      <c r="AD1569" t="s">
        <v>9200</v>
      </c>
      <c r="AE1569" t="s">
        <v>9201</v>
      </c>
    </row>
    <row r="1570" spans="1:31" x14ac:dyDescent="0.25">
      <c r="A1570" t="s">
        <v>31</v>
      </c>
      <c r="C1570" t="s">
        <v>8656</v>
      </c>
      <c r="D1570" t="s">
        <v>8656</v>
      </c>
      <c r="E1570" t="s">
        <v>362</v>
      </c>
      <c r="F1570" t="s">
        <v>4135</v>
      </c>
      <c r="G1570">
        <v>2015</v>
      </c>
      <c r="H1570" t="s">
        <v>36</v>
      </c>
      <c r="I1570" t="s">
        <v>8657</v>
      </c>
      <c r="J1570" t="s">
        <v>31</v>
      </c>
      <c r="K1570" t="s">
        <v>38</v>
      </c>
      <c r="L1570" t="s">
        <v>123</v>
      </c>
      <c r="M1570" t="s">
        <v>124</v>
      </c>
      <c r="N1570" t="s">
        <v>7832</v>
      </c>
      <c r="O1570" t="s">
        <v>7503</v>
      </c>
      <c r="P1570" t="s">
        <v>7833</v>
      </c>
      <c r="S1570" t="s">
        <v>7834</v>
      </c>
      <c r="T1570">
        <v>42.679001980999999</v>
      </c>
      <c r="U1570">
        <v>-73.698741343999998</v>
      </c>
      <c r="V1570">
        <f>SUM(W1570:X1570)+(Y1570*0.8)+(Z1570*0.4)</f>
        <v>1</v>
      </c>
      <c r="W1570">
        <v>1</v>
      </c>
      <c r="X1570">
        <v>0</v>
      </c>
      <c r="Y1570">
        <v>0</v>
      </c>
      <c r="Z1570">
        <v>0</v>
      </c>
      <c r="AA1570" t="s">
        <v>43</v>
      </c>
      <c r="AB1570">
        <v>1</v>
      </c>
      <c r="AD1570" t="s">
        <v>8658</v>
      </c>
      <c r="AE1570" t="s">
        <v>8659</v>
      </c>
    </row>
    <row r="1571" spans="1:31" x14ac:dyDescent="0.25">
      <c r="A1571" t="s">
        <v>31</v>
      </c>
      <c r="C1571" t="s">
        <v>5181</v>
      </c>
      <c r="D1571" t="s">
        <v>5441</v>
      </c>
      <c r="E1571" t="s">
        <v>34</v>
      </c>
      <c r="F1571" t="s">
        <v>35</v>
      </c>
      <c r="G1571">
        <v>2015</v>
      </c>
      <c r="H1571" t="s">
        <v>36</v>
      </c>
      <c r="I1571" t="s">
        <v>5442</v>
      </c>
      <c r="J1571" t="s">
        <v>31</v>
      </c>
      <c r="K1571" t="s">
        <v>38</v>
      </c>
      <c r="L1571" t="s">
        <v>172</v>
      </c>
      <c r="M1571" t="s">
        <v>173</v>
      </c>
      <c r="N1571" t="s">
        <v>780</v>
      </c>
      <c r="O1571" t="s">
        <v>781</v>
      </c>
      <c r="P1571" t="s">
        <v>5443</v>
      </c>
      <c r="T1571">
        <v>37.374942433000001</v>
      </c>
      <c r="U1571">
        <v>-121.98851811900001</v>
      </c>
      <c r="V1571">
        <f>SUM(W1571:X1571)+(Y1571*0.8)+(Z1571*0.4)</f>
        <v>1</v>
      </c>
      <c r="W1571">
        <v>1</v>
      </c>
      <c r="X1571">
        <v>0</v>
      </c>
      <c r="Y1571">
        <v>0</v>
      </c>
      <c r="Z1571">
        <v>0</v>
      </c>
      <c r="AA1571" t="s">
        <v>43</v>
      </c>
      <c r="AB1571">
        <v>1</v>
      </c>
      <c r="AD1571" t="s">
        <v>5444</v>
      </c>
      <c r="AE1571" t="s">
        <v>5445</v>
      </c>
    </row>
    <row r="1572" spans="1:31" x14ac:dyDescent="0.25">
      <c r="A1572" t="s">
        <v>31</v>
      </c>
      <c r="C1572" t="s">
        <v>1530</v>
      </c>
      <c r="D1572" t="s">
        <v>1538</v>
      </c>
      <c r="E1572" t="s">
        <v>34</v>
      </c>
      <c r="F1572" t="s">
        <v>35</v>
      </c>
      <c r="G1572">
        <v>2015</v>
      </c>
      <c r="H1572" t="s">
        <v>36</v>
      </c>
      <c r="I1572" t="s">
        <v>1539</v>
      </c>
      <c r="J1572" t="s">
        <v>31</v>
      </c>
      <c r="K1572" t="s">
        <v>38</v>
      </c>
      <c r="L1572" t="s">
        <v>1540</v>
      </c>
      <c r="M1572" t="s">
        <v>1541</v>
      </c>
      <c r="N1572" t="s">
        <v>1542</v>
      </c>
      <c r="O1572" t="s">
        <v>1543</v>
      </c>
      <c r="P1572" t="s">
        <v>1544</v>
      </c>
      <c r="S1572" t="s">
        <v>1545</v>
      </c>
      <c r="T1572">
        <v>43.580050163000003</v>
      </c>
      <c r="U1572">
        <v>-116.290781307</v>
      </c>
      <c r="V1572">
        <f>SUM(W1572:X1572)+(Y1572*0.8)+(Z1572*0.4)</f>
        <v>1</v>
      </c>
      <c r="W1572">
        <v>1</v>
      </c>
      <c r="X1572">
        <v>0</v>
      </c>
      <c r="Y1572">
        <v>0</v>
      </c>
      <c r="Z1572">
        <v>0</v>
      </c>
      <c r="AA1572" t="s">
        <v>43</v>
      </c>
      <c r="AB1572">
        <v>0.99</v>
      </c>
      <c r="AD1572" t="s">
        <v>1546</v>
      </c>
      <c r="AE1572" t="s">
        <v>1547</v>
      </c>
    </row>
    <row r="1573" spans="1:31" x14ac:dyDescent="0.25">
      <c r="A1573" t="s">
        <v>31</v>
      </c>
      <c r="C1573" t="s">
        <v>8180</v>
      </c>
      <c r="D1573" t="s">
        <v>8188</v>
      </c>
      <c r="E1573" t="s">
        <v>34</v>
      </c>
      <c r="F1573" t="s">
        <v>35</v>
      </c>
      <c r="G1573">
        <v>2014</v>
      </c>
      <c r="H1573" t="s">
        <v>36</v>
      </c>
      <c r="I1573" t="s">
        <v>8189</v>
      </c>
      <c r="J1573" t="s">
        <v>31</v>
      </c>
      <c r="K1573" t="s">
        <v>38</v>
      </c>
      <c r="L1573" t="s">
        <v>1465</v>
      </c>
      <c r="M1573" t="s">
        <v>1466</v>
      </c>
      <c r="N1573" t="s">
        <v>8190</v>
      </c>
      <c r="O1573" t="s">
        <v>8191</v>
      </c>
      <c r="P1573" t="s">
        <v>8192</v>
      </c>
      <c r="Q1573" t="s">
        <v>8191</v>
      </c>
      <c r="T1573">
        <v>43.496632898999998</v>
      </c>
      <c r="U1573">
        <v>-96.785939608999996</v>
      </c>
      <c r="V1573">
        <f>SUM(W1573:X1573)+(Y1573*0.8)+(Z1573*0.4)</f>
        <v>1</v>
      </c>
      <c r="W1573">
        <v>1</v>
      </c>
      <c r="X1573">
        <v>0</v>
      </c>
      <c r="Y1573">
        <v>0</v>
      </c>
      <c r="Z1573">
        <v>0</v>
      </c>
      <c r="AA1573" t="s">
        <v>43</v>
      </c>
      <c r="AB1573">
        <v>0.66</v>
      </c>
      <c r="AD1573" t="s">
        <v>8193</v>
      </c>
      <c r="AE1573" t="s">
        <v>8194</v>
      </c>
    </row>
    <row r="1574" spans="1:31" x14ac:dyDescent="0.25">
      <c r="A1574" t="s">
        <v>31</v>
      </c>
      <c r="C1574" t="s">
        <v>2936</v>
      </c>
      <c r="D1574" t="s">
        <v>2949</v>
      </c>
      <c r="E1574" t="s">
        <v>34</v>
      </c>
      <c r="F1574" t="s">
        <v>35</v>
      </c>
      <c r="G1574">
        <v>2014</v>
      </c>
      <c r="H1574" t="s">
        <v>36</v>
      </c>
      <c r="I1574" t="s">
        <v>2950</v>
      </c>
      <c r="J1574" t="s">
        <v>31</v>
      </c>
      <c r="K1574" t="s">
        <v>38</v>
      </c>
      <c r="L1574" t="s">
        <v>2951</v>
      </c>
      <c r="M1574" t="s">
        <v>2952</v>
      </c>
      <c r="N1574" t="s">
        <v>2953</v>
      </c>
      <c r="O1574" t="s">
        <v>2954</v>
      </c>
      <c r="P1574" t="s">
        <v>2955</v>
      </c>
      <c r="Q1574" t="s">
        <v>2954</v>
      </c>
      <c r="T1574">
        <v>43.531444010999998</v>
      </c>
      <c r="U1574">
        <v>-71.473301445999994</v>
      </c>
      <c r="V1574">
        <f>SUM(W1574:X1574)+(Y1574*0.8)+(Z1574*0.4)</f>
        <v>1</v>
      </c>
      <c r="W1574">
        <v>1</v>
      </c>
      <c r="X1574">
        <v>0</v>
      </c>
      <c r="Y1574">
        <v>0</v>
      </c>
      <c r="Z1574">
        <v>0</v>
      </c>
      <c r="AA1574" t="s">
        <v>43</v>
      </c>
      <c r="AB1574">
        <v>0.87</v>
      </c>
      <c r="AD1574" t="s">
        <v>2956</v>
      </c>
      <c r="AE1574" t="s">
        <v>2957</v>
      </c>
    </row>
    <row r="1575" spans="1:31" x14ac:dyDescent="0.25">
      <c r="A1575" t="s">
        <v>31</v>
      </c>
      <c r="C1575" t="s">
        <v>169</v>
      </c>
      <c r="D1575" t="s">
        <v>258</v>
      </c>
      <c r="E1575" t="s">
        <v>34</v>
      </c>
      <c r="F1575" t="s">
        <v>35</v>
      </c>
      <c r="G1575">
        <v>2014</v>
      </c>
      <c r="H1575" t="s">
        <v>36</v>
      </c>
      <c r="I1575" t="s">
        <v>259</v>
      </c>
      <c r="J1575" t="s">
        <v>31</v>
      </c>
      <c r="K1575" t="s">
        <v>38</v>
      </c>
      <c r="L1575" t="s">
        <v>260</v>
      </c>
      <c r="M1575" t="s">
        <v>261</v>
      </c>
      <c r="N1575" t="s">
        <v>262</v>
      </c>
      <c r="O1575" t="s">
        <v>263</v>
      </c>
      <c r="P1575" t="s">
        <v>264</v>
      </c>
      <c r="S1575" t="s">
        <v>265</v>
      </c>
      <c r="T1575">
        <v>36.162598617999997</v>
      </c>
      <c r="U1575">
        <v>-86.778660013000007</v>
      </c>
      <c r="V1575">
        <f>SUM(W1575:X1575)+(Y1575*0.8)+(Z1575*0.4)</f>
        <v>1</v>
      </c>
      <c r="W1575">
        <v>1</v>
      </c>
      <c r="X1575">
        <v>0</v>
      </c>
      <c r="Y1575">
        <v>0</v>
      </c>
      <c r="Z1575">
        <v>0</v>
      </c>
      <c r="AA1575" t="s">
        <v>43</v>
      </c>
      <c r="AB1575">
        <v>0.5</v>
      </c>
      <c r="AD1575" t="s">
        <v>266</v>
      </c>
      <c r="AE1575" t="s">
        <v>267</v>
      </c>
    </row>
    <row r="1576" spans="1:31" x14ac:dyDescent="0.25">
      <c r="A1576" t="s">
        <v>31</v>
      </c>
      <c r="C1576" t="s">
        <v>11183</v>
      </c>
      <c r="D1576" t="s">
        <v>11184</v>
      </c>
      <c r="E1576" t="s">
        <v>362</v>
      </c>
      <c r="F1576" t="s">
        <v>1611</v>
      </c>
      <c r="G1576">
        <v>2013</v>
      </c>
      <c r="H1576" t="s">
        <v>36</v>
      </c>
      <c r="I1576" t="s">
        <v>11185</v>
      </c>
      <c r="J1576" t="s">
        <v>31</v>
      </c>
      <c r="K1576" t="s">
        <v>38</v>
      </c>
      <c r="L1576" t="s">
        <v>123</v>
      </c>
      <c r="M1576" t="s">
        <v>124</v>
      </c>
      <c r="N1576" t="s">
        <v>11186</v>
      </c>
      <c r="O1576" t="s">
        <v>11187</v>
      </c>
      <c r="P1576" t="s">
        <v>11188</v>
      </c>
      <c r="Q1576" t="s">
        <v>11187</v>
      </c>
      <c r="T1576">
        <v>44.696431052000001</v>
      </c>
      <c r="U1576">
        <v>-73.453189019999996</v>
      </c>
      <c r="V1576">
        <f>SUM(W1576:X1576)+(Y1576*0.8)+(Z1576*0.4)</f>
        <v>1</v>
      </c>
      <c r="W1576">
        <v>1</v>
      </c>
      <c r="X1576">
        <v>0</v>
      </c>
      <c r="Y1576">
        <v>0</v>
      </c>
      <c r="Z1576">
        <v>0</v>
      </c>
      <c r="AA1576" t="s">
        <v>43</v>
      </c>
      <c r="AB1576">
        <v>1</v>
      </c>
      <c r="AD1576" t="s">
        <v>11189</v>
      </c>
      <c r="AE1576" t="s">
        <v>11190</v>
      </c>
    </row>
    <row r="1577" spans="1:31" x14ac:dyDescent="0.25">
      <c r="A1577" t="s">
        <v>31</v>
      </c>
      <c r="C1577" t="s">
        <v>8470</v>
      </c>
      <c r="D1577" t="s">
        <v>8471</v>
      </c>
      <c r="E1577" t="s">
        <v>34</v>
      </c>
      <c r="F1577" t="s">
        <v>35</v>
      </c>
      <c r="G1577">
        <v>2012</v>
      </c>
      <c r="H1577" t="s">
        <v>36</v>
      </c>
      <c r="I1577" t="s">
        <v>8472</v>
      </c>
      <c r="J1577" t="s">
        <v>31</v>
      </c>
      <c r="K1577" t="s">
        <v>38</v>
      </c>
      <c r="L1577" t="s">
        <v>1900</v>
      </c>
      <c r="M1577" t="s">
        <v>1901</v>
      </c>
      <c r="N1577" t="s">
        <v>8473</v>
      </c>
      <c r="O1577" t="s">
        <v>8474</v>
      </c>
      <c r="P1577" t="s">
        <v>8475</v>
      </c>
      <c r="T1577">
        <v>39.137472307000003</v>
      </c>
      <c r="U1577">
        <v>-94.578603376999993</v>
      </c>
      <c r="V1577">
        <f>SUM(W1577:X1577)+(Y1577*0.8)+(Z1577*0.4)</f>
        <v>1</v>
      </c>
      <c r="W1577">
        <v>1</v>
      </c>
      <c r="X1577">
        <v>0</v>
      </c>
      <c r="Y1577">
        <v>0</v>
      </c>
      <c r="Z1577">
        <v>0</v>
      </c>
      <c r="AA1577" t="s">
        <v>43</v>
      </c>
      <c r="AB1577">
        <v>0.5</v>
      </c>
      <c r="AD1577" t="s">
        <v>8476</v>
      </c>
      <c r="AE1577" t="s">
        <v>8477</v>
      </c>
    </row>
    <row r="1578" spans="1:31" x14ac:dyDescent="0.25">
      <c r="A1578" t="s">
        <v>31</v>
      </c>
      <c r="C1578" t="s">
        <v>7455</v>
      </c>
      <c r="D1578" t="s">
        <v>7456</v>
      </c>
      <c r="E1578" t="s">
        <v>362</v>
      </c>
      <c r="F1578" t="s">
        <v>1611</v>
      </c>
      <c r="G1578">
        <v>2012</v>
      </c>
      <c r="H1578" t="s">
        <v>36</v>
      </c>
      <c r="I1578" t="s">
        <v>7457</v>
      </c>
      <c r="J1578" t="s">
        <v>31</v>
      </c>
      <c r="K1578" t="s">
        <v>38</v>
      </c>
      <c r="L1578" t="s">
        <v>242</v>
      </c>
      <c r="M1578" t="s">
        <v>243</v>
      </c>
      <c r="O1578" t="s">
        <v>961</v>
      </c>
      <c r="P1578" t="s">
        <v>7458</v>
      </c>
      <c r="T1578">
        <v>37.792752831000001</v>
      </c>
      <c r="U1578">
        <v>-79.996555131999997</v>
      </c>
      <c r="V1578">
        <f>SUM(W1578:X1578)+(Y1578*0.8)+(Z1578*0.4)</f>
        <v>1</v>
      </c>
      <c r="W1578">
        <v>1</v>
      </c>
      <c r="X1578">
        <v>0</v>
      </c>
      <c r="Y1578">
        <v>0</v>
      </c>
      <c r="Z1578">
        <v>0</v>
      </c>
      <c r="AA1578" t="s">
        <v>43</v>
      </c>
      <c r="AB1578">
        <v>1</v>
      </c>
      <c r="AD1578" t="s">
        <v>7459</v>
      </c>
      <c r="AE1578" t="s">
        <v>7460</v>
      </c>
    </row>
    <row r="1579" spans="1:31" x14ac:dyDescent="0.25">
      <c r="A1579" t="s">
        <v>31</v>
      </c>
      <c r="C1579" t="s">
        <v>1530</v>
      </c>
      <c r="D1579" t="s">
        <v>1562</v>
      </c>
      <c r="E1579" t="s">
        <v>34</v>
      </c>
      <c r="F1579" t="s">
        <v>35</v>
      </c>
      <c r="G1579">
        <v>2012</v>
      </c>
      <c r="H1579" t="s">
        <v>36</v>
      </c>
      <c r="I1579" t="s">
        <v>1563</v>
      </c>
      <c r="J1579" t="s">
        <v>31</v>
      </c>
      <c r="K1579" t="s">
        <v>38</v>
      </c>
      <c r="L1579" t="s">
        <v>828</v>
      </c>
      <c r="M1579" t="s">
        <v>829</v>
      </c>
      <c r="N1579" t="s">
        <v>1556</v>
      </c>
      <c r="O1579" t="s">
        <v>1557</v>
      </c>
      <c r="P1579" t="s">
        <v>1564</v>
      </c>
      <c r="T1579">
        <v>46.827501581</v>
      </c>
      <c r="U1579">
        <v>-92.130373796000001</v>
      </c>
      <c r="V1579">
        <f>SUM(W1579:X1579)+(Y1579*0.8)+(Z1579*0.4)</f>
        <v>1</v>
      </c>
      <c r="W1579">
        <v>1</v>
      </c>
      <c r="X1579">
        <v>0</v>
      </c>
      <c r="Y1579">
        <v>0</v>
      </c>
      <c r="Z1579">
        <v>0</v>
      </c>
      <c r="AA1579" t="s">
        <v>43</v>
      </c>
      <c r="AB1579">
        <v>0.5</v>
      </c>
      <c r="AD1579" t="s">
        <v>1565</v>
      </c>
      <c r="AE1579" t="s">
        <v>1566</v>
      </c>
    </row>
    <row r="1580" spans="1:31" x14ac:dyDescent="0.25">
      <c r="A1580" t="s">
        <v>31</v>
      </c>
      <c r="C1580" t="s">
        <v>10406</v>
      </c>
      <c r="D1580" t="s">
        <v>10371</v>
      </c>
      <c r="E1580" t="s">
        <v>34</v>
      </c>
      <c r="F1580" t="s">
        <v>35</v>
      </c>
      <c r="G1580">
        <v>2011</v>
      </c>
      <c r="H1580" t="s">
        <v>36</v>
      </c>
      <c r="I1580" t="s">
        <v>10489</v>
      </c>
      <c r="J1580" t="s">
        <v>31</v>
      </c>
      <c r="K1580" t="s">
        <v>38</v>
      </c>
      <c r="L1580" t="s">
        <v>1733</v>
      </c>
      <c r="M1580" t="s">
        <v>1734</v>
      </c>
      <c r="N1580" t="s">
        <v>1735</v>
      </c>
      <c r="O1580" t="s">
        <v>10371</v>
      </c>
      <c r="P1580" t="s">
        <v>10490</v>
      </c>
      <c r="T1580">
        <v>34.756216813999998</v>
      </c>
      <c r="U1580">
        <v>-92.444719363999994</v>
      </c>
      <c r="V1580">
        <f>SUM(W1580:X1580)+(Y1580*0.8)+(Z1580*0.4)</f>
        <v>1</v>
      </c>
      <c r="W1580">
        <v>1</v>
      </c>
      <c r="X1580">
        <v>0</v>
      </c>
      <c r="Y1580">
        <v>0</v>
      </c>
      <c r="Z1580">
        <v>0</v>
      </c>
      <c r="AA1580" t="s">
        <v>43</v>
      </c>
      <c r="AB1580">
        <v>0.5</v>
      </c>
      <c r="AD1580" t="s">
        <v>10491</v>
      </c>
      <c r="AE1580" t="s">
        <v>10492</v>
      </c>
    </row>
    <row r="1581" spans="1:31" x14ac:dyDescent="0.25">
      <c r="A1581" t="s">
        <v>31</v>
      </c>
      <c r="C1581" t="s">
        <v>8221</v>
      </c>
      <c r="D1581" t="s">
        <v>8222</v>
      </c>
      <c r="E1581" t="s">
        <v>362</v>
      </c>
      <c r="F1581" t="s">
        <v>4135</v>
      </c>
      <c r="G1581">
        <v>2010</v>
      </c>
      <c r="H1581" t="s">
        <v>36</v>
      </c>
      <c r="I1581" t="s">
        <v>8223</v>
      </c>
      <c r="J1581" t="s">
        <v>31</v>
      </c>
      <c r="K1581" t="s">
        <v>38</v>
      </c>
      <c r="L1581" t="s">
        <v>1146</v>
      </c>
      <c r="M1581" t="s">
        <v>1147</v>
      </c>
      <c r="N1581" t="s">
        <v>8224</v>
      </c>
      <c r="O1581" t="s">
        <v>8225</v>
      </c>
      <c r="P1581" t="s">
        <v>8226</v>
      </c>
      <c r="T1581">
        <v>32.335817263000003</v>
      </c>
      <c r="U1581">
        <v>-90.144948263000003</v>
      </c>
      <c r="V1581">
        <f>SUM(W1581:X1581)+(Y1581*0.8)+(Z1581*0.4)</f>
        <v>1</v>
      </c>
      <c r="W1581">
        <v>1</v>
      </c>
      <c r="X1581">
        <v>0</v>
      </c>
      <c r="Y1581">
        <v>0</v>
      </c>
      <c r="Z1581">
        <v>0</v>
      </c>
      <c r="AA1581" t="s">
        <v>43</v>
      </c>
      <c r="AB1581">
        <v>1</v>
      </c>
      <c r="AD1581" t="s">
        <v>8227</v>
      </c>
      <c r="AE1581" t="s">
        <v>8228</v>
      </c>
    </row>
    <row r="1582" spans="1:31" x14ac:dyDescent="0.25">
      <c r="A1582" t="s">
        <v>31</v>
      </c>
      <c r="C1582" t="s">
        <v>5181</v>
      </c>
      <c r="D1582" t="s">
        <v>5245</v>
      </c>
      <c r="E1582" t="s">
        <v>34</v>
      </c>
      <c r="F1582" t="s">
        <v>35</v>
      </c>
      <c r="G1582">
        <v>2010</v>
      </c>
      <c r="H1582" t="s">
        <v>36</v>
      </c>
      <c r="I1582" t="s">
        <v>5246</v>
      </c>
      <c r="J1582" t="s">
        <v>31</v>
      </c>
      <c r="K1582" t="s">
        <v>38</v>
      </c>
      <c r="L1582" t="s">
        <v>68</v>
      </c>
      <c r="M1582" t="s">
        <v>69</v>
      </c>
      <c r="N1582" t="s">
        <v>297</v>
      </c>
      <c r="O1582" t="s">
        <v>2116</v>
      </c>
      <c r="P1582" t="s">
        <v>4455</v>
      </c>
      <c r="S1582" t="s">
        <v>4456</v>
      </c>
      <c r="T1582">
        <v>32.787235000000003</v>
      </c>
      <c r="U1582">
        <v>-96.794208999999995</v>
      </c>
      <c r="V1582">
        <f>SUM(W1582:X1582)+(Y1582*0.8)+(Z1582*0.4)</f>
        <v>1</v>
      </c>
      <c r="W1582">
        <v>1</v>
      </c>
      <c r="X1582">
        <v>0</v>
      </c>
      <c r="Y1582">
        <v>0</v>
      </c>
      <c r="Z1582">
        <v>0</v>
      </c>
      <c r="AA1582" t="s">
        <v>43</v>
      </c>
      <c r="AB1582">
        <v>1</v>
      </c>
      <c r="AC1582">
        <v>1.3</v>
      </c>
      <c r="AD1582" t="s">
        <v>5247</v>
      </c>
      <c r="AE1582" t="s">
        <v>5248</v>
      </c>
    </row>
    <row r="1583" spans="1:31" x14ac:dyDescent="0.25">
      <c r="A1583" t="s">
        <v>31</v>
      </c>
      <c r="C1583" t="s">
        <v>3312</v>
      </c>
      <c r="D1583" t="s">
        <v>3373</v>
      </c>
      <c r="E1583" t="s">
        <v>34</v>
      </c>
      <c r="F1583" t="s">
        <v>35</v>
      </c>
      <c r="G1583">
        <v>2010</v>
      </c>
      <c r="H1583" t="s">
        <v>36</v>
      </c>
      <c r="I1583" t="s">
        <v>3374</v>
      </c>
      <c r="J1583" t="s">
        <v>31</v>
      </c>
      <c r="K1583" t="s">
        <v>38</v>
      </c>
      <c r="L1583" t="s">
        <v>317</v>
      </c>
      <c r="M1583" t="s">
        <v>318</v>
      </c>
      <c r="N1583" t="s">
        <v>2036</v>
      </c>
      <c r="O1583" t="s">
        <v>3375</v>
      </c>
      <c r="P1583" t="s">
        <v>3376</v>
      </c>
      <c r="Q1583" t="s">
        <v>3375</v>
      </c>
      <c r="T1583">
        <v>39.244995000000003</v>
      </c>
      <c r="U1583">
        <v>-84.379958999999999</v>
      </c>
      <c r="V1583">
        <f>SUM(W1583:X1583)+(Y1583*0.8)+(Z1583*0.4)</f>
        <v>1</v>
      </c>
      <c r="W1583">
        <v>1</v>
      </c>
      <c r="X1583">
        <v>0</v>
      </c>
      <c r="Y1583">
        <v>0</v>
      </c>
      <c r="Z1583">
        <v>0</v>
      </c>
      <c r="AA1583" t="s">
        <v>43</v>
      </c>
      <c r="AB1583">
        <v>0.5</v>
      </c>
      <c r="AD1583" t="s">
        <v>3377</v>
      </c>
      <c r="AE1583" t="s">
        <v>3378</v>
      </c>
    </row>
    <row r="1584" spans="1:31" x14ac:dyDescent="0.25">
      <c r="A1584" t="s">
        <v>31</v>
      </c>
      <c r="C1584" t="s">
        <v>2282</v>
      </c>
      <c r="D1584" t="s">
        <v>2287</v>
      </c>
      <c r="E1584" t="s">
        <v>34</v>
      </c>
      <c r="F1584" t="s">
        <v>35</v>
      </c>
      <c r="G1584">
        <v>2010</v>
      </c>
      <c r="H1584" t="s">
        <v>36</v>
      </c>
      <c r="I1584" t="s">
        <v>2288</v>
      </c>
      <c r="J1584" t="s">
        <v>31</v>
      </c>
      <c r="K1584" t="s">
        <v>38</v>
      </c>
      <c r="L1584" t="s">
        <v>383</v>
      </c>
      <c r="M1584" t="s">
        <v>384</v>
      </c>
      <c r="N1584" t="s">
        <v>2289</v>
      </c>
      <c r="O1584" t="s">
        <v>2290</v>
      </c>
      <c r="P1584" t="s">
        <v>2291</v>
      </c>
      <c r="T1584">
        <v>35.922515214000001</v>
      </c>
      <c r="U1584">
        <v>-81.542927700999996</v>
      </c>
      <c r="V1584">
        <f>SUM(W1584:X1584)+(Y1584*0.8)+(Z1584*0.4)</f>
        <v>1</v>
      </c>
      <c r="W1584">
        <v>1</v>
      </c>
      <c r="X1584">
        <v>0</v>
      </c>
      <c r="Y1584">
        <v>0</v>
      </c>
      <c r="Z1584">
        <v>0</v>
      </c>
      <c r="AA1584" t="s">
        <v>43</v>
      </c>
      <c r="AB1584">
        <v>0.9</v>
      </c>
      <c r="AC1584">
        <v>1.2</v>
      </c>
      <c r="AD1584" t="s">
        <v>2292</v>
      </c>
      <c r="AE1584" t="s">
        <v>2293</v>
      </c>
    </row>
    <row r="1585" spans="1:31" x14ac:dyDescent="0.25">
      <c r="A1585" t="s">
        <v>31</v>
      </c>
      <c r="C1585" t="s">
        <v>11247</v>
      </c>
      <c r="D1585" t="s">
        <v>11253</v>
      </c>
      <c r="E1585" t="s">
        <v>362</v>
      </c>
      <c r="F1585" t="s">
        <v>1611</v>
      </c>
      <c r="G1585">
        <v>2009</v>
      </c>
      <c r="H1585" t="s">
        <v>36</v>
      </c>
      <c r="I1585" t="s">
        <v>11254</v>
      </c>
      <c r="J1585" t="s">
        <v>31</v>
      </c>
      <c r="K1585" t="s">
        <v>38</v>
      </c>
      <c r="L1585" t="s">
        <v>77</v>
      </c>
      <c r="M1585" t="s">
        <v>78</v>
      </c>
      <c r="N1585" t="s">
        <v>1843</v>
      </c>
      <c r="O1585" t="s">
        <v>11255</v>
      </c>
      <c r="P1585" t="s">
        <v>11256</v>
      </c>
      <c r="Q1585" t="s">
        <v>11255</v>
      </c>
      <c r="T1585">
        <v>40.169719202000003</v>
      </c>
      <c r="U1585">
        <v>-76.177880728999995</v>
      </c>
      <c r="V1585">
        <f>SUM(W1585:X1585)+(Y1585*0.8)+(Z1585*0.4)</f>
        <v>1</v>
      </c>
      <c r="W1585">
        <v>1</v>
      </c>
      <c r="X1585">
        <v>0</v>
      </c>
      <c r="Y1585">
        <v>0</v>
      </c>
      <c r="Z1585">
        <v>0</v>
      </c>
      <c r="AA1585" t="s">
        <v>43</v>
      </c>
      <c r="AB1585">
        <v>1</v>
      </c>
      <c r="AD1585" t="s">
        <v>11257</v>
      </c>
      <c r="AE1585" t="s">
        <v>11258</v>
      </c>
    </row>
    <row r="1586" spans="1:31" x14ac:dyDescent="0.25">
      <c r="A1586" t="s">
        <v>31</v>
      </c>
      <c r="C1586" t="s">
        <v>9159</v>
      </c>
      <c r="D1586" t="s">
        <v>9160</v>
      </c>
      <c r="E1586" t="s">
        <v>34</v>
      </c>
      <c r="F1586" t="s">
        <v>35</v>
      </c>
      <c r="G1586">
        <v>2009</v>
      </c>
      <c r="H1586" t="s">
        <v>36</v>
      </c>
      <c r="I1586" t="s">
        <v>9161</v>
      </c>
      <c r="J1586" t="s">
        <v>31</v>
      </c>
      <c r="K1586" t="s">
        <v>38</v>
      </c>
      <c r="L1586" t="s">
        <v>251</v>
      </c>
      <c r="M1586" t="s">
        <v>252</v>
      </c>
      <c r="N1586" t="s">
        <v>253</v>
      </c>
      <c r="O1586" t="s">
        <v>9162</v>
      </c>
      <c r="P1586" t="s">
        <v>9163</v>
      </c>
      <c r="T1586">
        <v>42.597047416999999</v>
      </c>
      <c r="U1586">
        <v>-71.331438973000004</v>
      </c>
      <c r="V1586">
        <f>SUM(W1586:X1586)+(Y1586*0.8)+(Z1586*0.4)</f>
        <v>1</v>
      </c>
      <c r="W1586">
        <v>1</v>
      </c>
      <c r="X1586">
        <v>0</v>
      </c>
      <c r="Y1586">
        <v>0</v>
      </c>
      <c r="Z1586">
        <v>0</v>
      </c>
      <c r="AA1586" t="s">
        <v>43</v>
      </c>
      <c r="AB1586">
        <v>0.91</v>
      </c>
      <c r="AD1586" t="s">
        <v>9164</v>
      </c>
      <c r="AE1586" t="s">
        <v>9165</v>
      </c>
    </row>
    <row r="1587" spans="1:31" x14ac:dyDescent="0.25">
      <c r="A1587" t="s">
        <v>31</v>
      </c>
      <c r="B1587" t="s">
        <v>11350</v>
      </c>
      <c r="C1587" t="s">
        <v>7857</v>
      </c>
      <c r="D1587" t="s">
        <v>8127</v>
      </c>
      <c r="E1587" t="s">
        <v>362</v>
      </c>
      <c r="F1587" t="s">
        <v>1302</v>
      </c>
      <c r="G1587">
        <v>2009</v>
      </c>
      <c r="H1587" t="s">
        <v>36</v>
      </c>
      <c r="I1587" t="s">
        <v>8128</v>
      </c>
      <c r="J1587" t="s">
        <v>31</v>
      </c>
      <c r="K1587" t="s">
        <v>38</v>
      </c>
      <c r="L1587" t="s">
        <v>843</v>
      </c>
      <c r="M1587" t="s">
        <v>1644</v>
      </c>
      <c r="N1587" t="s">
        <v>2232</v>
      </c>
      <c r="O1587" t="s">
        <v>8129</v>
      </c>
      <c r="P1587" t="s">
        <v>8130</v>
      </c>
      <c r="S1587" t="s">
        <v>8131</v>
      </c>
      <c r="T1587">
        <v>47.691034246000001</v>
      </c>
      <c r="U1587">
        <v>-122.032081009</v>
      </c>
      <c r="V1587">
        <f>SUM(W1587:X1587)+(Y1587*0.8)+(Z1587*0.4)</f>
        <v>1</v>
      </c>
      <c r="W1587">
        <v>1</v>
      </c>
      <c r="X1587">
        <v>0</v>
      </c>
      <c r="Y1587">
        <v>0</v>
      </c>
      <c r="Z1587">
        <v>0</v>
      </c>
      <c r="AA1587" t="s">
        <v>43</v>
      </c>
      <c r="AB1587">
        <v>1</v>
      </c>
      <c r="AD1587" t="s">
        <v>8132</v>
      </c>
      <c r="AE1587" t="s">
        <v>8133</v>
      </c>
    </row>
    <row r="1588" spans="1:31" x14ac:dyDescent="0.25">
      <c r="A1588" t="s">
        <v>31</v>
      </c>
      <c r="C1588" t="s">
        <v>4128</v>
      </c>
      <c r="D1588" t="s">
        <v>386</v>
      </c>
      <c r="E1588" t="s">
        <v>362</v>
      </c>
      <c r="F1588" t="s">
        <v>1803</v>
      </c>
      <c r="G1588">
        <v>2009</v>
      </c>
      <c r="H1588" t="s">
        <v>36</v>
      </c>
      <c r="I1588" t="s">
        <v>4129</v>
      </c>
      <c r="J1588" t="s">
        <v>31</v>
      </c>
      <c r="K1588" t="s">
        <v>38</v>
      </c>
      <c r="L1588" t="s">
        <v>383</v>
      </c>
      <c r="M1588" t="s">
        <v>384</v>
      </c>
      <c r="N1588" t="s">
        <v>385</v>
      </c>
      <c r="O1588" t="s">
        <v>386</v>
      </c>
      <c r="P1588" t="s">
        <v>387</v>
      </c>
      <c r="S1588" t="s">
        <v>4130</v>
      </c>
      <c r="T1588">
        <v>35.870123257000003</v>
      </c>
      <c r="U1588">
        <v>-78.846379494999994</v>
      </c>
      <c r="V1588">
        <f>SUM(W1588:X1588)+(Y1588*0.8)+(Z1588*0.4)</f>
        <v>1</v>
      </c>
      <c r="W1588">
        <v>1</v>
      </c>
      <c r="X1588">
        <v>0</v>
      </c>
      <c r="Y1588">
        <v>0</v>
      </c>
      <c r="Z1588">
        <v>0</v>
      </c>
      <c r="AA1588" t="s">
        <v>43</v>
      </c>
      <c r="AB1588">
        <v>1</v>
      </c>
      <c r="AD1588" t="s">
        <v>4131</v>
      </c>
      <c r="AE1588" t="s">
        <v>4132</v>
      </c>
    </row>
    <row r="1589" spans="1:31" x14ac:dyDescent="0.25">
      <c r="A1589" t="s">
        <v>31</v>
      </c>
      <c r="C1589" t="s">
        <v>2282</v>
      </c>
      <c r="D1589" t="s">
        <v>2283</v>
      </c>
      <c r="E1589" t="s">
        <v>34</v>
      </c>
      <c r="F1589" t="s">
        <v>35</v>
      </c>
      <c r="G1589">
        <v>2009</v>
      </c>
      <c r="H1589" t="s">
        <v>36</v>
      </c>
      <c r="I1589" t="s">
        <v>2284</v>
      </c>
      <c r="J1589" t="s">
        <v>31</v>
      </c>
      <c r="K1589" t="s">
        <v>38</v>
      </c>
      <c r="L1589" t="s">
        <v>123</v>
      </c>
      <c r="M1589" t="s">
        <v>124</v>
      </c>
      <c r="N1589" t="s">
        <v>217</v>
      </c>
      <c r="O1589" t="s">
        <v>218</v>
      </c>
      <c r="P1589" t="s">
        <v>219</v>
      </c>
      <c r="Q1589" t="s">
        <v>138</v>
      </c>
      <c r="T1589">
        <v>42.883946242999997</v>
      </c>
      <c r="U1589">
        <v>-78.875766511999998</v>
      </c>
      <c r="V1589">
        <f>SUM(W1589:X1589)+(Y1589*0.8)+(Z1589*0.4)</f>
        <v>1</v>
      </c>
      <c r="W1589">
        <v>1</v>
      </c>
      <c r="X1589">
        <v>0</v>
      </c>
      <c r="Y1589">
        <v>0</v>
      </c>
      <c r="Z1589">
        <v>0</v>
      </c>
      <c r="AA1589" t="s">
        <v>43</v>
      </c>
      <c r="AB1589">
        <v>0.97</v>
      </c>
      <c r="AD1589" t="s">
        <v>2285</v>
      </c>
      <c r="AE1589" t="s">
        <v>2286</v>
      </c>
    </row>
    <row r="1590" spans="1:31" x14ac:dyDescent="0.25">
      <c r="A1590" t="s">
        <v>31</v>
      </c>
      <c r="C1590" t="s">
        <v>11112</v>
      </c>
      <c r="D1590" t="s">
        <v>11113</v>
      </c>
      <c r="E1590" t="s">
        <v>34</v>
      </c>
      <c r="F1590" t="s">
        <v>35</v>
      </c>
      <c r="G1590">
        <v>2008</v>
      </c>
      <c r="H1590" t="s">
        <v>36</v>
      </c>
      <c r="I1590" t="s">
        <v>11114</v>
      </c>
      <c r="J1590" t="s">
        <v>31</v>
      </c>
      <c r="K1590" t="s">
        <v>38</v>
      </c>
      <c r="L1590" t="s">
        <v>1833</v>
      </c>
      <c r="M1590" t="s">
        <v>1834</v>
      </c>
      <c r="N1590" t="s">
        <v>1835</v>
      </c>
      <c r="O1590" t="s">
        <v>8787</v>
      </c>
      <c r="P1590" t="s">
        <v>11115</v>
      </c>
      <c r="T1590">
        <v>45.768382961999997</v>
      </c>
      <c r="U1590">
        <v>-108.54138863999999</v>
      </c>
      <c r="V1590">
        <f>SUM(W1590:X1590)+(Y1590*0.8)+(Z1590*0.4)</f>
        <v>1</v>
      </c>
      <c r="W1590">
        <v>1</v>
      </c>
      <c r="X1590">
        <v>0</v>
      </c>
      <c r="Y1590">
        <v>0</v>
      </c>
      <c r="Z1590">
        <v>0</v>
      </c>
      <c r="AA1590" t="s">
        <v>43</v>
      </c>
      <c r="AB1590">
        <v>1</v>
      </c>
      <c r="AD1590" t="s">
        <v>11116</v>
      </c>
      <c r="AE1590" t="s">
        <v>11117</v>
      </c>
    </row>
    <row r="1591" spans="1:31" x14ac:dyDescent="0.25">
      <c r="A1591" t="s">
        <v>31</v>
      </c>
      <c r="C1591" t="s">
        <v>11301</v>
      </c>
      <c r="D1591" t="s">
        <v>11302</v>
      </c>
      <c r="E1591" t="s">
        <v>362</v>
      </c>
      <c r="F1591" t="s">
        <v>381</v>
      </c>
      <c r="G1591">
        <v>2007</v>
      </c>
      <c r="H1591" t="s">
        <v>36</v>
      </c>
      <c r="I1591" t="s">
        <v>11303</v>
      </c>
      <c r="J1591" t="s">
        <v>31</v>
      </c>
      <c r="K1591" t="s">
        <v>38</v>
      </c>
      <c r="L1591" t="s">
        <v>448</v>
      </c>
      <c r="M1591" t="s">
        <v>449</v>
      </c>
      <c r="N1591" t="s">
        <v>564</v>
      </c>
      <c r="O1591" t="s">
        <v>775</v>
      </c>
      <c r="P1591" t="s">
        <v>5641</v>
      </c>
      <c r="T1591">
        <v>39.393924660000003</v>
      </c>
      <c r="U1591">
        <v>-77.418740760999995</v>
      </c>
      <c r="V1591">
        <f>SUM(W1591:X1591)+(Y1591*0.8)+(Z1591*0.4)</f>
        <v>1</v>
      </c>
      <c r="W1591">
        <v>1</v>
      </c>
      <c r="X1591">
        <v>0</v>
      </c>
      <c r="Y1591">
        <v>0</v>
      </c>
      <c r="Z1591">
        <v>0</v>
      </c>
      <c r="AA1591" t="s">
        <v>43</v>
      </c>
      <c r="AB1591">
        <v>1</v>
      </c>
      <c r="AD1591" t="s">
        <v>11304</v>
      </c>
      <c r="AE1591" t="s">
        <v>11305</v>
      </c>
    </row>
    <row r="1592" spans="1:31" x14ac:dyDescent="0.25">
      <c r="A1592" t="s">
        <v>31</v>
      </c>
      <c r="C1592" t="s">
        <v>10406</v>
      </c>
      <c r="D1592" t="s">
        <v>10514</v>
      </c>
      <c r="E1592" t="s">
        <v>34</v>
      </c>
      <c r="F1592" t="s">
        <v>35</v>
      </c>
      <c r="G1592">
        <v>2007</v>
      </c>
      <c r="H1592" t="s">
        <v>36</v>
      </c>
      <c r="I1592" t="s">
        <v>10515</v>
      </c>
      <c r="J1592" t="s">
        <v>31</v>
      </c>
      <c r="K1592" t="s">
        <v>38</v>
      </c>
      <c r="L1592" t="s">
        <v>77</v>
      </c>
      <c r="M1592" t="s">
        <v>78</v>
      </c>
      <c r="N1592" t="s">
        <v>278</v>
      </c>
      <c r="O1592" t="s">
        <v>279</v>
      </c>
      <c r="P1592" t="s">
        <v>10516</v>
      </c>
      <c r="S1592" t="s">
        <v>10517</v>
      </c>
      <c r="T1592">
        <v>39.892553841999998</v>
      </c>
      <c r="U1592">
        <v>-75.165406046000001</v>
      </c>
      <c r="V1592">
        <f>SUM(W1592:X1592)+(Y1592*0.8)+(Z1592*0.4)</f>
        <v>1</v>
      </c>
      <c r="W1592">
        <v>1</v>
      </c>
      <c r="X1592">
        <v>0</v>
      </c>
      <c r="Y1592">
        <v>0</v>
      </c>
      <c r="Z1592">
        <v>0</v>
      </c>
      <c r="AA1592" t="s">
        <v>43</v>
      </c>
      <c r="AB1592">
        <v>0.98499999999999999</v>
      </c>
      <c r="AD1592" t="s">
        <v>10518</v>
      </c>
      <c r="AE1592" t="s">
        <v>10519</v>
      </c>
    </row>
    <row r="1593" spans="1:31" x14ac:dyDescent="0.25">
      <c r="A1593" t="s">
        <v>31</v>
      </c>
      <c r="C1593" t="s">
        <v>10402</v>
      </c>
      <c r="D1593" t="s">
        <v>2271</v>
      </c>
      <c r="E1593" t="s">
        <v>362</v>
      </c>
      <c r="F1593" t="s">
        <v>630</v>
      </c>
      <c r="G1593">
        <v>2007</v>
      </c>
      <c r="H1593" t="s">
        <v>36</v>
      </c>
      <c r="I1593" t="s">
        <v>10403</v>
      </c>
      <c r="J1593" t="s">
        <v>31</v>
      </c>
      <c r="K1593" t="s">
        <v>38</v>
      </c>
      <c r="L1593" t="s">
        <v>383</v>
      </c>
      <c r="M1593" t="s">
        <v>384</v>
      </c>
      <c r="N1593" t="s">
        <v>2270</v>
      </c>
      <c r="O1593" t="s">
        <v>2271</v>
      </c>
      <c r="P1593" t="s">
        <v>4718</v>
      </c>
      <c r="S1593" t="s">
        <v>4719</v>
      </c>
      <c r="T1593">
        <v>35.327075809999997</v>
      </c>
      <c r="U1593">
        <v>-80.750507209000006</v>
      </c>
      <c r="V1593">
        <f>SUM(W1593:X1593)+(Y1593*0.8)+(Z1593*0.4)</f>
        <v>1</v>
      </c>
      <c r="W1593">
        <v>1</v>
      </c>
      <c r="X1593">
        <v>0</v>
      </c>
      <c r="Y1593">
        <v>0</v>
      </c>
      <c r="Z1593">
        <v>0</v>
      </c>
      <c r="AA1593" t="s">
        <v>43</v>
      </c>
      <c r="AB1593">
        <v>1</v>
      </c>
      <c r="AD1593" t="s">
        <v>10404</v>
      </c>
      <c r="AE1593" t="s">
        <v>10405</v>
      </c>
    </row>
    <row r="1594" spans="1:31" x14ac:dyDescent="0.25">
      <c r="A1594" t="s">
        <v>31</v>
      </c>
      <c r="C1594" t="s">
        <v>2535</v>
      </c>
      <c r="D1594" t="s">
        <v>2536</v>
      </c>
      <c r="E1594" t="s">
        <v>34</v>
      </c>
      <c r="F1594" t="s">
        <v>66</v>
      </c>
      <c r="G1594">
        <v>2007</v>
      </c>
      <c r="H1594" t="s">
        <v>36</v>
      </c>
      <c r="I1594" t="s">
        <v>2537</v>
      </c>
      <c r="J1594" t="s">
        <v>31</v>
      </c>
      <c r="K1594" t="s">
        <v>38</v>
      </c>
      <c r="L1594" t="s">
        <v>828</v>
      </c>
      <c r="M1594" t="s">
        <v>829</v>
      </c>
      <c r="N1594" t="s">
        <v>830</v>
      </c>
      <c r="O1594" t="s">
        <v>2538</v>
      </c>
      <c r="P1594" t="s">
        <v>2539</v>
      </c>
      <c r="Q1594" t="s">
        <v>2538</v>
      </c>
      <c r="T1594">
        <v>45.303265713999998</v>
      </c>
      <c r="U1594">
        <v>-93.626386557999993</v>
      </c>
      <c r="V1594">
        <f>SUM(W1594:X1594)+(Y1594*0.8)+(Z1594*0.4)</f>
        <v>1</v>
      </c>
      <c r="W1594">
        <v>1</v>
      </c>
      <c r="X1594">
        <v>0</v>
      </c>
      <c r="Y1594">
        <v>0</v>
      </c>
      <c r="Z1594">
        <v>0</v>
      </c>
      <c r="AA1594" t="s">
        <v>43</v>
      </c>
      <c r="AB1594">
        <v>1</v>
      </c>
      <c r="AD1594" t="s">
        <v>2540</v>
      </c>
      <c r="AE1594" t="s">
        <v>2541</v>
      </c>
    </row>
    <row r="1595" spans="1:31" x14ac:dyDescent="0.25">
      <c r="A1595" t="s">
        <v>31</v>
      </c>
      <c r="C1595" t="s">
        <v>2282</v>
      </c>
      <c r="D1595" t="s">
        <v>2294</v>
      </c>
      <c r="E1595" t="s">
        <v>34</v>
      </c>
      <c r="F1595" t="s">
        <v>35</v>
      </c>
      <c r="G1595">
        <v>2007</v>
      </c>
      <c r="H1595" t="s">
        <v>36</v>
      </c>
      <c r="I1595" t="s">
        <v>2295</v>
      </c>
      <c r="J1595" t="s">
        <v>31</v>
      </c>
      <c r="K1595" t="s">
        <v>38</v>
      </c>
      <c r="L1595" t="s">
        <v>123</v>
      </c>
      <c r="M1595" t="s">
        <v>124</v>
      </c>
      <c r="N1595" t="s">
        <v>2296</v>
      </c>
      <c r="O1595" t="s">
        <v>2297</v>
      </c>
      <c r="P1595" t="s">
        <v>2298</v>
      </c>
      <c r="T1595">
        <v>43.167169711</v>
      </c>
      <c r="U1595">
        <v>-77.673079604999998</v>
      </c>
      <c r="V1595">
        <f>SUM(W1595:X1595)+(Y1595*0.8)+(Z1595*0.4)</f>
        <v>1</v>
      </c>
      <c r="W1595">
        <v>1</v>
      </c>
      <c r="X1595">
        <v>0</v>
      </c>
      <c r="Y1595">
        <v>0</v>
      </c>
      <c r="Z1595">
        <v>0</v>
      </c>
      <c r="AA1595" t="s">
        <v>43</v>
      </c>
      <c r="AB1595">
        <v>0.98</v>
      </c>
      <c r="AD1595" t="s">
        <v>2299</v>
      </c>
      <c r="AE1595" t="s">
        <v>2300</v>
      </c>
    </row>
    <row r="1596" spans="1:31" x14ac:dyDescent="0.25">
      <c r="A1596" t="s">
        <v>31</v>
      </c>
      <c r="C1596" t="s">
        <v>11247</v>
      </c>
      <c r="D1596" t="s">
        <v>11259</v>
      </c>
      <c r="E1596" t="s">
        <v>362</v>
      </c>
      <c r="F1596" t="s">
        <v>1611</v>
      </c>
      <c r="G1596">
        <v>2006</v>
      </c>
      <c r="H1596" t="s">
        <v>36</v>
      </c>
      <c r="I1596" t="s">
        <v>11260</v>
      </c>
      <c r="J1596" t="s">
        <v>31</v>
      </c>
      <c r="K1596" t="s">
        <v>38</v>
      </c>
      <c r="L1596" t="s">
        <v>77</v>
      </c>
      <c r="M1596" t="s">
        <v>78</v>
      </c>
      <c r="N1596" t="s">
        <v>11261</v>
      </c>
      <c r="O1596" t="s">
        <v>11262</v>
      </c>
      <c r="P1596" t="s">
        <v>11263</v>
      </c>
      <c r="S1596" t="s">
        <v>11264</v>
      </c>
      <c r="T1596">
        <v>40.784107292999998</v>
      </c>
      <c r="U1596">
        <v>-77.898913042000004</v>
      </c>
      <c r="V1596">
        <f>SUM(W1596:X1596)+(Y1596*0.8)+(Z1596*0.4)</f>
        <v>1</v>
      </c>
      <c r="W1596">
        <v>1</v>
      </c>
      <c r="X1596">
        <v>0</v>
      </c>
      <c r="Y1596">
        <v>0</v>
      </c>
      <c r="Z1596">
        <v>0</v>
      </c>
      <c r="AA1596" t="s">
        <v>43</v>
      </c>
      <c r="AB1596">
        <v>1</v>
      </c>
      <c r="AD1596" t="s">
        <v>11265</v>
      </c>
      <c r="AE1596" t="s">
        <v>11266</v>
      </c>
    </row>
    <row r="1597" spans="1:31" x14ac:dyDescent="0.25">
      <c r="A1597" t="s">
        <v>31</v>
      </c>
      <c r="C1597" t="s">
        <v>7455</v>
      </c>
      <c r="D1597" t="s">
        <v>7461</v>
      </c>
      <c r="E1597" t="s">
        <v>362</v>
      </c>
      <c r="F1597" t="s">
        <v>1611</v>
      </c>
      <c r="G1597">
        <v>2006</v>
      </c>
      <c r="H1597" t="s">
        <v>36</v>
      </c>
      <c r="I1597" t="s">
        <v>7462</v>
      </c>
      <c r="J1597" t="s">
        <v>31</v>
      </c>
      <c r="K1597" t="s">
        <v>38</v>
      </c>
      <c r="L1597" t="s">
        <v>242</v>
      </c>
      <c r="M1597" t="s">
        <v>243</v>
      </c>
      <c r="N1597" t="s">
        <v>7463</v>
      </c>
      <c r="O1597" t="s">
        <v>7464</v>
      </c>
      <c r="P1597" t="s">
        <v>7465</v>
      </c>
      <c r="T1597">
        <v>38.069692425</v>
      </c>
      <c r="U1597">
        <v>-78.890414109999995</v>
      </c>
      <c r="V1597">
        <f>SUM(W1597:X1597)+(Y1597*0.8)+(Z1597*0.4)</f>
        <v>1</v>
      </c>
      <c r="W1597">
        <v>1</v>
      </c>
      <c r="X1597">
        <v>0</v>
      </c>
      <c r="Y1597">
        <v>0</v>
      </c>
      <c r="Z1597">
        <v>0</v>
      </c>
      <c r="AA1597" t="s">
        <v>43</v>
      </c>
      <c r="AB1597">
        <v>1</v>
      </c>
      <c r="AD1597" t="s">
        <v>7466</v>
      </c>
      <c r="AE1597" t="s">
        <v>7467</v>
      </c>
    </row>
    <row r="1598" spans="1:31" x14ac:dyDescent="0.25">
      <c r="A1598" t="s">
        <v>31</v>
      </c>
      <c r="C1598" t="s">
        <v>5694</v>
      </c>
      <c r="D1598" t="s">
        <v>5709</v>
      </c>
      <c r="E1598" t="s">
        <v>34</v>
      </c>
      <c r="F1598" t="s">
        <v>35</v>
      </c>
      <c r="G1598">
        <v>2006</v>
      </c>
      <c r="H1598" t="s">
        <v>36</v>
      </c>
      <c r="I1598" t="s">
        <v>5710</v>
      </c>
      <c r="J1598" t="s">
        <v>31</v>
      </c>
      <c r="K1598" t="s">
        <v>38</v>
      </c>
      <c r="L1598" t="s">
        <v>2951</v>
      </c>
      <c r="M1598" t="s">
        <v>2952</v>
      </c>
      <c r="N1598" t="s">
        <v>309</v>
      </c>
      <c r="O1598" t="s">
        <v>5711</v>
      </c>
      <c r="P1598" t="s">
        <v>5712</v>
      </c>
      <c r="S1598" t="s">
        <v>5713</v>
      </c>
      <c r="T1598">
        <v>42.928250038999998</v>
      </c>
      <c r="U1598">
        <v>-71.463854713000003</v>
      </c>
      <c r="V1598">
        <f>SUM(W1598:X1598)+(Y1598*0.8)+(Z1598*0.4)</f>
        <v>1</v>
      </c>
      <c r="W1598">
        <v>1</v>
      </c>
      <c r="X1598">
        <v>0</v>
      </c>
      <c r="Y1598">
        <v>0</v>
      </c>
      <c r="Z1598">
        <v>0</v>
      </c>
      <c r="AA1598" t="s">
        <v>43</v>
      </c>
      <c r="AB1598">
        <v>0.9</v>
      </c>
      <c r="AD1598" t="s">
        <v>5714</v>
      </c>
      <c r="AE1598" t="s">
        <v>5715</v>
      </c>
    </row>
    <row r="1599" spans="1:31" x14ac:dyDescent="0.25">
      <c r="A1599" t="s">
        <v>31</v>
      </c>
      <c r="C1599" t="s">
        <v>11087</v>
      </c>
      <c r="D1599" t="s">
        <v>11088</v>
      </c>
      <c r="E1599" t="s">
        <v>362</v>
      </c>
      <c r="F1599" t="s">
        <v>381</v>
      </c>
      <c r="G1599">
        <v>2005</v>
      </c>
      <c r="H1599" t="s">
        <v>36</v>
      </c>
      <c r="I1599" t="s">
        <v>11089</v>
      </c>
      <c r="J1599" t="s">
        <v>31</v>
      </c>
      <c r="K1599" t="s">
        <v>38</v>
      </c>
      <c r="L1599" t="s">
        <v>448</v>
      </c>
      <c r="M1599" t="s">
        <v>449</v>
      </c>
      <c r="N1599" t="s">
        <v>11090</v>
      </c>
      <c r="O1599" t="s">
        <v>11091</v>
      </c>
      <c r="P1599" t="s">
        <v>11092</v>
      </c>
      <c r="T1599">
        <v>39.130994217999998</v>
      </c>
      <c r="U1599">
        <v>-76.790905100000003</v>
      </c>
      <c r="V1599">
        <f>SUM(W1599:X1599)+(Y1599*0.8)+(Z1599*0.4)</f>
        <v>1</v>
      </c>
      <c r="W1599">
        <v>1</v>
      </c>
      <c r="X1599">
        <v>0</v>
      </c>
      <c r="Y1599">
        <v>0</v>
      </c>
      <c r="Z1599">
        <v>0</v>
      </c>
      <c r="AA1599" t="s">
        <v>43</v>
      </c>
      <c r="AB1599">
        <v>1</v>
      </c>
      <c r="AD1599" t="s">
        <v>11093</v>
      </c>
      <c r="AE1599" t="s">
        <v>11094</v>
      </c>
    </row>
    <row r="1600" spans="1:31" x14ac:dyDescent="0.25">
      <c r="A1600" t="s">
        <v>31</v>
      </c>
      <c r="C1600" t="s">
        <v>9778</v>
      </c>
      <c r="D1600" t="s">
        <v>9779</v>
      </c>
      <c r="E1600" t="s">
        <v>34</v>
      </c>
      <c r="F1600" t="s">
        <v>35</v>
      </c>
      <c r="G1600">
        <v>2005</v>
      </c>
      <c r="H1600" t="s">
        <v>36</v>
      </c>
      <c r="I1600" t="s">
        <v>9780</v>
      </c>
      <c r="J1600" t="s">
        <v>31</v>
      </c>
      <c r="K1600" t="s">
        <v>38</v>
      </c>
      <c r="L1600" t="s">
        <v>143</v>
      </c>
      <c r="M1600" t="s">
        <v>144</v>
      </c>
      <c r="N1600" t="s">
        <v>7853</v>
      </c>
      <c r="O1600" t="s">
        <v>7851</v>
      </c>
      <c r="P1600" t="s">
        <v>9781</v>
      </c>
      <c r="Q1600" t="s">
        <v>7854</v>
      </c>
      <c r="T1600">
        <v>38.020253269999998</v>
      </c>
      <c r="U1600">
        <v>-87.521132968000003</v>
      </c>
      <c r="V1600">
        <f>SUM(W1600:X1600)+(Y1600*0.8)+(Z1600*0.4)</f>
        <v>1</v>
      </c>
      <c r="W1600">
        <v>1</v>
      </c>
      <c r="X1600">
        <v>0</v>
      </c>
      <c r="Y1600">
        <v>0</v>
      </c>
      <c r="Z1600">
        <v>0</v>
      </c>
      <c r="AA1600" t="s">
        <v>43</v>
      </c>
      <c r="AB1600">
        <v>0.95</v>
      </c>
      <c r="AD1600" t="s">
        <v>9782</v>
      </c>
      <c r="AE1600" t="s">
        <v>9783</v>
      </c>
    </row>
    <row r="1601" spans="1:31" x14ac:dyDescent="0.25">
      <c r="A1601" t="s">
        <v>31</v>
      </c>
      <c r="C1601" t="s">
        <v>2706</v>
      </c>
      <c r="D1601" t="s">
        <v>2717</v>
      </c>
      <c r="E1601" t="s">
        <v>34</v>
      </c>
      <c r="F1601" t="s">
        <v>35</v>
      </c>
      <c r="G1601">
        <v>2004</v>
      </c>
      <c r="H1601" t="s">
        <v>36</v>
      </c>
      <c r="I1601" t="s">
        <v>2712</v>
      </c>
      <c r="J1601" t="s">
        <v>31</v>
      </c>
      <c r="K1601" t="s">
        <v>38</v>
      </c>
      <c r="L1601" t="s">
        <v>317</v>
      </c>
      <c r="M1601" t="s">
        <v>318</v>
      </c>
      <c r="N1601" t="s">
        <v>665</v>
      </c>
      <c r="O1601" t="s">
        <v>2713</v>
      </c>
      <c r="P1601" t="s">
        <v>2714</v>
      </c>
      <c r="Q1601" t="s">
        <v>668</v>
      </c>
      <c r="T1601">
        <v>40.115582000000003</v>
      </c>
      <c r="U1601">
        <v>-83.002647999999994</v>
      </c>
      <c r="V1601">
        <f>SUM(W1601:X1601)+(Y1601*0.8)+(Z1601*0.4)</f>
        <v>1</v>
      </c>
      <c r="W1601">
        <v>1</v>
      </c>
      <c r="X1601">
        <v>0</v>
      </c>
      <c r="Y1601">
        <v>0</v>
      </c>
      <c r="Z1601">
        <v>0</v>
      </c>
      <c r="AA1601" t="s">
        <v>43</v>
      </c>
      <c r="AB1601">
        <v>0.49</v>
      </c>
      <c r="AD1601" t="s">
        <v>2718</v>
      </c>
      <c r="AE1601" t="s">
        <v>2719</v>
      </c>
    </row>
    <row r="1602" spans="1:31" x14ac:dyDescent="0.25">
      <c r="A1602" t="s">
        <v>31</v>
      </c>
      <c r="C1602" t="s">
        <v>10772</v>
      </c>
      <c r="D1602" t="s">
        <v>10773</v>
      </c>
      <c r="E1602" t="s">
        <v>362</v>
      </c>
      <c r="F1602" t="s">
        <v>630</v>
      </c>
      <c r="G1602">
        <v>2002</v>
      </c>
      <c r="H1602" t="s">
        <v>36</v>
      </c>
      <c r="I1602" t="s">
        <v>10774</v>
      </c>
      <c r="J1602" t="s">
        <v>31</v>
      </c>
      <c r="K1602" t="s">
        <v>38</v>
      </c>
      <c r="L1602" t="s">
        <v>620</v>
      </c>
      <c r="M1602" t="s">
        <v>621</v>
      </c>
      <c r="N1602" t="s">
        <v>622</v>
      </c>
      <c r="O1602" t="s">
        <v>3959</v>
      </c>
      <c r="P1602" t="s">
        <v>5906</v>
      </c>
      <c r="S1602" t="s">
        <v>4870</v>
      </c>
      <c r="T1602">
        <v>40.730193665000002</v>
      </c>
      <c r="U1602">
        <v>-111.951497782</v>
      </c>
      <c r="V1602">
        <f>SUM(W1602:X1602)+(Y1602*0.8)+(Z1602*0.4)</f>
        <v>1</v>
      </c>
      <c r="W1602">
        <v>1</v>
      </c>
      <c r="X1602">
        <v>0</v>
      </c>
      <c r="Y1602">
        <v>0</v>
      </c>
      <c r="Z1602">
        <v>0</v>
      </c>
      <c r="AA1602" t="s">
        <v>43</v>
      </c>
      <c r="AB1602">
        <v>1</v>
      </c>
      <c r="AC1602">
        <v>1.2</v>
      </c>
      <c r="AD1602" t="s">
        <v>10775</v>
      </c>
      <c r="AE1602" t="s">
        <v>10776</v>
      </c>
    </row>
    <row r="1603" spans="1:31" x14ac:dyDescent="0.25">
      <c r="A1603" t="s">
        <v>31</v>
      </c>
      <c r="C1603" t="s">
        <v>8461</v>
      </c>
      <c r="D1603" t="s">
        <v>8466</v>
      </c>
      <c r="E1603" t="s">
        <v>34</v>
      </c>
      <c r="F1603" t="s">
        <v>35</v>
      </c>
      <c r="G1603">
        <v>2002</v>
      </c>
      <c r="H1603" t="s">
        <v>36</v>
      </c>
      <c r="I1603" t="s">
        <v>8467</v>
      </c>
      <c r="J1603" t="s">
        <v>31</v>
      </c>
      <c r="K1603" t="s">
        <v>38</v>
      </c>
      <c r="L1603" t="s">
        <v>172</v>
      </c>
      <c r="M1603" t="s">
        <v>173</v>
      </c>
      <c r="N1603" t="s">
        <v>2023</v>
      </c>
      <c r="O1603" t="s">
        <v>2021</v>
      </c>
      <c r="P1603" t="s">
        <v>2648</v>
      </c>
      <c r="T1603">
        <v>32.895190036999999</v>
      </c>
      <c r="U1603">
        <v>-117.201429842</v>
      </c>
      <c r="V1603">
        <f>SUM(W1603:X1603)+(Y1603*0.8)+(Z1603*0.4)</f>
        <v>1</v>
      </c>
      <c r="W1603">
        <v>1</v>
      </c>
      <c r="X1603">
        <v>0</v>
      </c>
      <c r="Y1603">
        <v>0</v>
      </c>
      <c r="Z1603">
        <v>0</v>
      </c>
      <c r="AA1603" t="s">
        <v>43</v>
      </c>
      <c r="AB1603">
        <v>1</v>
      </c>
      <c r="AD1603" t="s">
        <v>8468</v>
      </c>
      <c r="AE1603" t="s">
        <v>8469</v>
      </c>
    </row>
    <row r="1604" spans="1:31" x14ac:dyDescent="0.25">
      <c r="A1604" t="s">
        <v>31</v>
      </c>
      <c r="C1604" t="s">
        <v>7218</v>
      </c>
      <c r="D1604" t="s">
        <v>7418</v>
      </c>
      <c r="E1604" t="s">
        <v>34</v>
      </c>
      <c r="F1604" t="s">
        <v>35</v>
      </c>
      <c r="G1604">
        <v>2002</v>
      </c>
      <c r="H1604" t="s">
        <v>36</v>
      </c>
      <c r="I1604" t="s">
        <v>7419</v>
      </c>
      <c r="J1604" t="s">
        <v>31</v>
      </c>
      <c r="K1604" t="s">
        <v>38</v>
      </c>
      <c r="L1604" t="s">
        <v>620</v>
      </c>
      <c r="M1604" t="s">
        <v>621</v>
      </c>
      <c r="N1604" t="s">
        <v>622</v>
      </c>
      <c r="O1604" t="s">
        <v>3959</v>
      </c>
      <c r="P1604" t="s">
        <v>7420</v>
      </c>
      <c r="S1604" t="s">
        <v>7421</v>
      </c>
      <c r="T1604">
        <v>40.780817012</v>
      </c>
      <c r="U1604">
        <v>-112.011418792</v>
      </c>
      <c r="V1604">
        <f>SUM(W1604:X1604)+(Y1604*0.8)+(Z1604*0.4)</f>
        <v>1</v>
      </c>
      <c r="W1604">
        <v>1</v>
      </c>
      <c r="X1604">
        <v>0</v>
      </c>
      <c r="Y1604">
        <v>0</v>
      </c>
      <c r="Z1604">
        <v>0</v>
      </c>
      <c r="AA1604" t="s">
        <v>43</v>
      </c>
      <c r="AB1604">
        <v>0.5</v>
      </c>
      <c r="AD1604" t="s">
        <v>7422</v>
      </c>
      <c r="AE1604" t="s">
        <v>7423</v>
      </c>
    </row>
    <row r="1605" spans="1:31" x14ac:dyDescent="0.25">
      <c r="A1605" t="s">
        <v>31</v>
      </c>
      <c r="C1605" t="s">
        <v>6556</v>
      </c>
      <c r="D1605" t="s">
        <v>6562</v>
      </c>
      <c r="E1605" t="s">
        <v>34</v>
      </c>
      <c r="F1605" t="s">
        <v>35</v>
      </c>
      <c r="G1605">
        <v>2002</v>
      </c>
      <c r="H1605" t="s">
        <v>36</v>
      </c>
      <c r="I1605" t="s">
        <v>3869</v>
      </c>
      <c r="J1605" t="s">
        <v>31</v>
      </c>
      <c r="K1605" t="s">
        <v>38</v>
      </c>
      <c r="L1605" t="s">
        <v>172</v>
      </c>
      <c r="M1605" t="s">
        <v>173</v>
      </c>
      <c r="N1605" t="s">
        <v>493</v>
      </c>
      <c r="O1605" t="s">
        <v>494</v>
      </c>
      <c r="P1605" t="s">
        <v>495</v>
      </c>
      <c r="Q1605" t="s">
        <v>3102</v>
      </c>
      <c r="S1605" t="s">
        <v>138</v>
      </c>
      <c r="T1605">
        <v>34.048112138</v>
      </c>
      <c r="U1605">
        <v>-118.255432704</v>
      </c>
      <c r="V1605">
        <f>SUM(W1605:X1605)+(Y1605*0.8)+(Z1605*0.4)</f>
        <v>1</v>
      </c>
      <c r="W1605">
        <v>1</v>
      </c>
      <c r="X1605">
        <v>0</v>
      </c>
      <c r="Y1605">
        <v>0</v>
      </c>
      <c r="Z1605">
        <v>0</v>
      </c>
      <c r="AA1605" t="s">
        <v>43</v>
      </c>
      <c r="AB1605">
        <v>1</v>
      </c>
      <c r="AD1605" t="s">
        <v>6563</v>
      </c>
      <c r="AE1605" t="s">
        <v>6564</v>
      </c>
    </row>
    <row r="1606" spans="1:31" x14ac:dyDescent="0.25">
      <c r="A1606" t="s">
        <v>31</v>
      </c>
      <c r="C1606" t="s">
        <v>5765</v>
      </c>
      <c r="D1606" t="s">
        <v>5904</v>
      </c>
      <c r="E1606" t="s">
        <v>34</v>
      </c>
      <c r="F1606" t="s">
        <v>35</v>
      </c>
      <c r="G1606">
        <v>2002</v>
      </c>
      <c r="H1606" t="s">
        <v>36</v>
      </c>
      <c r="I1606" t="s">
        <v>5905</v>
      </c>
      <c r="J1606" t="s">
        <v>31</v>
      </c>
      <c r="K1606" t="s">
        <v>38</v>
      </c>
      <c r="L1606" t="s">
        <v>620</v>
      </c>
      <c r="M1606" t="s">
        <v>621</v>
      </c>
      <c r="N1606" t="s">
        <v>622</v>
      </c>
      <c r="O1606" t="s">
        <v>3959</v>
      </c>
      <c r="P1606" t="s">
        <v>5906</v>
      </c>
      <c r="S1606" t="s">
        <v>5907</v>
      </c>
      <c r="T1606">
        <v>40.756319609999998</v>
      </c>
      <c r="U1606">
        <v>-111.954128653</v>
      </c>
      <c r="V1606">
        <f>SUM(W1606:X1606)+(Y1606*0.8)+(Z1606*0.4)</f>
        <v>1</v>
      </c>
      <c r="W1606">
        <v>1</v>
      </c>
      <c r="X1606">
        <v>0</v>
      </c>
      <c r="Y1606">
        <v>0</v>
      </c>
      <c r="Z1606">
        <v>0</v>
      </c>
      <c r="AA1606" t="s">
        <v>43</v>
      </c>
      <c r="AB1606">
        <v>0.5</v>
      </c>
      <c r="AC1606">
        <v>1.5</v>
      </c>
      <c r="AD1606" t="s">
        <v>5908</v>
      </c>
      <c r="AE1606" t="s">
        <v>5909</v>
      </c>
    </row>
    <row r="1607" spans="1:31" x14ac:dyDescent="0.25">
      <c r="A1607" t="s">
        <v>31</v>
      </c>
      <c r="C1607" t="s">
        <v>5765</v>
      </c>
      <c r="D1607" t="s">
        <v>5929</v>
      </c>
      <c r="E1607" t="s">
        <v>34</v>
      </c>
      <c r="F1607" t="s">
        <v>35</v>
      </c>
      <c r="G1607">
        <v>2002</v>
      </c>
      <c r="H1607" t="s">
        <v>36</v>
      </c>
      <c r="I1607" t="s">
        <v>5930</v>
      </c>
      <c r="J1607" t="s">
        <v>31</v>
      </c>
      <c r="K1607" t="s">
        <v>38</v>
      </c>
      <c r="L1607" t="s">
        <v>620</v>
      </c>
      <c r="M1607" t="s">
        <v>621</v>
      </c>
      <c r="N1607" t="s">
        <v>622</v>
      </c>
      <c r="O1607" t="s">
        <v>623</v>
      </c>
      <c r="P1607" t="s">
        <v>5931</v>
      </c>
      <c r="T1607">
        <v>40.620176041999997</v>
      </c>
      <c r="U1607">
        <v>-111.985882082</v>
      </c>
      <c r="V1607">
        <f>SUM(W1607:X1607)+(Y1607*0.8)+(Z1607*0.4)</f>
        <v>1</v>
      </c>
      <c r="W1607">
        <v>1</v>
      </c>
      <c r="X1607">
        <v>0</v>
      </c>
      <c r="Y1607">
        <v>0</v>
      </c>
      <c r="Z1607">
        <v>0</v>
      </c>
      <c r="AA1607" t="s">
        <v>43</v>
      </c>
      <c r="AB1607">
        <v>1</v>
      </c>
      <c r="AC1607">
        <v>1.8</v>
      </c>
      <c r="AD1607" t="s">
        <v>5932</v>
      </c>
      <c r="AE1607" t="s">
        <v>5933</v>
      </c>
    </row>
    <row r="1608" spans="1:31" x14ac:dyDescent="0.25">
      <c r="A1608" t="s">
        <v>31</v>
      </c>
      <c r="C1608" t="s">
        <v>5694</v>
      </c>
      <c r="D1608" t="s">
        <v>5754</v>
      </c>
      <c r="E1608" t="s">
        <v>34</v>
      </c>
      <c r="F1608" t="s">
        <v>35</v>
      </c>
      <c r="G1608">
        <v>2002</v>
      </c>
      <c r="H1608" t="s">
        <v>36</v>
      </c>
      <c r="I1608" t="s">
        <v>5755</v>
      </c>
      <c r="J1608" t="s">
        <v>31</v>
      </c>
      <c r="K1608" t="s">
        <v>38</v>
      </c>
      <c r="L1608" t="s">
        <v>2519</v>
      </c>
      <c r="M1608" t="s">
        <v>2520</v>
      </c>
      <c r="N1608" t="s">
        <v>2521</v>
      </c>
      <c r="O1608" t="s">
        <v>5756</v>
      </c>
      <c r="P1608" t="s">
        <v>5757</v>
      </c>
      <c r="Q1608" t="s">
        <v>1692</v>
      </c>
      <c r="T1608">
        <v>44.450201180999997</v>
      </c>
      <c r="U1608">
        <v>-73.127532758000001</v>
      </c>
      <c r="V1608">
        <f>SUM(W1608:X1608)+(Y1608*0.8)+(Z1608*0.4)</f>
        <v>1</v>
      </c>
      <c r="W1608">
        <v>1</v>
      </c>
      <c r="X1608">
        <v>0</v>
      </c>
      <c r="Y1608">
        <v>0</v>
      </c>
      <c r="Z1608">
        <v>0</v>
      </c>
      <c r="AA1608" t="s">
        <v>43</v>
      </c>
      <c r="AB1608">
        <v>0.87</v>
      </c>
      <c r="AD1608" t="s">
        <v>5758</v>
      </c>
      <c r="AE1608" t="s">
        <v>5759</v>
      </c>
    </row>
    <row r="1609" spans="1:31" x14ac:dyDescent="0.25">
      <c r="A1609" t="s">
        <v>31</v>
      </c>
      <c r="C1609" t="s">
        <v>2684</v>
      </c>
      <c r="D1609" t="s">
        <v>2685</v>
      </c>
      <c r="E1609" t="s">
        <v>34</v>
      </c>
      <c r="F1609" t="s">
        <v>35</v>
      </c>
      <c r="G1609">
        <v>2002</v>
      </c>
      <c r="H1609" t="s">
        <v>36</v>
      </c>
      <c r="I1609" t="s">
        <v>2686</v>
      </c>
      <c r="J1609" t="s">
        <v>31</v>
      </c>
      <c r="K1609" t="s">
        <v>38</v>
      </c>
      <c r="L1609" t="s">
        <v>843</v>
      </c>
      <c r="M1609" t="s">
        <v>1644</v>
      </c>
      <c r="N1609" t="s">
        <v>2232</v>
      </c>
      <c r="O1609" t="s">
        <v>2685</v>
      </c>
      <c r="P1609" t="s">
        <v>2687</v>
      </c>
      <c r="T1609">
        <v>47.583667779999999</v>
      </c>
      <c r="U1609">
        <v>-122.134645834</v>
      </c>
      <c r="V1609">
        <f>SUM(W1609:X1609)+(Y1609*0.8)+(Z1609*0.4)</f>
        <v>1</v>
      </c>
      <c r="W1609">
        <v>1</v>
      </c>
      <c r="X1609">
        <v>0</v>
      </c>
      <c r="Y1609">
        <v>0</v>
      </c>
      <c r="Z1609">
        <v>0</v>
      </c>
      <c r="AA1609" t="s">
        <v>43</v>
      </c>
      <c r="AB1609">
        <v>1</v>
      </c>
      <c r="AD1609" t="s">
        <v>2688</v>
      </c>
      <c r="AE1609" t="s">
        <v>2689</v>
      </c>
    </row>
    <row r="1610" spans="1:31" x14ac:dyDescent="0.25">
      <c r="A1610" t="s">
        <v>31</v>
      </c>
      <c r="C1610" t="s">
        <v>11178</v>
      </c>
      <c r="D1610" t="s">
        <v>9681</v>
      </c>
      <c r="E1610" t="s">
        <v>362</v>
      </c>
      <c r="F1610" t="s">
        <v>630</v>
      </c>
      <c r="G1610">
        <v>2000</v>
      </c>
      <c r="H1610" t="s">
        <v>36</v>
      </c>
      <c r="I1610" t="s">
        <v>11179</v>
      </c>
      <c r="J1610" t="s">
        <v>31</v>
      </c>
      <c r="K1610" t="s">
        <v>38</v>
      </c>
      <c r="L1610" t="s">
        <v>383</v>
      </c>
      <c r="M1610" t="s">
        <v>384</v>
      </c>
      <c r="N1610" t="s">
        <v>9680</v>
      </c>
      <c r="O1610" t="s">
        <v>9681</v>
      </c>
      <c r="P1610" t="s">
        <v>11180</v>
      </c>
      <c r="T1610">
        <v>36.140775564999998</v>
      </c>
      <c r="U1610">
        <v>-80.292557266000003</v>
      </c>
      <c r="V1610">
        <f>SUM(W1610:X1610)+(Y1610*0.8)+(Z1610*0.4)</f>
        <v>1</v>
      </c>
      <c r="W1610">
        <v>1</v>
      </c>
      <c r="X1610">
        <v>0</v>
      </c>
      <c r="Y1610">
        <v>0</v>
      </c>
      <c r="Z1610">
        <v>0</v>
      </c>
      <c r="AA1610" t="s">
        <v>43</v>
      </c>
      <c r="AB1610">
        <v>1</v>
      </c>
      <c r="AD1610" t="s">
        <v>11181</v>
      </c>
      <c r="AE1610" t="s">
        <v>11182</v>
      </c>
    </row>
    <row r="1611" spans="1:31" x14ac:dyDescent="0.25">
      <c r="A1611" t="s">
        <v>31</v>
      </c>
      <c r="C1611" t="s">
        <v>11173</v>
      </c>
      <c r="D1611" t="s">
        <v>11174</v>
      </c>
      <c r="E1611" t="s">
        <v>34</v>
      </c>
      <c r="F1611" t="s">
        <v>35</v>
      </c>
      <c r="G1611">
        <v>2000</v>
      </c>
      <c r="H1611" t="s">
        <v>36</v>
      </c>
      <c r="I1611" t="s">
        <v>11175</v>
      </c>
      <c r="J1611" t="s">
        <v>31</v>
      </c>
      <c r="K1611" t="s">
        <v>38</v>
      </c>
      <c r="L1611" t="s">
        <v>172</v>
      </c>
      <c r="M1611" t="s">
        <v>173</v>
      </c>
      <c r="N1611" t="s">
        <v>780</v>
      </c>
      <c r="O1611" t="s">
        <v>4797</v>
      </c>
      <c r="P1611" t="s">
        <v>4798</v>
      </c>
      <c r="S1611" t="s">
        <v>6116</v>
      </c>
      <c r="T1611">
        <v>37.415795191999997</v>
      </c>
      <c r="U1611">
        <v>-122.082025231</v>
      </c>
      <c r="V1611">
        <f>SUM(W1611:X1611)+(Y1611*0.8)+(Z1611*0.4)</f>
        <v>1</v>
      </c>
      <c r="W1611">
        <v>1</v>
      </c>
      <c r="X1611">
        <v>0</v>
      </c>
      <c r="Y1611">
        <v>0</v>
      </c>
      <c r="Z1611">
        <v>0</v>
      </c>
      <c r="AA1611" t="s">
        <v>43</v>
      </c>
      <c r="AB1611">
        <v>1</v>
      </c>
      <c r="AD1611" t="s">
        <v>11176</v>
      </c>
      <c r="AE1611" t="s">
        <v>11177</v>
      </c>
    </row>
    <row r="1612" spans="1:31" x14ac:dyDescent="0.25">
      <c r="A1612" t="s">
        <v>31</v>
      </c>
      <c r="C1612" t="s">
        <v>10977</v>
      </c>
      <c r="D1612" t="s">
        <v>10985</v>
      </c>
      <c r="E1612" t="s">
        <v>362</v>
      </c>
      <c r="F1612" t="s">
        <v>1611</v>
      </c>
      <c r="G1612">
        <v>2000</v>
      </c>
      <c r="H1612" t="s">
        <v>36</v>
      </c>
      <c r="I1612" t="s">
        <v>10986</v>
      </c>
      <c r="J1612" t="s">
        <v>31</v>
      </c>
      <c r="K1612" t="s">
        <v>38</v>
      </c>
      <c r="L1612" t="s">
        <v>1457</v>
      </c>
      <c r="M1612" t="s">
        <v>1458</v>
      </c>
      <c r="N1612" t="s">
        <v>319</v>
      </c>
      <c r="O1612" t="s">
        <v>7301</v>
      </c>
      <c r="P1612" t="s">
        <v>7491</v>
      </c>
      <c r="S1612" t="s">
        <v>7309</v>
      </c>
      <c r="T1612">
        <v>36.144720823999997</v>
      </c>
      <c r="U1612">
        <v>-115.077830582</v>
      </c>
      <c r="V1612">
        <f>SUM(W1612:X1612)+(Y1612*0.8)+(Z1612*0.4)</f>
        <v>1</v>
      </c>
      <c r="W1612">
        <v>1</v>
      </c>
      <c r="X1612">
        <v>0</v>
      </c>
      <c r="Y1612">
        <v>0</v>
      </c>
      <c r="Z1612">
        <v>0</v>
      </c>
      <c r="AA1612" t="s">
        <v>43</v>
      </c>
      <c r="AB1612">
        <v>1</v>
      </c>
      <c r="AD1612" t="s">
        <v>10987</v>
      </c>
      <c r="AE1612" t="s">
        <v>10988</v>
      </c>
    </row>
    <row r="1613" spans="1:31" x14ac:dyDescent="0.25">
      <c r="A1613" t="s">
        <v>31</v>
      </c>
      <c r="C1613" t="s">
        <v>7548</v>
      </c>
      <c r="D1613" t="s">
        <v>7549</v>
      </c>
      <c r="E1613" t="s">
        <v>34</v>
      </c>
      <c r="F1613" t="s">
        <v>35</v>
      </c>
      <c r="G1613">
        <v>2000</v>
      </c>
      <c r="H1613" t="s">
        <v>36</v>
      </c>
      <c r="I1613" t="s">
        <v>7550</v>
      </c>
      <c r="J1613" t="s">
        <v>31</v>
      </c>
      <c r="K1613" t="s">
        <v>38</v>
      </c>
      <c r="L1613" t="s">
        <v>112</v>
      </c>
      <c r="M1613" t="s">
        <v>113</v>
      </c>
      <c r="N1613" t="s">
        <v>7551</v>
      </c>
      <c r="O1613" t="s">
        <v>7552</v>
      </c>
      <c r="P1613" t="s">
        <v>7553</v>
      </c>
      <c r="Q1613" t="s">
        <v>7554</v>
      </c>
      <c r="T1613">
        <v>43.052855866999998</v>
      </c>
      <c r="U1613">
        <v>-88.230500075999998</v>
      </c>
      <c r="V1613">
        <f>SUM(W1613:X1613)+(Y1613*0.8)+(Z1613*0.4)</f>
        <v>1</v>
      </c>
      <c r="W1613">
        <v>1</v>
      </c>
      <c r="X1613">
        <v>0</v>
      </c>
      <c r="Y1613">
        <v>0</v>
      </c>
      <c r="Z1613">
        <v>0</v>
      </c>
      <c r="AA1613" t="s">
        <v>43</v>
      </c>
      <c r="AB1613">
        <v>0</v>
      </c>
      <c r="AD1613" t="s">
        <v>7555</v>
      </c>
      <c r="AE1613" t="s">
        <v>7556</v>
      </c>
    </row>
    <row r="1614" spans="1:31" x14ac:dyDescent="0.25">
      <c r="A1614" t="s">
        <v>31</v>
      </c>
      <c r="C1614" t="s">
        <v>7218</v>
      </c>
      <c r="D1614" t="s">
        <v>7257</v>
      </c>
      <c r="E1614" t="s">
        <v>362</v>
      </c>
      <c r="F1614" t="s">
        <v>1611</v>
      </c>
      <c r="G1614">
        <v>2000</v>
      </c>
      <c r="H1614" t="s">
        <v>36</v>
      </c>
      <c r="I1614" t="s">
        <v>7258</v>
      </c>
      <c r="J1614" t="s">
        <v>31</v>
      </c>
      <c r="K1614" t="s">
        <v>38</v>
      </c>
      <c r="L1614" t="s">
        <v>1380</v>
      </c>
      <c r="M1614" t="s">
        <v>1381</v>
      </c>
      <c r="N1614" t="s">
        <v>1382</v>
      </c>
      <c r="O1614" t="s">
        <v>1383</v>
      </c>
      <c r="P1614" t="s">
        <v>7259</v>
      </c>
      <c r="T1614">
        <v>41.049208573000001</v>
      </c>
      <c r="U1614">
        <v>-73.530580866999998</v>
      </c>
      <c r="V1614">
        <f>SUM(W1614:X1614)+(Y1614*0.8)+(Z1614*0.4)</f>
        <v>1</v>
      </c>
      <c r="W1614">
        <v>1</v>
      </c>
      <c r="X1614">
        <v>0</v>
      </c>
      <c r="Y1614">
        <v>0</v>
      </c>
      <c r="Z1614">
        <v>0</v>
      </c>
      <c r="AA1614" t="s">
        <v>43</v>
      </c>
      <c r="AB1614">
        <v>1</v>
      </c>
      <c r="AD1614" t="s">
        <v>7260</v>
      </c>
      <c r="AE1614" t="s">
        <v>7261</v>
      </c>
    </row>
    <row r="1615" spans="1:31" x14ac:dyDescent="0.25">
      <c r="A1615" t="s">
        <v>31</v>
      </c>
      <c r="C1615" t="s">
        <v>6551</v>
      </c>
      <c r="D1615" t="s">
        <v>6552</v>
      </c>
      <c r="E1615" t="s">
        <v>362</v>
      </c>
      <c r="F1615" t="s">
        <v>1803</v>
      </c>
      <c r="G1615">
        <v>2000</v>
      </c>
      <c r="H1615" t="s">
        <v>36</v>
      </c>
      <c r="I1615" t="s">
        <v>6553</v>
      </c>
      <c r="J1615" t="s">
        <v>31</v>
      </c>
      <c r="K1615" t="s">
        <v>38</v>
      </c>
      <c r="L1615" t="s">
        <v>383</v>
      </c>
      <c r="M1615" t="s">
        <v>384</v>
      </c>
      <c r="N1615" t="s">
        <v>2270</v>
      </c>
      <c r="O1615" t="s">
        <v>2271</v>
      </c>
      <c r="P1615" t="s">
        <v>4718</v>
      </c>
      <c r="S1615" t="s">
        <v>288</v>
      </c>
      <c r="T1615">
        <v>35.319306949000001</v>
      </c>
      <c r="U1615">
        <v>-80.757628488999998</v>
      </c>
      <c r="V1615">
        <f>SUM(W1615:X1615)+(Y1615*0.8)+(Z1615*0.4)</f>
        <v>1</v>
      </c>
      <c r="W1615">
        <v>1</v>
      </c>
      <c r="X1615">
        <v>0</v>
      </c>
      <c r="Y1615">
        <v>0</v>
      </c>
      <c r="Z1615">
        <v>0</v>
      </c>
      <c r="AA1615" t="s">
        <v>43</v>
      </c>
      <c r="AB1615">
        <v>1</v>
      </c>
      <c r="AD1615" t="s">
        <v>6554</v>
      </c>
      <c r="AE1615" t="s">
        <v>6555</v>
      </c>
    </row>
    <row r="1616" spans="1:31" x14ac:dyDescent="0.25">
      <c r="A1616" t="s">
        <v>31</v>
      </c>
      <c r="C1616" t="s">
        <v>5760</v>
      </c>
      <c r="D1616" t="s">
        <v>5761</v>
      </c>
      <c r="E1616" t="s">
        <v>34</v>
      </c>
      <c r="F1616" t="s">
        <v>66</v>
      </c>
      <c r="G1616">
        <v>2000</v>
      </c>
      <c r="H1616" t="s">
        <v>36</v>
      </c>
      <c r="I1616" t="s">
        <v>5762</v>
      </c>
      <c r="J1616" t="s">
        <v>31</v>
      </c>
      <c r="K1616" t="s">
        <v>38</v>
      </c>
      <c r="L1616" t="s">
        <v>242</v>
      </c>
      <c r="M1616" t="s">
        <v>243</v>
      </c>
      <c r="N1616" t="s">
        <v>244</v>
      </c>
      <c r="O1616" t="s">
        <v>3161</v>
      </c>
      <c r="P1616" t="s">
        <v>4647</v>
      </c>
      <c r="T1616">
        <v>38.952060064999998</v>
      </c>
      <c r="U1616">
        <v>-77.346542845000002</v>
      </c>
      <c r="V1616">
        <f>SUM(W1616:X1616)+(Y1616*0.8)+(Z1616*0.4)</f>
        <v>1</v>
      </c>
      <c r="W1616">
        <v>1</v>
      </c>
      <c r="X1616">
        <v>0</v>
      </c>
      <c r="Y1616">
        <v>0</v>
      </c>
      <c r="Z1616">
        <v>0</v>
      </c>
      <c r="AA1616" t="s">
        <v>43</v>
      </c>
      <c r="AB1616">
        <v>0.96</v>
      </c>
      <c r="AD1616" t="s">
        <v>5763</v>
      </c>
      <c r="AE1616" t="s">
        <v>5764</v>
      </c>
    </row>
    <row r="1617" spans="1:31" x14ac:dyDescent="0.25">
      <c r="A1617" t="s">
        <v>31</v>
      </c>
      <c r="C1617" t="s">
        <v>2480</v>
      </c>
      <c r="D1617" t="s">
        <v>2480</v>
      </c>
      <c r="E1617" t="s">
        <v>34</v>
      </c>
      <c r="F1617" t="s">
        <v>35</v>
      </c>
      <c r="G1617">
        <v>2000</v>
      </c>
      <c r="H1617" t="s">
        <v>36</v>
      </c>
      <c r="I1617" t="s">
        <v>2481</v>
      </c>
      <c r="J1617" t="s">
        <v>31</v>
      </c>
      <c r="K1617" t="s">
        <v>38</v>
      </c>
      <c r="L1617" t="s">
        <v>317</v>
      </c>
      <c r="M1617" t="s">
        <v>318</v>
      </c>
      <c r="N1617" t="s">
        <v>2482</v>
      </c>
      <c r="O1617" t="s">
        <v>2483</v>
      </c>
      <c r="P1617" t="s">
        <v>2484</v>
      </c>
      <c r="Q1617" t="s">
        <v>2485</v>
      </c>
      <c r="T1617">
        <v>41.673677152000003</v>
      </c>
      <c r="U1617">
        <v>-83.69078356</v>
      </c>
      <c r="V1617">
        <f>SUM(W1617:X1617)+(Y1617*0.8)+(Z1617*0.4)</f>
        <v>1</v>
      </c>
      <c r="W1617">
        <v>1</v>
      </c>
      <c r="X1617">
        <v>0</v>
      </c>
      <c r="Y1617">
        <v>0</v>
      </c>
      <c r="Z1617">
        <v>0</v>
      </c>
      <c r="AA1617" t="s">
        <v>43</v>
      </c>
      <c r="AB1617">
        <v>0.5</v>
      </c>
      <c r="AD1617" t="s">
        <v>2486</v>
      </c>
      <c r="AE1617" t="s">
        <v>2487</v>
      </c>
    </row>
    <row r="1618" spans="1:31" x14ac:dyDescent="0.25">
      <c r="A1618" t="s">
        <v>31</v>
      </c>
      <c r="C1618" t="s">
        <v>490</v>
      </c>
      <c r="D1618" t="s">
        <v>491</v>
      </c>
      <c r="E1618" t="s">
        <v>34</v>
      </c>
      <c r="F1618" t="s">
        <v>35</v>
      </c>
      <c r="G1618">
        <v>2000</v>
      </c>
      <c r="H1618" t="s">
        <v>36</v>
      </c>
      <c r="I1618" t="s">
        <v>492</v>
      </c>
      <c r="J1618" t="s">
        <v>31</v>
      </c>
      <c r="K1618" t="s">
        <v>38</v>
      </c>
      <c r="L1618" t="s">
        <v>172</v>
      </c>
      <c r="M1618" t="s">
        <v>173</v>
      </c>
      <c r="N1618" t="s">
        <v>493</v>
      </c>
      <c r="O1618" t="s">
        <v>494</v>
      </c>
      <c r="P1618" t="s">
        <v>495</v>
      </c>
      <c r="S1618" t="s">
        <v>496</v>
      </c>
      <c r="T1618">
        <v>34.051229255999999</v>
      </c>
      <c r="U1618">
        <v>-118.265965556</v>
      </c>
      <c r="V1618">
        <f>SUM(W1618:X1618)+(Y1618*0.8)+(Z1618*0.4)</f>
        <v>1</v>
      </c>
      <c r="W1618">
        <v>1</v>
      </c>
      <c r="X1618">
        <v>0</v>
      </c>
      <c r="Y1618">
        <v>0</v>
      </c>
      <c r="Z1618">
        <v>0</v>
      </c>
      <c r="AA1618" t="s">
        <v>43</v>
      </c>
      <c r="AB1618">
        <v>0.97</v>
      </c>
      <c r="AD1618" t="s">
        <v>497</v>
      </c>
      <c r="AE1618" t="s">
        <v>498</v>
      </c>
    </row>
    <row r="1619" spans="1:31" x14ac:dyDescent="0.25">
      <c r="A1619" t="s">
        <v>31</v>
      </c>
      <c r="C1619" t="s">
        <v>10406</v>
      </c>
      <c r="D1619" t="s">
        <v>10580</v>
      </c>
      <c r="E1619" t="s">
        <v>34</v>
      </c>
      <c r="F1619" t="s">
        <v>35</v>
      </c>
      <c r="G1619">
        <v>1999</v>
      </c>
      <c r="H1619" t="s">
        <v>36</v>
      </c>
      <c r="I1619" t="s">
        <v>10581</v>
      </c>
      <c r="J1619" t="s">
        <v>31</v>
      </c>
      <c r="K1619" t="s">
        <v>38</v>
      </c>
      <c r="L1619" t="s">
        <v>1380</v>
      </c>
      <c r="M1619" t="s">
        <v>1381</v>
      </c>
      <c r="N1619" t="s">
        <v>6010</v>
      </c>
      <c r="O1619" t="s">
        <v>10582</v>
      </c>
      <c r="P1619" t="s">
        <v>10583</v>
      </c>
      <c r="Q1619" t="s">
        <v>10584</v>
      </c>
      <c r="T1619">
        <v>41.554556943999998</v>
      </c>
      <c r="U1619">
        <v>-73.041069941999993</v>
      </c>
      <c r="V1619">
        <f>SUM(W1619:X1619)+(Y1619*0.8)+(Z1619*0.4)</f>
        <v>1</v>
      </c>
      <c r="W1619">
        <v>1</v>
      </c>
      <c r="X1619">
        <v>0</v>
      </c>
      <c r="Y1619">
        <v>0</v>
      </c>
      <c r="Z1619">
        <v>0</v>
      </c>
      <c r="AA1619" t="s">
        <v>43</v>
      </c>
      <c r="AB1619">
        <v>0.98499999999999999</v>
      </c>
      <c r="AD1619" t="s">
        <v>10585</v>
      </c>
      <c r="AE1619" t="s">
        <v>10586</v>
      </c>
    </row>
    <row r="1620" spans="1:31" x14ac:dyDescent="0.25">
      <c r="A1620" t="s">
        <v>31</v>
      </c>
      <c r="C1620" t="s">
        <v>7218</v>
      </c>
      <c r="D1620" t="s">
        <v>7237</v>
      </c>
      <c r="E1620" t="s">
        <v>362</v>
      </c>
      <c r="F1620" t="s">
        <v>1611</v>
      </c>
      <c r="G1620">
        <v>1999</v>
      </c>
      <c r="H1620" t="s">
        <v>36</v>
      </c>
      <c r="I1620" t="s">
        <v>7238</v>
      </c>
      <c r="J1620" t="s">
        <v>31</v>
      </c>
      <c r="K1620" t="s">
        <v>38</v>
      </c>
      <c r="L1620" t="s">
        <v>1380</v>
      </c>
      <c r="M1620" t="s">
        <v>1381</v>
      </c>
      <c r="N1620" t="s">
        <v>3275</v>
      </c>
      <c r="O1620" t="s">
        <v>3275</v>
      </c>
      <c r="P1620" t="s">
        <v>7239</v>
      </c>
      <c r="Q1620" t="s">
        <v>7240</v>
      </c>
      <c r="T1620">
        <v>41.745183357000002</v>
      </c>
      <c r="U1620">
        <v>-72.665156828999997</v>
      </c>
      <c r="V1620">
        <f>SUM(W1620:X1620)+(Y1620*0.8)+(Z1620*0.4)</f>
        <v>1</v>
      </c>
      <c r="W1620">
        <v>1</v>
      </c>
      <c r="X1620">
        <v>0</v>
      </c>
      <c r="Y1620">
        <v>0</v>
      </c>
      <c r="Z1620">
        <v>0</v>
      </c>
      <c r="AA1620" t="s">
        <v>43</v>
      </c>
      <c r="AB1620">
        <v>1</v>
      </c>
      <c r="AD1620" t="s">
        <v>7241</v>
      </c>
      <c r="AE1620" t="s">
        <v>7242</v>
      </c>
    </row>
    <row r="1621" spans="1:31" x14ac:dyDescent="0.25">
      <c r="A1621" t="s">
        <v>31</v>
      </c>
      <c r="C1621" t="s">
        <v>7218</v>
      </c>
      <c r="D1621" t="s">
        <v>7243</v>
      </c>
      <c r="E1621" t="s">
        <v>362</v>
      </c>
      <c r="F1621" t="s">
        <v>1611</v>
      </c>
      <c r="G1621">
        <v>1999</v>
      </c>
      <c r="H1621" t="s">
        <v>36</v>
      </c>
      <c r="I1621" t="s">
        <v>7244</v>
      </c>
      <c r="J1621" t="s">
        <v>31</v>
      </c>
      <c r="K1621" t="s">
        <v>38</v>
      </c>
      <c r="L1621" t="s">
        <v>3625</v>
      </c>
      <c r="M1621" t="s">
        <v>3626</v>
      </c>
      <c r="N1621" t="s">
        <v>3627</v>
      </c>
      <c r="O1621" t="s">
        <v>3628</v>
      </c>
      <c r="P1621" t="s">
        <v>7245</v>
      </c>
      <c r="T1621">
        <v>39.749531529999999</v>
      </c>
      <c r="U1621">
        <v>-75.538745488000004</v>
      </c>
      <c r="V1621">
        <f>SUM(W1621:X1621)+(Y1621*0.8)+(Z1621*0.4)</f>
        <v>1</v>
      </c>
      <c r="W1621">
        <v>1</v>
      </c>
      <c r="X1621">
        <v>0</v>
      </c>
      <c r="Y1621">
        <v>0</v>
      </c>
      <c r="Z1621">
        <v>0</v>
      </c>
      <c r="AA1621" t="s">
        <v>43</v>
      </c>
      <c r="AB1621">
        <v>1</v>
      </c>
      <c r="AD1621" t="s">
        <v>7246</v>
      </c>
      <c r="AE1621" t="s">
        <v>7247</v>
      </c>
    </row>
    <row r="1622" spans="1:31" x14ac:dyDescent="0.25">
      <c r="A1622" t="s">
        <v>31</v>
      </c>
      <c r="C1622" t="s">
        <v>7218</v>
      </c>
      <c r="D1622" t="s">
        <v>5950</v>
      </c>
      <c r="E1622" t="s">
        <v>34</v>
      </c>
      <c r="F1622" t="s">
        <v>35</v>
      </c>
      <c r="G1622">
        <v>1999</v>
      </c>
      <c r="H1622" t="s">
        <v>36</v>
      </c>
      <c r="I1622" t="s">
        <v>7343</v>
      </c>
      <c r="J1622" t="s">
        <v>31</v>
      </c>
      <c r="K1622" t="s">
        <v>38</v>
      </c>
      <c r="L1622" t="s">
        <v>68</v>
      </c>
      <c r="M1622" t="s">
        <v>69</v>
      </c>
      <c r="N1622" t="s">
        <v>5949</v>
      </c>
      <c r="O1622" t="s">
        <v>5950</v>
      </c>
      <c r="P1622" t="s">
        <v>5951</v>
      </c>
      <c r="T1622">
        <v>31.755834595</v>
      </c>
      <c r="U1622">
        <v>-106.49349503000001</v>
      </c>
      <c r="V1622">
        <f>SUM(W1622:X1622)+(Y1622*0.8)+(Z1622*0.4)</f>
        <v>1</v>
      </c>
      <c r="W1622">
        <v>1</v>
      </c>
      <c r="X1622">
        <v>0</v>
      </c>
      <c r="Y1622">
        <v>0</v>
      </c>
      <c r="Z1622">
        <v>0</v>
      </c>
      <c r="AA1622" t="s">
        <v>43</v>
      </c>
      <c r="AB1622">
        <v>0.9</v>
      </c>
      <c r="AD1622" t="s">
        <v>7344</v>
      </c>
      <c r="AE1622" t="s">
        <v>7345</v>
      </c>
    </row>
    <row r="1623" spans="1:31" x14ac:dyDescent="0.25">
      <c r="A1623" t="s">
        <v>31</v>
      </c>
      <c r="C1623" t="s">
        <v>7218</v>
      </c>
      <c r="D1623" t="s">
        <v>7375</v>
      </c>
      <c r="E1623" t="s">
        <v>34</v>
      </c>
      <c r="F1623" t="s">
        <v>35</v>
      </c>
      <c r="G1623">
        <v>1999</v>
      </c>
      <c r="H1623" t="s">
        <v>36</v>
      </c>
      <c r="I1623" t="s">
        <v>7376</v>
      </c>
      <c r="J1623" t="s">
        <v>31</v>
      </c>
      <c r="K1623" t="s">
        <v>38</v>
      </c>
      <c r="L1623" t="s">
        <v>172</v>
      </c>
      <c r="M1623" t="s">
        <v>173</v>
      </c>
      <c r="N1623" t="s">
        <v>780</v>
      </c>
      <c r="O1623" t="s">
        <v>781</v>
      </c>
      <c r="P1623" t="s">
        <v>3145</v>
      </c>
      <c r="T1623">
        <v>37.377184831999998</v>
      </c>
      <c r="U1623">
        <v>-121.95204296</v>
      </c>
      <c r="V1623">
        <f>SUM(W1623:X1623)+(Y1623*0.8)+(Z1623*0.4)</f>
        <v>1</v>
      </c>
      <c r="W1623">
        <v>1</v>
      </c>
      <c r="X1623">
        <v>0</v>
      </c>
      <c r="Y1623">
        <v>0</v>
      </c>
      <c r="Z1623">
        <v>0</v>
      </c>
      <c r="AA1623" t="s">
        <v>43</v>
      </c>
      <c r="AB1623">
        <v>0.93</v>
      </c>
      <c r="AD1623" t="s">
        <v>7377</v>
      </c>
      <c r="AE1623" t="s">
        <v>7378</v>
      </c>
    </row>
    <row r="1624" spans="1:31" x14ac:dyDescent="0.25">
      <c r="A1624" t="s">
        <v>31</v>
      </c>
      <c r="C1624" t="s">
        <v>7218</v>
      </c>
      <c r="D1624" t="s">
        <v>7428</v>
      </c>
      <c r="E1624" t="s">
        <v>34</v>
      </c>
      <c r="F1624" t="s">
        <v>35</v>
      </c>
      <c r="G1624">
        <v>1999</v>
      </c>
      <c r="H1624" t="s">
        <v>36</v>
      </c>
      <c r="I1624" t="s">
        <v>7429</v>
      </c>
      <c r="J1624" t="s">
        <v>31</v>
      </c>
      <c r="K1624" t="s">
        <v>38</v>
      </c>
      <c r="L1624" t="s">
        <v>68</v>
      </c>
      <c r="M1624" t="s">
        <v>69</v>
      </c>
      <c r="N1624" t="s">
        <v>712</v>
      </c>
      <c r="O1624" t="s">
        <v>713</v>
      </c>
      <c r="P1624" t="s">
        <v>7430</v>
      </c>
      <c r="S1624" t="s">
        <v>7431</v>
      </c>
      <c r="T1624">
        <v>29.438277954</v>
      </c>
      <c r="U1624">
        <v>-98.506456658999994</v>
      </c>
      <c r="V1624">
        <f>SUM(W1624:X1624)+(Y1624*0.8)+(Z1624*0.4)</f>
        <v>1</v>
      </c>
      <c r="W1624">
        <v>1</v>
      </c>
      <c r="X1624">
        <v>0</v>
      </c>
      <c r="Y1624">
        <v>0</v>
      </c>
      <c r="Z1624">
        <v>0</v>
      </c>
      <c r="AA1624" t="s">
        <v>43</v>
      </c>
      <c r="AB1624">
        <v>0.91</v>
      </c>
      <c r="AD1624" t="s">
        <v>7432</v>
      </c>
      <c r="AE1624" t="s">
        <v>7433</v>
      </c>
    </row>
    <row r="1625" spans="1:31" x14ac:dyDescent="0.25">
      <c r="A1625" t="s">
        <v>31</v>
      </c>
      <c r="C1625" t="s">
        <v>6602</v>
      </c>
      <c r="D1625" t="s">
        <v>6602</v>
      </c>
      <c r="E1625" t="s">
        <v>34</v>
      </c>
      <c r="F1625" t="s">
        <v>35</v>
      </c>
      <c r="G1625">
        <v>1999</v>
      </c>
      <c r="H1625" t="s">
        <v>36</v>
      </c>
      <c r="I1625" t="s">
        <v>6603</v>
      </c>
      <c r="J1625" t="s">
        <v>31</v>
      </c>
      <c r="K1625" t="s">
        <v>38</v>
      </c>
      <c r="L1625" t="s">
        <v>123</v>
      </c>
      <c r="M1625" t="s">
        <v>124</v>
      </c>
      <c r="N1625" t="s">
        <v>6604</v>
      </c>
      <c r="O1625" t="s">
        <v>6605</v>
      </c>
      <c r="P1625" t="s">
        <v>6606</v>
      </c>
      <c r="T1625">
        <v>42.849521950000003</v>
      </c>
      <c r="U1625">
        <v>-73.756874522000004</v>
      </c>
      <c r="V1625">
        <f>SUM(W1625:X1625)+(Y1625*0.8)+(Z1625*0.4)</f>
        <v>1</v>
      </c>
      <c r="W1625">
        <v>1</v>
      </c>
      <c r="X1625">
        <v>0</v>
      </c>
      <c r="Y1625">
        <v>0</v>
      </c>
      <c r="Z1625">
        <v>0</v>
      </c>
      <c r="AA1625" t="s">
        <v>43</v>
      </c>
      <c r="AB1625">
        <v>0.9</v>
      </c>
      <c r="AD1625" t="s">
        <v>6607</v>
      </c>
      <c r="AE1625" t="s">
        <v>6608</v>
      </c>
    </row>
    <row r="1626" spans="1:31" x14ac:dyDescent="0.25">
      <c r="A1626" t="s">
        <v>31</v>
      </c>
      <c r="C1626" t="s">
        <v>5694</v>
      </c>
      <c r="D1626" t="s">
        <v>5695</v>
      </c>
      <c r="E1626" t="s">
        <v>34</v>
      </c>
      <c r="F1626" t="s">
        <v>35</v>
      </c>
      <c r="G1626">
        <v>1999</v>
      </c>
      <c r="H1626" t="s">
        <v>36</v>
      </c>
      <c r="I1626" t="s">
        <v>5696</v>
      </c>
      <c r="J1626" t="s">
        <v>31</v>
      </c>
      <c r="K1626" t="s">
        <v>38</v>
      </c>
      <c r="L1626" t="s">
        <v>123</v>
      </c>
      <c r="M1626" t="s">
        <v>124</v>
      </c>
      <c r="N1626" t="s">
        <v>2304</v>
      </c>
      <c r="O1626" t="s">
        <v>5697</v>
      </c>
      <c r="P1626" t="s">
        <v>5698</v>
      </c>
      <c r="Q1626" t="s">
        <v>138</v>
      </c>
      <c r="T1626">
        <v>42.649329018000003</v>
      </c>
      <c r="U1626">
        <v>-73.750972824000002</v>
      </c>
      <c r="V1626">
        <f>SUM(W1626:X1626)+(Y1626*0.8)+(Z1626*0.4)</f>
        <v>1</v>
      </c>
      <c r="W1626">
        <v>1</v>
      </c>
      <c r="X1626">
        <v>0</v>
      </c>
      <c r="Y1626">
        <v>0</v>
      </c>
      <c r="Z1626">
        <v>0</v>
      </c>
      <c r="AA1626" t="s">
        <v>43</v>
      </c>
      <c r="AB1626">
        <v>0.97</v>
      </c>
      <c r="AD1626" t="s">
        <v>5699</v>
      </c>
      <c r="AE1626" t="s">
        <v>5700</v>
      </c>
    </row>
    <row r="1627" spans="1:31" x14ac:dyDescent="0.25">
      <c r="A1627" t="s">
        <v>31</v>
      </c>
      <c r="C1627" t="s">
        <v>6381</v>
      </c>
      <c r="D1627" t="s">
        <v>6446</v>
      </c>
      <c r="E1627" t="s">
        <v>34</v>
      </c>
      <c r="F1627" t="s">
        <v>35</v>
      </c>
      <c r="G1627">
        <v>1998</v>
      </c>
      <c r="H1627" t="s">
        <v>36</v>
      </c>
      <c r="I1627" t="s">
        <v>6447</v>
      </c>
      <c r="J1627" t="s">
        <v>31</v>
      </c>
      <c r="K1627" t="s">
        <v>38</v>
      </c>
      <c r="L1627" t="s">
        <v>123</v>
      </c>
      <c r="M1627" t="s">
        <v>124</v>
      </c>
      <c r="N1627" t="s">
        <v>270</v>
      </c>
      <c r="O1627" t="s">
        <v>123</v>
      </c>
      <c r="P1627" t="s">
        <v>3117</v>
      </c>
      <c r="Q1627" t="s">
        <v>6448</v>
      </c>
      <c r="S1627" t="s">
        <v>273</v>
      </c>
      <c r="T1627">
        <v>40.727002233999997</v>
      </c>
      <c r="U1627">
        <v>-74.007702601999995</v>
      </c>
      <c r="V1627">
        <f>SUM(W1627:X1627)+(Y1627*0.8)+(Z1627*0.4)</f>
        <v>1</v>
      </c>
      <c r="W1627">
        <v>1</v>
      </c>
      <c r="X1627">
        <v>0</v>
      </c>
      <c r="Y1627">
        <v>0</v>
      </c>
      <c r="Z1627">
        <v>0</v>
      </c>
      <c r="AA1627" t="s">
        <v>43</v>
      </c>
      <c r="AB1627">
        <v>0.85</v>
      </c>
      <c r="AD1627" t="s">
        <v>6449</v>
      </c>
      <c r="AE1627" t="s">
        <v>6450</v>
      </c>
    </row>
    <row r="1628" spans="1:31" x14ac:dyDescent="0.25">
      <c r="A1628" t="s">
        <v>31</v>
      </c>
      <c r="C1628" t="s">
        <v>2301</v>
      </c>
      <c r="D1628" t="s">
        <v>2323</v>
      </c>
      <c r="E1628" t="s">
        <v>362</v>
      </c>
      <c r="F1628" t="s">
        <v>1611</v>
      </c>
      <c r="G1628">
        <v>1998</v>
      </c>
      <c r="H1628" t="s">
        <v>36</v>
      </c>
      <c r="I1628" t="s">
        <v>2324</v>
      </c>
      <c r="J1628" t="s">
        <v>31</v>
      </c>
      <c r="K1628" t="s">
        <v>38</v>
      </c>
      <c r="L1628" t="s">
        <v>77</v>
      </c>
      <c r="M1628" t="s">
        <v>78</v>
      </c>
      <c r="N1628" t="s">
        <v>1358</v>
      </c>
      <c r="O1628" t="s">
        <v>1518</v>
      </c>
      <c r="P1628" t="s">
        <v>2325</v>
      </c>
      <c r="Q1628" t="s">
        <v>1518</v>
      </c>
      <c r="S1628" t="s">
        <v>2326</v>
      </c>
      <c r="T1628">
        <v>40.430104972000002</v>
      </c>
      <c r="U1628">
        <v>-79.959812087000003</v>
      </c>
      <c r="V1628">
        <f>SUM(W1628:X1628)+(Y1628*0.8)+(Z1628*0.4)</f>
        <v>1</v>
      </c>
      <c r="W1628">
        <v>1</v>
      </c>
      <c r="X1628">
        <v>0</v>
      </c>
      <c r="Y1628">
        <v>0</v>
      </c>
      <c r="Z1628">
        <v>0</v>
      </c>
      <c r="AA1628" t="s">
        <v>43</v>
      </c>
      <c r="AB1628">
        <v>1</v>
      </c>
      <c r="AD1628" t="s">
        <v>2327</v>
      </c>
      <c r="AE1628" t="s">
        <v>2328</v>
      </c>
    </row>
    <row r="1629" spans="1:31" x14ac:dyDescent="0.25">
      <c r="A1629" t="s">
        <v>31</v>
      </c>
      <c r="C1629" t="s">
        <v>9487</v>
      </c>
      <c r="D1629" t="s">
        <v>1886</v>
      </c>
      <c r="E1629" t="s">
        <v>362</v>
      </c>
      <c r="F1629" t="s">
        <v>1611</v>
      </c>
      <c r="G1629">
        <v>1997</v>
      </c>
      <c r="H1629" t="s">
        <v>36</v>
      </c>
      <c r="I1629" t="s">
        <v>9488</v>
      </c>
      <c r="J1629" t="s">
        <v>31</v>
      </c>
      <c r="K1629" t="s">
        <v>38</v>
      </c>
      <c r="L1629" t="s">
        <v>1883</v>
      </c>
      <c r="M1629" t="s">
        <v>1884</v>
      </c>
      <c r="N1629" t="s">
        <v>1885</v>
      </c>
      <c r="O1629" t="s">
        <v>1886</v>
      </c>
      <c r="P1629" t="s">
        <v>9489</v>
      </c>
      <c r="Q1629" t="s">
        <v>9490</v>
      </c>
      <c r="T1629">
        <v>33.517035053999997</v>
      </c>
      <c r="U1629">
        <v>-86.812566214</v>
      </c>
      <c r="V1629">
        <f>SUM(W1629:X1629)+(Y1629*0.8)+(Z1629*0.4)</f>
        <v>1</v>
      </c>
      <c r="W1629">
        <v>1</v>
      </c>
      <c r="X1629">
        <v>0</v>
      </c>
      <c r="Y1629">
        <v>0</v>
      </c>
      <c r="Z1629">
        <v>0</v>
      </c>
      <c r="AA1629" t="s">
        <v>43</v>
      </c>
      <c r="AB1629">
        <v>1</v>
      </c>
      <c r="AD1629" t="s">
        <v>9491</v>
      </c>
      <c r="AE1629" t="s">
        <v>9492</v>
      </c>
    </row>
    <row r="1630" spans="1:31" x14ac:dyDescent="0.25">
      <c r="A1630" t="s">
        <v>31</v>
      </c>
      <c r="C1630" t="s">
        <v>8839</v>
      </c>
      <c r="D1630" t="s">
        <v>8840</v>
      </c>
      <c r="E1630" t="s">
        <v>362</v>
      </c>
      <c r="F1630" t="s">
        <v>1302</v>
      </c>
      <c r="G1630">
        <v>1996</v>
      </c>
      <c r="H1630" t="s">
        <v>36</v>
      </c>
      <c r="I1630" t="s">
        <v>8841</v>
      </c>
      <c r="J1630" t="s">
        <v>31</v>
      </c>
      <c r="K1630" t="s">
        <v>38</v>
      </c>
      <c r="L1630" t="s">
        <v>1380</v>
      </c>
      <c r="M1630" t="s">
        <v>1381</v>
      </c>
      <c r="N1630" t="s">
        <v>6330</v>
      </c>
      <c r="O1630" t="s">
        <v>8842</v>
      </c>
      <c r="P1630" t="s">
        <v>8843</v>
      </c>
      <c r="Q1630" t="s">
        <v>8842</v>
      </c>
      <c r="S1630" t="s">
        <v>8844</v>
      </c>
      <c r="T1630">
        <v>41.334498672999999</v>
      </c>
      <c r="U1630">
        <v>-72.070634822000002</v>
      </c>
      <c r="V1630">
        <f>SUM(W1630:X1630)+(Y1630*0.8)+(Z1630*0.4)</f>
        <v>1</v>
      </c>
      <c r="W1630">
        <v>1</v>
      </c>
      <c r="X1630">
        <v>0</v>
      </c>
      <c r="Y1630">
        <v>0</v>
      </c>
      <c r="Z1630">
        <v>0</v>
      </c>
      <c r="AA1630" t="s">
        <v>43</v>
      </c>
      <c r="AB1630">
        <v>1</v>
      </c>
      <c r="AD1630" t="s">
        <v>8845</v>
      </c>
      <c r="AE1630" t="s">
        <v>8846</v>
      </c>
    </row>
    <row r="1631" spans="1:31" x14ac:dyDescent="0.25">
      <c r="A1631" t="s">
        <v>31</v>
      </c>
      <c r="C1631" t="s">
        <v>5694</v>
      </c>
      <c r="D1631" t="s">
        <v>5733</v>
      </c>
      <c r="E1631" t="s">
        <v>34</v>
      </c>
      <c r="F1631" t="s">
        <v>35</v>
      </c>
      <c r="G1631">
        <v>1996</v>
      </c>
      <c r="H1631" t="s">
        <v>36</v>
      </c>
      <c r="I1631" t="s">
        <v>5734</v>
      </c>
      <c r="J1631" t="s">
        <v>31</v>
      </c>
      <c r="K1631" t="s">
        <v>38</v>
      </c>
      <c r="L1631" t="s">
        <v>2951</v>
      </c>
      <c r="M1631" t="s">
        <v>2952</v>
      </c>
      <c r="N1631" t="s">
        <v>1855</v>
      </c>
      <c r="O1631" t="s">
        <v>5735</v>
      </c>
      <c r="P1631" t="s">
        <v>5736</v>
      </c>
      <c r="Q1631" t="s">
        <v>5735</v>
      </c>
      <c r="S1631" t="s">
        <v>5737</v>
      </c>
      <c r="T1631">
        <v>43.073060159999997</v>
      </c>
      <c r="U1631">
        <v>-70.803062569000005</v>
      </c>
      <c r="V1631">
        <f>SUM(W1631:X1631)+(Y1631*0.8)+(Z1631*0.4)</f>
        <v>1</v>
      </c>
      <c r="W1631">
        <v>1</v>
      </c>
      <c r="X1631">
        <v>0</v>
      </c>
      <c r="Y1631">
        <v>0</v>
      </c>
      <c r="Z1631">
        <v>0</v>
      </c>
      <c r="AA1631" t="s">
        <v>43</v>
      </c>
      <c r="AB1631">
        <v>0.98</v>
      </c>
      <c r="AD1631" t="s">
        <v>5738</v>
      </c>
      <c r="AE1631" t="s">
        <v>5739</v>
      </c>
    </row>
    <row r="1632" spans="1:31" x14ac:dyDescent="0.25">
      <c r="A1632" t="s">
        <v>31</v>
      </c>
      <c r="C1632" t="s">
        <v>2406</v>
      </c>
      <c r="D1632" t="s">
        <v>2406</v>
      </c>
      <c r="E1632" t="s">
        <v>34</v>
      </c>
      <c r="F1632" t="s">
        <v>35</v>
      </c>
      <c r="G1632">
        <v>1996</v>
      </c>
      <c r="H1632" t="s">
        <v>36</v>
      </c>
      <c r="I1632" t="s">
        <v>2407</v>
      </c>
      <c r="J1632" t="s">
        <v>31</v>
      </c>
      <c r="K1632" t="s">
        <v>38</v>
      </c>
      <c r="L1632" t="s">
        <v>1380</v>
      </c>
      <c r="M1632" t="s">
        <v>1381</v>
      </c>
      <c r="N1632" t="s">
        <v>2408</v>
      </c>
      <c r="O1632" t="s">
        <v>2409</v>
      </c>
      <c r="P1632" t="s">
        <v>2410</v>
      </c>
      <c r="S1632" t="s">
        <v>2411</v>
      </c>
      <c r="T1632">
        <v>41.486729394999998</v>
      </c>
      <c r="U1632">
        <v>-72.801059050000006</v>
      </c>
      <c r="V1632">
        <f>SUM(W1632:X1632)+(Y1632*0.8)+(Z1632*0.4)</f>
        <v>1</v>
      </c>
      <c r="W1632">
        <v>1</v>
      </c>
      <c r="X1632">
        <v>0</v>
      </c>
      <c r="Y1632">
        <v>0</v>
      </c>
      <c r="Z1632">
        <v>0</v>
      </c>
      <c r="AA1632" t="s">
        <v>43</v>
      </c>
      <c r="AB1632">
        <v>0.7</v>
      </c>
      <c r="AD1632" t="s">
        <v>2412</v>
      </c>
      <c r="AE1632" t="s">
        <v>2413</v>
      </c>
    </row>
    <row r="1633" spans="1:31" x14ac:dyDescent="0.25">
      <c r="A1633" t="s">
        <v>31</v>
      </c>
      <c r="C1633" t="s">
        <v>6627</v>
      </c>
      <c r="D1633" t="s">
        <v>6628</v>
      </c>
      <c r="E1633" t="s">
        <v>34</v>
      </c>
      <c r="F1633" t="s">
        <v>35</v>
      </c>
      <c r="G1633">
        <v>1994</v>
      </c>
      <c r="H1633" t="s">
        <v>36</v>
      </c>
      <c r="I1633" t="s">
        <v>6629</v>
      </c>
      <c r="J1633" t="s">
        <v>31</v>
      </c>
      <c r="K1633" t="s">
        <v>38</v>
      </c>
      <c r="L1633" t="s">
        <v>172</v>
      </c>
      <c r="M1633" t="s">
        <v>173</v>
      </c>
      <c r="N1633" t="s">
        <v>2596</v>
      </c>
      <c r="O1633" t="s">
        <v>6630</v>
      </c>
      <c r="P1633" t="s">
        <v>6631</v>
      </c>
      <c r="S1633" t="s">
        <v>6632</v>
      </c>
      <c r="T1633">
        <v>37.490190175000002</v>
      </c>
      <c r="U1633">
        <v>-121.93105563100001</v>
      </c>
      <c r="V1633">
        <f>SUM(W1633:X1633)+(Y1633*0.8)+(Z1633*0.4)</f>
        <v>1</v>
      </c>
      <c r="W1633">
        <v>1</v>
      </c>
      <c r="X1633">
        <v>0</v>
      </c>
      <c r="Y1633">
        <v>0</v>
      </c>
      <c r="Z1633">
        <v>0</v>
      </c>
      <c r="AA1633" t="s">
        <v>43</v>
      </c>
      <c r="AB1633">
        <v>1</v>
      </c>
      <c r="AD1633" t="s">
        <v>6633</v>
      </c>
      <c r="AE1633" t="s">
        <v>6634</v>
      </c>
    </row>
    <row r="1634" spans="1:31" x14ac:dyDescent="0.25">
      <c r="A1634" t="s">
        <v>31</v>
      </c>
      <c r="C1634" t="s">
        <v>5694</v>
      </c>
      <c r="D1634" t="s">
        <v>5729</v>
      </c>
      <c r="E1634" t="s">
        <v>34</v>
      </c>
      <c r="F1634" t="s">
        <v>35</v>
      </c>
      <c r="G1634">
        <v>1993</v>
      </c>
      <c r="H1634" t="s">
        <v>36</v>
      </c>
      <c r="I1634" t="s">
        <v>5730</v>
      </c>
      <c r="J1634" t="s">
        <v>31</v>
      </c>
      <c r="K1634" t="s">
        <v>38</v>
      </c>
      <c r="L1634" t="s">
        <v>2951</v>
      </c>
      <c r="M1634" t="s">
        <v>2952</v>
      </c>
      <c r="N1634" t="s">
        <v>309</v>
      </c>
      <c r="O1634" t="s">
        <v>2960</v>
      </c>
      <c r="P1634" t="s">
        <v>2961</v>
      </c>
      <c r="T1634">
        <v>42.972373816999998</v>
      </c>
      <c r="U1634">
        <v>-71.468752379999998</v>
      </c>
      <c r="V1634">
        <f>SUM(W1634:X1634)+(Y1634*0.8)+(Z1634*0.4)</f>
        <v>1</v>
      </c>
      <c r="W1634">
        <v>1</v>
      </c>
      <c r="X1634">
        <v>0</v>
      </c>
      <c r="Y1634">
        <v>0</v>
      </c>
      <c r="Z1634">
        <v>0</v>
      </c>
      <c r="AA1634" t="s">
        <v>43</v>
      </c>
      <c r="AB1634">
        <v>0.98</v>
      </c>
      <c r="AD1634" t="s">
        <v>5731</v>
      </c>
      <c r="AE1634" t="s">
        <v>5732</v>
      </c>
    </row>
    <row r="1635" spans="1:31" x14ac:dyDescent="0.25">
      <c r="A1635" t="s">
        <v>31</v>
      </c>
      <c r="C1635" t="s">
        <v>9655</v>
      </c>
      <c r="D1635" t="s">
        <v>3579</v>
      </c>
      <c r="E1635" t="s">
        <v>362</v>
      </c>
      <c r="F1635" t="s">
        <v>1611</v>
      </c>
      <c r="G1635">
        <v>1990</v>
      </c>
      <c r="H1635" t="s">
        <v>36</v>
      </c>
      <c r="I1635" t="s">
        <v>9670</v>
      </c>
      <c r="J1635" t="s">
        <v>31</v>
      </c>
      <c r="K1635" t="s">
        <v>38</v>
      </c>
      <c r="L1635" t="s">
        <v>2437</v>
      </c>
      <c r="M1635" t="s">
        <v>2438</v>
      </c>
      <c r="N1635" t="s">
        <v>3581</v>
      </c>
      <c r="O1635" t="s">
        <v>3579</v>
      </c>
      <c r="P1635" t="s">
        <v>3582</v>
      </c>
      <c r="S1635" t="s">
        <v>7234</v>
      </c>
      <c r="T1635">
        <v>34.006715143000001</v>
      </c>
      <c r="U1635">
        <v>-81.029864728999996</v>
      </c>
      <c r="V1635">
        <f>SUM(W1635:X1635)+(Y1635*0.8)+(Z1635*0.4)</f>
        <v>1</v>
      </c>
      <c r="W1635">
        <v>1</v>
      </c>
      <c r="X1635">
        <v>0</v>
      </c>
      <c r="Y1635">
        <v>0</v>
      </c>
      <c r="Z1635">
        <v>0</v>
      </c>
      <c r="AA1635" t="s">
        <v>43</v>
      </c>
      <c r="AB1635">
        <v>1</v>
      </c>
      <c r="AD1635" t="s">
        <v>9671</v>
      </c>
      <c r="AE1635" t="s">
        <v>9672</v>
      </c>
    </row>
    <row r="1636" spans="1:31" x14ac:dyDescent="0.25">
      <c r="A1636" t="s">
        <v>31</v>
      </c>
      <c r="C1636" t="s">
        <v>6020</v>
      </c>
      <c r="D1636" t="s">
        <v>6021</v>
      </c>
      <c r="E1636" t="s">
        <v>362</v>
      </c>
      <c r="F1636" t="s">
        <v>1611</v>
      </c>
      <c r="G1636">
        <v>1990</v>
      </c>
      <c r="H1636" t="s">
        <v>36</v>
      </c>
      <c r="I1636" t="s">
        <v>6022</v>
      </c>
      <c r="J1636" t="s">
        <v>31</v>
      </c>
      <c r="K1636" t="s">
        <v>38</v>
      </c>
      <c r="L1636" t="s">
        <v>143</v>
      </c>
      <c r="M1636" t="s">
        <v>144</v>
      </c>
      <c r="N1636" t="s">
        <v>6023</v>
      </c>
      <c r="O1636" t="s">
        <v>6024</v>
      </c>
      <c r="P1636" t="s">
        <v>6025</v>
      </c>
      <c r="T1636">
        <v>41.138764436000002</v>
      </c>
      <c r="U1636">
        <v>-85.138052924999997</v>
      </c>
      <c r="V1636">
        <f>SUM(W1636:X1636)+(Y1636*0.8)+(Z1636*0.4)</f>
        <v>1</v>
      </c>
      <c r="W1636">
        <v>1</v>
      </c>
      <c r="X1636">
        <v>0</v>
      </c>
      <c r="Y1636">
        <v>0</v>
      </c>
      <c r="Z1636">
        <v>0</v>
      </c>
      <c r="AA1636" t="s">
        <v>43</v>
      </c>
      <c r="AB1636">
        <v>1</v>
      </c>
      <c r="AD1636" t="s">
        <v>6026</v>
      </c>
      <c r="AE1636" t="s">
        <v>6027</v>
      </c>
    </row>
    <row r="1637" spans="1:31" x14ac:dyDescent="0.25">
      <c r="A1637" t="s">
        <v>31</v>
      </c>
      <c r="C1637" t="s">
        <v>5491</v>
      </c>
      <c r="D1637" t="s">
        <v>5492</v>
      </c>
      <c r="E1637" t="s">
        <v>362</v>
      </c>
      <c r="F1637" t="s">
        <v>363</v>
      </c>
      <c r="G1637">
        <v>1990</v>
      </c>
      <c r="H1637" t="s">
        <v>36</v>
      </c>
      <c r="I1637" t="s">
        <v>5493</v>
      </c>
      <c r="J1637" t="s">
        <v>31</v>
      </c>
      <c r="K1637" t="s">
        <v>38</v>
      </c>
      <c r="L1637" t="s">
        <v>2263</v>
      </c>
      <c r="M1637" t="s">
        <v>2264</v>
      </c>
      <c r="N1637" t="s">
        <v>5494</v>
      </c>
      <c r="O1637" t="s">
        <v>5495</v>
      </c>
      <c r="P1637" t="s">
        <v>5496</v>
      </c>
      <c r="T1637">
        <v>46.940030446999998</v>
      </c>
      <c r="U1637">
        <v>-67.905656874000002</v>
      </c>
      <c r="V1637">
        <f>SUM(W1637:X1637)+(Y1637*0.8)+(Z1637*0.4)</f>
        <v>1</v>
      </c>
      <c r="W1637">
        <v>1</v>
      </c>
      <c r="X1637">
        <v>0</v>
      </c>
      <c r="Y1637">
        <v>0</v>
      </c>
      <c r="Z1637">
        <v>0</v>
      </c>
      <c r="AA1637" t="s">
        <v>43</v>
      </c>
      <c r="AB1637">
        <v>1</v>
      </c>
      <c r="AD1637" t="s">
        <v>5497</v>
      </c>
      <c r="AE1637" t="s">
        <v>5498</v>
      </c>
    </row>
    <row r="1638" spans="1:31" x14ac:dyDescent="0.25">
      <c r="A1638" t="s">
        <v>31</v>
      </c>
      <c r="C1638" t="s">
        <v>1489</v>
      </c>
      <c r="D1638" t="s">
        <v>1490</v>
      </c>
      <c r="E1638" t="s">
        <v>34</v>
      </c>
      <c r="F1638" t="s">
        <v>35</v>
      </c>
      <c r="G1638">
        <v>2018</v>
      </c>
      <c r="H1638" t="s">
        <v>36</v>
      </c>
      <c r="I1638" t="s">
        <v>1491</v>
      </c>
      <c r="J1638" t="s">
        <v>31</v>
      </c>
      <c r="K1638" t="s">
        <v>38</v>
      </c>
      <c r="L1638" t="s">
        <v>242</v>
      </c>
      <c r="M1638" t="s">
        <v>243</v>
      </c>
      <c r="N1638" t="s">
        <v>244</v>
      </c>
      <c r="O1638" t="s">
        <v>848</v>
      </c>
      <c r="P1638" t="s">
        <v>246</v>
      </c>
      <c r="T1638">
        <v>38.950616357999998</v>
      </c>
      <c r="U1638">
        <v>-77.397066131000003</v>
      </c>
      <c r="V1638">
        <f>SUM(W1638:X1638)+(Y1638*0.8)+(Z1638*0.4)</f>
        <v>0.98799999999999999</v>
      </c>
      <c r="W1638">
        <v>0.98799999999999999</v>
      </c>
      <c r="X1638">
        <v>0</v>
      </c>
      <c r="Y1638">
        <v>0</v>
      </c>
      <c r="Z1638">
        <v>0</v>
      </c>
      <c r="AA1638" t="s">
        <v>43</v>
      </c>
      <c r="AB1638">
        <v>0.84</v>
      </c>
      <c r="AD1638" t="s">
        <v>1492</v>
      </c>
      <c r="AE1638" t="s">
        <v>1493</v>
      </c>
    </row>
    <row r="1639" spans="1:31" x14ac:dyDescent="0.25">
      <c r="A1639" t="s">
        <v>31</v>
      </c>
      <c r="C1639" t="s">
        <v>2584</v>
      </c>
      <c r="D1639" t="s">
        <v>2646</v>
      </c>
      <c r="E1639" t="s">
        <v>34</v>
      </c>
      <c r="F1639" t="s">
        <v>35</v>
      </c>
      <c r="G1639">
        <v>2002</v>
      </c>
      <c r="H1639" t="s">
        <v>36</v>
      </c>
      <c r="I1639" t="s">
        <v>2647</v>
      </c>
      <c r="J1639" t="s">
        <v>31</v>
      </c>
      <c r="K1639" t="s">
        <v>38</v>
      </c>
      <c r="L1639" t="s">
        <v>172</v>
      </c>
      <c r="M1639" t="s">
        <v>173</v>
      </c>
      <c r="N1639" t="s">
        <v>2023</v>
      </c>
      <c r="O1639" t="s">
        <v>2021</v>
      </c>
      <c r="P1639" t="s">
        <v>2648</v>
      </c>
      <c r="T1639">
        <v>32.880529021000001</v>
      </c>
      <c r="U1639">
        <v>-117.209541286</v>
      </c>
      <c r="V1639">
        <f>SUM(W1639:X1639)+(Y1639*0.8)+(Z1639*0.4)</f>
        <v>0.96</v>
      </c>
      <c r="W1639">
        <v>0.96</v>
      </c>
      <c r="X1639">
        <v>0</v>
      </c>
      <c r="Y1639">
        <v>0</v>
      </c>
      <c r="Z1639">
        <v>0</v>
      </c>
      <c r="AA1639" t="s">
        <v>43</v>
      </c>
      <c r="AB1639">
        <v>0.95</v>
      </c>
      <c r="AD1639" t="s">
        <v>2649</v>
      </c>
      <c r="AE1639" t="s">
        <v>2650</v>
      </c>
    </row>
    <row r="1640" spans="1:31" x14ac:dyDescent="0.25">
      <c r="A1640" t="s">
        <v>31</v>
      </c>
      <c r="C1640" t="s">
        <v>3543</v>
      </c>
      <c r="D1640" t="s">
        <v>356</v>
      </c>
      <c r="E1640" t="s">
        <v>34</v>
      </c>
      <c r="F1640" t="s">
        <v>35</v>
      </c>
      <c r="G1640">
        <v>2006</v>
      </c>
      <c r="H1640" t="s">
        <v>36</v>
      </c>
      <c r="I1640" t="s">
        <v>3548</v>
      </c>
      <c r="J1640" t="s">
        <v>31</v>
      </c>
      <c r="K1640" t="s">
        <v>38</v>
      </c>
      <c r="L1640" t="s">
        <v>353</v>
      </c>
      <c r="M1640" t="s">
        <v>354</v>
      </c>
      <c r="N1640" t="s">
        <v>355</v>
      </c>
      <c r="O1640" t="s">
        <v>356</v>
      </c>
      <c r="P1640" t="s">
        <v>2971</v>
      </c>
      <c r="Q1640" t="s">
        <v>356</v>
      </c>
      <c r="T1640">
        <v>46.815246283</v>
      </c>
      <c r="U1640">
        <v>-96.844450785999996</v>
      </c>
      <c r="V1640">
        <f>SUM(W1640:X1640)+(Y1640*0.8)+(Z1640*0.4)</f>
        <v>0.95</v>
      </c>
      <c r="W1640">
        <v>0.95</v>
      </c>
      <c r="X1640">
        <v>0</v>
      </c>
      <c r="Y1640">
        <v>0</v>
      </c>
      <c r="Z1640">
        <v>0</v>
      </c>
      <c r="AA1640" t="s">
        <v>43</v>
      </c>
      <c r="AB1640">
        <v>0.95</v>
      </c>
      <c r="AD1640" t="s">
        <v>3549</v>
      </c>
      <c r="AE1640" t="s">
        <v>3550</v>
      </c>
    </row>
    <row r="1641" spans="1:31" x14ac:dyDescent="0.25">
      <c r="A1641" t="s">
        <v>31</v>
      </c>
      <c r="C1641" t="s">
        <v>3710</v>
      </c>
      <c r="D1641" t="s">
        <v>3429</v>
      </c>
      <c r="E1641" t="s">
        <v>34</v>
      </c>
      <c r="F1641" t="s">
        <v>35</v>
      </c>
      <c r="G1641">
        <v>2008</v>
      </c>
      <c r="H1641" t="s">
        <v>36</v>
      </c>
      <c r="I1641" t="s">
        <v>3864</v>
      </c>
      <c r="J1641" t="s">
        <v>31</v>
      </c>
      <c r="K1641" t="s">
        <v>38</v>
      </c>
      <c r="L1641" t="s">
        <v>68</v>
      </c>
      <c r="M1641" t="s">
        <v>69</v>
      </c>
      <c r="N1641" t="s">
        <v>297</v>
      </c>
      <c r="O1641" t="s">
        <v>2116</v>
      </c>
      <c r="P1641" t="s">
        <v>3865</v>
      </c>
      <c r="T1641">
        <v>32.922885547999996</v>
      </c>
      <c r="U1641">
        <v>-96.791292200000001</v>
      </c>
      <c r="V1641">
        <f>SUM(W1641:X1641)+(Y1641*0.8)+(Z1641*0.4)</f>
        <v>0.94</v>
      </c>
      <c r="W1641">
        <v>0.94</v>
      </c>
      <c r="X1641">
        <v>0</v>
      </c>
      <c r="Y1641">
        <v>0</v>
      </c>
      <c r="Z1641">
        <v>0</v>
      </c>
      <c r="AA1641" t="s">
        <v>43</v>
      </c>
      <c r="AB1641">
        <v>0.85</v>
      </c>
      <c r="AD1641" t="s">
        <v>3866</v>
      </c>
      <c r="AE1641" t="s">
        <v>3867</v>
      </c>
    </row>
    <row r="1642" spans="1:31" x14ac:dyDescent="0.25">
      <c r="A1642" t="s">
        <v>31</v>
      </c>
      <c r="C1642" t="s">
        <v>10406</v>
      </c>
      <c r="D1642" t="s">
        <v>10548</v>
      </c>
      <c r="E1642" t="s">
        <v>34</v>
      </c>
      <c r="F1642" t="s">
        <v>35</v>
      </c>
      <c r="G1642">
        <v>2011</v>
      </c>
      <c r="H1642" t="s">
        <v>36</v>
      </c>
      <c r="I1642" t="s">
        <v>10549</v>
      </c>
      <c r="J1642" t="s">
        <v>31</v>
      </c>
      <c r="K1642" t="s">
        <v>38</v>
      </c>
      <c r="L1642" t="s">
        <v>843</v>
      </c>
      <c r="M1642" t="s">
        <v>1644</v>
      </c>
      <c r="N1642" t="s">
        <v>5625</v>
      </c>
      <c r="O1642" t="s">
        <v>10544</v>
      </c>
      <c r="P1642" t="s">
        <v>10545</v>
      </c>
      <c r="T1642">
        <v>47.671869991000001</v>
      </c>
      <c r="U1642">
        <v>-117.095898303</v>
      </c>
      <c r="V1642">
        <f>SUM(W1642:X1642)+(Y1642*0.8)+(Z1642*0.4)</f>
        <v>0.92</v>
      </c>
      <c r="W1642">
        <v>0.92</v>
      </c>
      <c r="X1642">
        <v>0</v>
      </c>
      <c r="Y1642">
        <v>0</v>
      </c>
      <c r="Z1642">
        <v>0</v>
      </c>
      <c r="AA1642" t="s">
        <v>43</v>
      </c>
      <c r="AB1642">
        <v>0.91800000000000004</v>
      </c>
      <c r="AD1642" t="s">
        <v>10550</v>
      </c>
      <c r="AE1642" t="s">
        <v>10551</v>
      </c>
    </row>
    <row r="1643" spans="1:31" x14ac:dyDescent="0.25">
      <c r="A1643" t="s">
        <v>31</v>
      </c>
      <c r="C1643" t="s">
        <v>8431</v>
      </c>
      <c r="D1643" t="s">
        <v>8439</v>
      </c>
      <c r="E1643" t="s">
        <v>34</v>
      </c>
      <c r="F1643" t="s">
        <v>35</v>
      </c>
      <c r="G1643">
        <v>2014</v>
      </c>
      <c r="H1643" t="s">
        <v>36</v>
      </c>
      <c r="I1643" t="s">
        <v>8440</v>
      </c>
      <c r="J1643" t="s">
        <v>31</v>
      </c>
      <c r="K1643" t="s">
        <v>38</v>
      </c>
      <c r="L1643" t="s">
        <v>49</v>
      </c>
      <c r="M1643" t="s">
        <v>50</v>
      </c>
      <c r="N1643" t="s">
        <v>51</v>
      </c>
      <c r="O1643" t="s">
        <v>52</v>
      </c>
      <c r="P1643" t="s">
        <v>53</v>
      </c>
      <c r="Q1643" t="s">
        <v>52</v>
      </c>
      <c r="S1643" t="s">
        <v>54</v>
      </c>
      <c r="T1643">
        <v>42.446242192</v>
      </c>
      <c r="U1643">
        <v>-83.256735937000002</v>
      </c>
      <c r="V1643">
        <f>SUM(W1643:X1643)+(Y1643*0.8)+(Z1643*0.4)</f>
        <v>0.9</v>
      </c>
      <c r="W1643">
        <v>0.9</v>
      </c>
      <c r="X1643">
        <v>0</v>
      </c>
      <c r="Y1643">
        <v>0</v>
      </c>
      <c r="Z1643">
        <v>0</v>
      </c>
      <c r="AA1643" t="s">
        <v>43</v>
      </c>
      <c r="AB1643">
        <v>0.63</v>
      </c>
      <c r="AD1643" t="s">
        <v>8441</v>
      </c>
      <c r="AE1643" t="s">
        <v>8442</v>
      </c>
    </row>
    <row r="1644" spans="1:31" x14ac:dyDescent="0.25">
      <c r="A1644" t="s">
        <v>31</v>
      </c>
      <c r="C1644" t="s">
        <v>6945</v>
      </c>
      <c r="D1644" t="s">
        <v>6952</v>
      </c>
      <c r="E1644" t="s">
        <v>34</v>
      </c>
      <c r="F1644" t="s">
        <v>35</v>
      </c>
      <c r="G1644">
        <v>2013</v>
      </c>
      <c r="H1644" t="s">
        <v>36</v>
      </c>
      <c r="I1644" t="s">
        <v>6953</v>
      </c>
      <c r="J1644" t="s">
        <v>31</v>
      </c>
      <c r="K1644" t="s">
        <v>38</v>
      </c>
      <c r="L1644" t="s">
        <v>828</v>
      </c>
      <c r="M1644" t="s">
        <v>829</v>
      </c>
      <c r="N1644" t="s">
        <v>419</v>
      </c>
      <c r="O1644" t="s">
        <v>6948</v>
      </c>
      <c r="P1644" t="s">
        <v>6949</v>
      </c>
      <c r="Q1644" t="s">
        <v>6948</v>
      </c>
      <c r="T1644">
        <v>44.943866821</v>
      </c>
      <c r="U1644">
        <v>-92.936864373000006</v>
      </c>
      <c r="V1644">
        <f>SUM(W1644:X1644)+(Y1644*0.8)+(Z1644*0.4)</f>
        <v>0.9</v>
      </c>
      <c r="W1644">
        <v>0.5</v>
      </c>
      <c r="X1644">
        <v>0</v>
      </c>
      <c r="Y1644">
        <v>0.5</v>
      </c>
      <c r="Z1644">
        <v>0</v>
      </c>
      <c r="AA1644" t="s">
        <v>43</v>
      </c>
      <c r="AB1644">
        <v>0</v>
      </c>
      <c r="AD1644" t="s">
        <v>6954</v>
      </c>
      <c r="AE1644" t="s">
        <v>6955</v>
      </c>
    </row>
    <row r="1645" spans="1:31" x14ac:dyDescent="0.25">
      <c r="A1645" t="s">
        <v>31</v>
      </c>
      <c r="C1645" t="s">
        <v>3551</v>
      </c>
      <c r="D1645" t="s">
        <v>3579</v>
      </c>
      <c r="E1645" t="s">
        <v>34</v>
      </c>
      <c r="F1645" t="s">
        <v>35</v>
      </c>
      <c r="G1645">
        <v>2010</v>
      </c>
      <c r="H1645" t="s">
        <v>36</v>
      </c>
      <c r="I1645" t="s">
        <v>3580</v>
      </c>
      <c r="J1645" t="s">
        <v>31</v>
      </c>
      <c r="K1645" t="s">
        <v>38</v>
      </c>
      <c r="L1645" t="s">
        <v>2437</v>
      </c>
      <c r="M1645" t="s">
        <v>2438</v>
      </c>
      <c r="N1645" t="s">
        <v>3581</v>
      </c>
      <c r="O1645" t="s">
        <v>3579</v>
      </c>
      <c r="P1645" t="s">
        <v>3582</v>
      </c>
      <c r="S1645" t="s">
        <v>3583</v>
      </c>
      <c r="T1645">
        <v>33.987747665999997</v>
      </c>
      <c r="U1645">
        <v>-81.030591114999993</v>
      </c>
      <c r="V1645">
        <f>SUM(W1645:X1645)+(Y1645*0.8)+(Z1645*0.4)</f>
        <v>0.9</v>
      </c>
      <c r="W1645">
        <v>0.9</v>
      </c>
      <c r="X1645">
        <v>0</v>
      </c>
      <c r="Y1645">
        <v>0</v>
      </c>
      <c r="Z1645">
        <v>0</v>
      </c>
      <c r="AA1645" t="s">
        <v>43</v>
      </c>
      <c r="AB1645">
        <v>0.72</v>
      </c>
      <c r="AD1645" t="s">
        <v>3584</v>
      </c>
      <c r="AE1645" t="s">
        <v>3585</v>
      </c>
    </row>
    <row r="1646" spans="1:31" x14ac:dyDescent="0.25">
      <c r="A1646" t="s">
        <v>31</v>
      </c>
      <c r="C1646" t="s">
        <v>6381</v>
      </c>
      <c r="D1646" t="s">
        <v>6437</v>
      </c>
      <c r="E1646" t="s">
        <v>34</v>
      </c>
      <c r="F1646" t="s">
        <v>35</v>
      </c>
      <c r="G1646">
        <v>2001</v>
      </c>
      <c r="H1646" t="s">
        <v>36</v>
      </c>
      <c r="I1646" t="s">
        <v>6438</v>
      </c>
      <c r="J1646" t="s">
        <v>31</v>
      </c>
      <c r="K1646" t="s">
        <v>38</v>
      </c>
      <c r="L1646" t="s">
        <v>260</v>
      </c>
      <c r="M1646" t="s">
        <v>261</v>
      </c>
      <c r="N1646" t="s">
        <v>262</v>
      </c>
      <c r="O1646" t="s">
        <v>263</v>
      </c>
      <c r="P1646" t="s">
        <v>6439</v>
      </c>
      <c r="S1646" t="s">
        <v>265</v>
      </c>
      <c r="T1646">
        <v>36.162831548</v>
      </c>
      <c r="U1646">
        <v>-86.776193929000002</v>
      </c>
      <c r="V1646">
        <f>SUM(W1646:X1646)+(Y1646*0.8)+(Z1646*0.4)</f>
        <v>0.9</v>
      </c>
      <c r="W1646">
        <v>0.9</v>
      </c>
      <c r="X1646">
        <v>0</v>
      </c>
      <c r="Y1646">
        <v>0</v>
      </c>
      <c r="Z1646">
        <v>0</v>
      </c>
      <c r="AA1646" t="s">
        <v>43</v>
      </c>
      <c r="AB1646">
        <v>0.7</v>
      </c>
      <c r="AD1646" t="s">
        <v>6440</v>
      </c>
      <c r="AE1646" t="s">
        <v>6441</v>
      </c>
    </row>
    <row r="1647" spans="1:31" x14ac:dyDescent="0.25">
      <c r="A1647" t="s">
        <v>31</v>
      </c>
      <c r="C1647" t="s">
        <v>3849</v>
      </c>
      <c r="D1647" t="s">
        <v>4216</v>
      </c>
      <c r="E1647" t="s">
        <v>34</v>
      </c>
      <c r="F1647" t="s">
        <v>66</v>
      </c>
      <c r="G1647">
        <v>2001</v>
      </c>
      <c r="H1647" t="s">
        <v>36</v>
      </c>
      <c r="I1647" t="s">
        <v>4217</v>
      </c>
      <c r="J1647" t="s">
        <v>31</v>
      </c>
      <c r="K1647" t="s">
        <v>38</v>
      </c>
      <c r="L1647" t="s">
        <v>383</v>
      </c>
      <c r="M1647" t="s">
        <v>384</v>
      </c>
      <c r="N1647" t="s">
        <v>2270</v>
      </c>
      <c r="O1647" t="s">
        <v>2271</v>
      </c>
      <c r="P1647" t="s">
        <v>2272</v>
      </c>
      <c r="S1647" t="s">
        <v>2273</v>
      </c>
      <c r="T1647">
        <v>35.222095603</v>
      </c>
      <c r="U1647">
        <v>-80.835288762999994</v>
      </c>
      <c r="V1647">
        <f>SUM(W1647:X1647)+(Y1647*0.8)+(Z1647*0.4)</f>
        <v>0.9</v>
      </c>
      <c r="W1647">
        <v>0.9</v>
      </c>
      <c r="X1647">
        <v>0</v>
      </c>
      <c r="Y1647">
        <v>0</v>
      </c>
      <c r="Z1647">
        <v>0</v>
      </c>
      <c r="AA1647" t="s">
        <v>43</v>
      </c>
      <c r="AB1647">
        <v>0.8</v>
      </c>
      <c r="AD1647" t="s">
        <v>4218</v>
      </c>
      <c r="AE1647" t="s">
        <v>4219</v>
      </c>
    </row>
    <row r="1648" spans="1:31" x14ac:dyDescent="0.25">
      <c r="A1648" t="s">
        <v>31</v>
      </c>
      <c r="C1648" t="s">
        <v>2584</v>
      </c>
      <c r="D1648" t="s">
        <v>2594</v>
      </c>
      <c r="E1648" t="s">
        <v>34</v>
      </c>
      <c r="F1648" t="s">
        <v>35</v>
      </c>
      <c r="G1648">
        <v>2000</v>
      </c>
      <c r="H1648" t="s">
        <v>36</v>
      </c>
      <c r="I1648" t="s">
        <v>2595</v>
      </c>
      <c r="J1648" t="s">
        <v>31</v>
      </c>
      <c r="K1648" t="s">
        <v>38</v>
      </c>
      <c r="L1648" t="s">
        <v>172</v>
      </c>
      <c r="M1648" t="s">
        <v>173</v>
      </c>
      <c r="N1648" t="s">
        <v>2596</v>
      </c>
      <c r="O1648" t="s">
        <v>2597</v>
      </c>
      <c r="P1648" t="s">
        <v>2598</v>
      </c>
      <c r="S1648" t="s">
        <v>138</v>
      </c>
      <c r="T1648">
        <v>37.805911100000003</v>
      </c>
      <c r="U1648">
        <v>-122.26826667500001</v>
      </c>
      <c r="V1648">
        <f>SUM(W1648:X1648)+(Y1648*0.8)+(Z1648*0.4)</f>
        <v>0.9</v>
      </c>
      <c r="W1648">
        <v>0.9</v>
      </c>
      <c r="X1648">
        <v>0</v>
      </c>
      <c r="Y1648">
        <v>0</v>
      </c>
      <c r="Z1648">
        <v>0</v>
      </c>
      <c r="AA1648" t="s">
        <v>43</v>
      </c>
      <c r="AB1648">
        <v>0.9</v>
      </c>
      <c r="AD1648" t="s">
        <v>2599</v>
      </c>
      <c r="AE1648" t="s">
        <v>2600</v>
      </c>
    </row>
    <row r="1649" spans="1:31" x14ac:dyDescent="0.25">
      <c r="A1649" t="s">
        <v>31</v>
      </c>
      <c r="C1649" t="s">
        <v>3988</v>
      </c>
      <c r="D1649" t="s">
        <v>3989</v>
      </c>
      <c r="E1649" t="s">
        <v>34</v>
      </c>
      <c r="F1649" t="s">
        <v>35</v>
      </c>
      <c r="G1649">
        <v>1999</v>
      </c>
      <c r="H1649" t="s">
        <v>36</v>
      </c>
      <c r="I1649" t="s">
        <v>3990</v>
      </c>
      <c r="J1649" t="s">
        <v>31</v>
      </c>
      <c r="K1649" t="s">
        <v>38</v>
      </c>
      <c r="L1649" t="s">
        <v>172</v>
      </c>
      <c r="M1649" t="s">
        <v>173</v>
      </c>
      <c r="N1649" t="s">
        <v>174</v>
      </c>
      <c r="O1649" t="s">
        <v>175</v>
      </c>
      <c r="P1649" t="s">
        <v>176</v>
      </c>
      <c r="T1649">
        <v>38.594503158000002</v>
      </c>
      <c r="U1649">
        <v>-121.268312927</v>
      </c>
      <c r="V1649">
        <f>SUM(W1649:X1649)+(Y1649*0.8)+(Z1649*0.4)</f>
        <v>0.9</v>
      </c>
      <c r="W1649">
        <v>0.9</v>
      </c>
      <c r="X1649">
        <v>0</v>
      </c>
      <c r="Y1649">
        <v>0</v>
      </c>
      <c r="Z1649">
        <v>0</v>
      </c>
      <c r="AA1649" t="s">
        <v>43</v>
      </c>
      <c r="AB1649">
        <v>0.84</v>
      </c>
      <c r="AD1649" t="s">
        <v>3991</v>
      </c>
      <c r="AE1649" t="s">
        <v>3992</v>
      </c>
    </row>
    <row r="1650" spans="1:31" x14ac:dyDescent="0.25">
      <c r="A1650" t="s">
        <v>31</v>
      </c>
      <c r="C1650" t="s">
        <v>7495</v>
      </c>
      <c r="D1650" t="s">
        <v>7496</v>
      </c>
      <c r="E1650" t="s">
        <v>34</v>
      </c>
      <c r="F1650" t="s">
        <v>35</v>
      </c>
      <c r="G1650">
        <v>1996</v>
      </c>
      <c r="H1650" t="s">
        <v>36</v>
      </c>
      <c r="I1650" t="s">
        <v>7497</v>
      </c>
      <c r="J1650" t="s">
        <v>31</v>
      </c>
      <c r="K1650" t="s">
        <v>38</v>
      </c>
      <c r="L1650" t="s">
        <v>172</v>
      </c>
      <c r="M1650" t="s">
        <v>173</v>
      </c>
      <c r="N1650" t="s">
        <v>2023</v>
      </c>
      <c r="O1650" t="s">
        <v>2021</v>
      </c>
      <c r="P1650" t="s">
        <v>2648</v>
      </c>
      <c r="T1650">
        <v>32.896972458</v>
      </c>
      <c r="U1650">
        <v>-117.20122823200001</v>
      </c>
      <c r="V1650">
        <f>SUM(W1650:X1650)+(Y1650*0.8)+(Z1650*0.4)</f>
        <v>0.9</v>
      </c>
      <c r="W1650">
        <v>0.9</v>
      </c>
      <c r="X1650">
        <v>0</v>
      </c>
      <c r="Y1650">
        <v>0</v>
      </c>
      <c r="Z1650">
        <v>0</v>
      </c>
      <c r="AA1650" t="s">
        <v>43</v>
      </c>
      <c r="AB1650">
        <v>0.9</v>
      </c>
      <c r="AD1650" t="s">
        <v>7498</v>
      </c>
      <c r="AE1650" t="s">
        <v>7499</v>
      </c>
    </row>
    <row r="1651" spans="1:31" x14ac:dyDescent="0.25">
      <c r="A1651" t="s">
        <v>31</v>
      </c>
      <c r="C1651" t="s">
        <v>11247</v>
      </c>
      <c r="D1651" t="s">
        <v>11248</v>
      </c>
      <c r="E1651" t="s">
        <v>362</v>
      </c>
      <c r="F1651" t="s">
        <v>1611</v>
      </c>
      <c r="G1651">
        <v>1993</v>
      </c>
      <c r="H1651" t="s">
        <v>36</v>
      </c>
      <c r="I1651" t="s">
        <v>11249</v>
      </c>
      <c r="J1651" t="s">
        <v>31</v>
      </c>
      <c r="K1651" t="s">
        <v>38</v>
      </c>
      <c r="L1651" t="s">
        <v>153</v>
      </c>
      <c r="M1651" t="s">
        <v>154</v>
      </c>
      <c r="N1651" t="s">
        <v>1843</v>
      </c>
      <c r="O1651" t="s">
        <v>1844</v>
      </c>
      <c r="P1651" t="s">
        <v>11250</v>
      </c>
      <c r="Q1651" t="s">
        <v>1844</v>
      </c>
      <c r="T1651">
        <v>40.754931403999997</v>
      </c>
      <c r="U1651">
        <v>-96.683135801999995</v>
      </c>
      <c r="V1651">
        <f>SUM(W1651:X1651)+(Y1651*0.8)+(Z1651*0.4)</f>
        <v>0.9</v>
      </c>
      <c r="W1651">
        <v>0.9</v>
      </c>
      <c r="X1651">
        <v>0</v>
      </c>
      <c r="Y1651">
        <v>0</v>
      </c>
      <c r="Z1651">
        <v>0</v>
      </c>
      <c r="AA1651" t="s">
        <v>43</v>
      </c>
      <c r="AB1651">
        <v>0.9</v>
      </c>
      <c r="AD1651" t="s">
        <v>11251</v>
      </c>
      <c r="AE1651" t="s">
        <v>11252</v>
      </c>
    </row>
    <row r="1652" spans="1:31" x14ac:dyDescent="0.25">
      <c r="A1652" t="s">
        <v>31</v>
      </c>
      <c r="C1652" t="s">
        <v>2706</v>
      </c>
      <c r="D1652" t="s">
        <v>2748</v>
      </c>
      <c r="E1652" t="s">
        <v>34</v>
      </c>
      <c r="F1652" t="s">
        <v>35</v>
      </c>
      <c r="G1652">
        <v>2004</v>
      </c>
      <c r="H1652" t="s">
        <v>36</v>
      </c>
      <c r="I1652" t="s">
        <v>2749</v>
      </c>
      <c r="J1652" t="s">
        <v>31</v>
      </c>
      <c r="K1652" t="s">
        <v>38</v>
      </c>
      <c r="L1652" t="s">
        <v>202</v>
      </c>
      <c r="M1652" t="s">
        <v>203</v>
      </c>
      <c r="N1652" t="s">
        <v>2750</v>
      </c>
      <c r="O1652" t="s">
        <v>2751</v>
      </c>
      <c r="P1652" t="s">
        <v>2752</v>
      </c>
      <c r="Q1652" t="s">
        <v>2753</v>
      </c>
      <c r="T1652">
        <v>30.331485595</v>
      </c>
      <c r="U1652">
        <v>-81.662528062000007</v>
      </c>
      <c r="V1652">
        <f>SUM(W1652:X1652)+(Y1652*0.8)+(Z1652*0.4)</f>
        <v>0.88500000000000001</v>
      </c>
      <c r="W1652">
        <v>0.88500000000000001</v>
      </c>
      <c r="X1652">
        <v>0</v>
      </c>
      <c r="Y1652">
        <v>0</v>
      </c>
      <c r="Z1652">
        <v>0</v>
      </c>
      <c r="AA1652" t="s">
        <v>43</v>
      </c>
      <c r="AB1652">
        <v>0.35</v>
      </c>
      <c r="AC1652">
        <v>2.9</v>
      </c>
      <c r="AD1652" t="s">
        <v>2754</v>
      </c>
      <c r="AE1652" t="s">
        <v>2755</v>
      </c>
    </row>
    <row r="1653" spans="1:31" x14ac:dyDescent="0.25">
      <c r="A1653" t="s">
        <v>31</v>
      </c>
      <c r="C1653" t="s">
        <v>5765</v>
      </c>
      <c r="D1653" t="s">
        <v>5766</v>
      </c>
      <c r="E1653" t="s">
        <v>34</v>
      </c>
      <c r="F1653" t="s">
        <v>35</v>
      </c>
      <c r="G1653">
        <v>2012</v>
      </c>
      <c r="H1653" t="s">
        <v>36</v>
      </c>
      <c r="I1653" t="s">
        <v>5767</v>
      </c>
      <c r="J1653" t="s">
        <v>31</v>
      </c>
      <c r="K1653" t="s">
        <v>38</v>
      </c>
      <c r="L1653" t="s">
        <v>77</v>
      </c>
      <c r="M1653" t="s">
        <v>78</v>
      </c>
      <c r="N1653" t="s">
        <v>478</v>
      </c>
      <c r="O1653" t="s">
        <v>5766</v>
      </c>
      <c r="P1653" t="s">
        <v>5768</v>
      </c>
      <c r="Q1653" t="s">
        <v>2798</v>
      </c>
      <c r="T1653">
        <v>40.635714040000003</v>
      </c>
      <c r="U1653">
        <v>-75.457550019999999</v>
      </c>
      <c r="V1653">
        <f>SUM(W1653:X1653)+(Y1653*0.8)+(Z1653*0.4)</f>
        <v>0.84899999999999998</v>
      </c>
      <c r="W1653">
        <v>0.84899999999999998</v>
      </c>
      <c r="X1653">
        <v>0</v>
      </c>
      <c r="Y1653">
        <v>0</v>
      </c>
      <c r="Z1653">
        <v>0</v>
      </c>
      <c r="AA1653" t="s">
        <v>43</v>
      </c>
      <c r="AB1653">
        <v>0.84499999999999997</v>
      </c>
      <c r="AD1653" t="s">
        <v>5769</v>
      </c>
      <c r="AE1653" t="s">
        <v>5770</v>
      </c>
    </row>
    <row r="1654" spans="1:31" x14ac:dyDescent="0.25">
      <c r="A1654" t="s">
        <v>31</v>
      </c>
      <c r="C1654" t="s">
        <v>9410</v>
      </c>
      <c r="D1654" t="s">
        <v>8208</v>
      </c>
      <c r="E1654" t="s">
        <v>34</v>
      </c>
      <c r="F1654" t="s">
        <v>35</v>
      </c>
      <c r="G1654">
        <v>2009</v>
      </c>
      <c r="H1654" t="s">
        <v>36</v>
      </c>
      <c r="I1654" t="s">
        <v>9411</v>
      </c>
      <c r="J1654" t="s">
        <v>31</v>
      </c>
      <c r="K1654" t="s">
        <v>38</v>
      </c>
      <c r="L1654" t="s">
        <v>1819</v>
      </c>
      <c r="M1654" t="s">
        <v>1820</v>
      </c>
      <c r="N1654" t="s">
        <v>8210</v>
      </c>
      <c r="O1654" t="s">
        <v>8208</v>
      </c>
      <c r="P1654" t="s">
        <v>9412</v>
      </c>
      <c r="T1654">
        <v>35.466968041000001</v>
      </c>
      <c r="U1654">
        <v>-97.649536546999997</v>
      </c>
      <c r="V1654">
        <f>SUM(W1654:X1654)+(Y1654*0.8)+(Z1654*0.4)</f>
        <v>0.84</v>
      </c>
      <c r="W1654">
        <v>0.84</v>
      </c>
      <c r="X1654">
        <v>0</v>
      </c>
      <c r="Y1654">
        <v>0</v>
      </c>
      <c r="Z1654">
        <v>0</v>
      </c>
      <c r="AA1654" t="s">
        <v>43</v>
      </c>
      <c r="AB1654">
        <v>0</v>
      </c>
      <c r="AD1654" t="s">
        <v>9413</v>
      </c>
      <c r="AE1654" t="s">
        <v>9414</v>
      </c>
    </row>
    <row r="1655" spans="1:31" x14ac:dyDescent="0.25">
      <c r="A1655" t="s">
        <v>31</v>
      </c>
      <c r="C1655" t="s">
        <v>169</v>
      </c>
      <c r="D1655" t="s">
        <v>240</v>
      </c>
      <c r="E1655" t="s">
        <v>34</v>
      </c>
      <c r="F1655" t="s">
        <v>35</v>
      </c>
      <c r="G1655">
        <v>1995</v>
      </c>
      <c r="H1655" t="s">
        <v>36</v>
      </c>
      <c r="I1655" t="s">
        <v>241</v>
      </c>
      <c r="J1655" t="s">
        <v>31</v>
      </c>
      <c r="K1655" t="s">
        <v>38</v>
      </c>
      <c r="L1655" t="s">
        <v>242</v>
      </c>
      <c r="M1655" t="s">
        <v>243</v>
      </c>
      <c r="N1655" t="s">
        <v>244</v>
      </c>
      <c r="O1655" t="s">
        <v>245</v>
      </c>
      <c r="P1655" t="s">
        <v>246</v>
      </c>
      <c r="T1655">
        <v>38.934632401000002</v>
      </c>
      <c r="U1655">
        <v>-77.428733718000004</v>
      </c>
      <c r="V1655">
        <f>SUM(W1655:X1655)+(Y1655*0.8)+(Z1655*0.4)</f>
        <v>0.83</v>
      </c>
      <c r="W1655">
        <v>0.83</v>
      </c>
      <c r="X1655">
        <v>0</v>
      </c>
      <c r="Y1655">
        <v>0</v>
      </c>
      <c r="Z1655">
        <v>0</v>
      </c>
      <c r="AA1655" t="s">
        <v>43</v>
      </c>
      <c r="AB1655">
        <v>0.82</v>
      </c>
      <c r="AD1655" t="s">
        <v>247</v>
      </c>
      <c r="AE1655" t="s">
        <v>248</v>
      </c>
    </row>
    <row r="1656" spans="1:31" x14ac:dyDescent="0.25">
      <c r="A1656" t="s">
        <v>31</v>
      </c>
      <c r="C1656" t="s">
        <v>1530</v>
      </c>
      <c r="D1656" t="s">
        <v>1580</v>
      </c>
      <c r="E1656" t="s">
        <v>34</v>
      </c>
      <c r="F1656" t="s">
        <v>35</v>
      </c>
      <c r="G1656">
        <v>2007</v>
      </c>
      <c r="H1656" t="s">
        <v>36</v>
      </c>
      <c r="I1656" t="s">
        <v>1581</v>
      </c>
      <c r="J1656" t="s">
        <v>31</v>
      </c>
      <c r="K1656" t="s">
        <v>38</v>
      </c>
      <c r="L1656" t="s">
        <v>1433</v>
      </c>
      <c r="M1656" t="s">
        <v>1434</v>
      </c>
      <c r="N1656" t="s">
        <v>1582</v>
      </c>
      <c r="O1656" t="s">
        <v>1580</v>
      </c>
      <c r="P1656" t="s">
        <v>1583</v>
      </c>
      <c r="T1656">
        <v>42.052883833999999</v>
      </c>
      <c r="U1656">
        <v>-91.554271252000007</v>
      </c>
      <c r="V1656">
        <f>SUM(W1656:X1656)+(Y1656*0.8)+(Z1656*0.4)</f>
        <v>0.81</v>
      </c>
      <c r="W1656">
        <v>0.81</v>
      </c>
      <c r="X1656">
        <v>0</v>
      </c>
      <c r="Y1656">
        <v>0</v>
      </c>
      <c r="Z1656">
        <v>0</v>
      </c>
      <c r="AA1656" t="s">
        <v>43</v>
      </c>
      <c r="AB1656">
        <v>0.40500000000000003</v>
      </c>
      <c r="AD1656" t="s">
        <v>1584</v>
      </c>
      <c r="AE1656" t="s">
        <v>1585</v>
      </c>
    </row>
    <row r="1657" spans="1:31" x14ac:dyDescent="0.25">
      <c r="A1657" t="s">
        <v>31</v>
      </c>
      <c r="C1657" t="s">
        <v>2427</v>
      </c>
      <c r="D1657" t="s">
        <v>2428</v>
      </c>
      <c r="E1657" t="s">
        <v>362</v>
      </c>
      <c r="F1657" t="s">
        <v>630</v>
      </c>
      <c r="G1657">
        <v>2017</v>
      </c>
      <c r="H1657" t="s">
        <v>36</v>
      </c>
      <c r="I1657" t="s">
        <v>2429</v>
      </c>
      <c r="J1657" t="s">
        <v>31</v>
      </c>
      <c r="K1657" t="s">
        <v>38</v>
      </c>
      <c r="L1657" t="s">
        <v>1819</v>
      </c>
      <c r="M1657" t="s">
        <v>1820</v>
      </c>
      <c r="N1657" t="s">
        <v>2430</v>
      </c>
      <c r="O1657" t="s">
        <v>2428</v>
      </c>
      <c r="P1657" t="s">
        <v>2431</v>
      </c>
      <c r="T1657">
        <v>33.971704269999996</v>
      </c>
      <c r="U1657">
        <v>-96.402876092</v>
      </c>
      <c r="V1657">
        <f>SUM(W1657:X1657)+(Y1657*0.8)+(Z1657*0.4)</f>
        <v>0.8</v>
      </c>
      <c r="W1657">
        <v>0.8</v>
      </c>
      <c r="X1657">
        <v>0</v>
      </c>
      <c r="Y1657">
        <v>0</v>
      </c>
      <c r="Z1657">
        <v>0</v>
      </c>
      <c r="AA1657" t="s">
        <v>43</v>
      </c>
      <c r="AB1657">
        <v>0.8</v>
      </c>
      <c r="AD1657" t="s">
        <v>2432</v>
      </c>
      <c r="AE1657" t="s">
        <v>2433</v>
      </c>
    </row>
    <row r="1658" spans="1:31" x14ac:dyDescent="0.25">
      <c r="A1658" t="s">
        <v>31</v>
      </c>
      <c r="C1658" t="s">
        <v>4801</v>
      </c>
      <c r="D1658" t="s">
        <v>4899</v>
      </c>
      <c r="E1658" t="s">
        <v>34</v>
      </c>
      <c r="F1658" t="s">
        <v>66</v>
      </c>
      <c r="G1658">
        <v>2015</v>
      </c>
      <c r="H1658" t="s">
        <v>36</v>
      </c>
      <c r="I1658" t="s">
        <v>4900</v>
      </c>
      <c r="J1658" t="s">
        <v>31</v>
      </c>
      <c r="K1658" t="s">
        <v>38</v>
      </c>
      <c r="L1658" t="s">
        <v>242</v>
      </c>
      <c r="M1658" t="s">
        <v>243</v>
      </c>
      <c r="O1658" t="s">
        <v>4901</v>
      </c>
      <c r="P1658" t="s">
        <v>4902</v>
      </c>
      <c r="S1658" t="s">
        <v>4903</v>
      </c>
      <c r="T1658">
        <v>36.861800000000002</v>
      </c>
      <c r="U1658">
        <v>-76.235352000000006</v>
      </c>
      <c r="V1658">
        <f>SUM(W1658:X1658)+(Y1658*0.8)+(Z1658*0.4)</f>
        <v>0.8</v>
      </c>
      <c r="W1658">
        <v>0.8</v>
      </c>
      <c r="X1658">
        <v>0</v>
      </c>
      <c r="Y1658">
        <v>0</v>
      </c>
      <c r="Z1658">
        <v>0</v>
      </c>
      <c r="AA1658" t="s">
        <v>43</v>
      </c>
      <c r="AB1658">
        <v>0.66500000000000004</v>
      </c>
      <c r="AD1658" t="s">
        <v>4904</v>
      </c>
      <c r="AE1658" t="s">
        <v>4905</v>
      </c>
    </row>
    <row r="1659" spans="1:31" x14ac:dyDescent="0.25">
      <c r="A1659" t="s">
        <v>31</v>
      </c>
      <c r="C1659" t="s">
        <v>10398</v>
      </c>
      <c r="D1659" t="s">
        <v>9787</v>
      </c>
      <c r="E1659" t="s">
        <v>34</v>
      </c>
      <c r="F1659" t="s">
        <v>35</v>
      </c>
      <c r="G1659">
        <v>2014</v>
      </c>
      <c r="H1659" t="s">
        <v>36</v>
      </c>
      <c r="I1659" t="s">
        <v>10399</v>
      </c>
      <c r="J1659" t="s">
        <v>31</v>
      </c>
      <c r="K1659" t="s">
        <v>38</v>
      </c>
      <c r="L1659" t="s">
        <v>68</v>
      </c>
      <c r="M1659" t="s">
        <v>69</v>
      </c>
      <c r="N1659" t="s">
        <v>1350</v>
      </c>
      <c r="O1659" t="s">
        <v>9787</v>
      </c>
      <c r="P1659" t="s">
        <v>9788</v>
      </c>
      <c r="T1659">
        <v>30.421149073999999</v>
      </c>
      <c r="U1659">
        <v>-97.591619112000004</v>
      </c>
      <c r="V1659">
        <f>SUM(W1659:X1659)+(Y1659*0.8)+(Z1659*0.4)</f>
        <v>0.8</v>
      </c>
      <c r="W1659">
        <v>0.8</v>
      </c>
      <c r="X1659">
        <v>0</v>
      </c>
      <c r="Y1659">
        <v>0</v>
      </c>
      <c r="Z1659">
        <v>0</v>
      </c>
      <c r="AA1659" t="s">
        <v>43</v>
      </c>
      <c r="AB1659">
        <v>0.8</v>
      </c>
      <c r="AD1659" t="s">
        <v>10400</v>
      </c>
      <c r="AE1659" t="s">
        <v>10401</v>
      </c>
    </row>
    <row r="1660" spans="1:31" x14ac:dyDescent="0.25">
      <c r="A1660" t="s">
        <v>31</v>
      </c>
      <c r="C1660" t="s">
        <v>5543</v>
      </c>
      <c r="D1660" t="s">
        <v>5608</v>
      </c>
      <c r="E1660" t="s">
        <v>34</v>
      </c>
      <c r="F1660" t="s">
        <v>35</v>
      </c>
      <c r="G1660">
        <v>2013</v>
      </c>
      <c r="H1660" t="s">
        <v>36</v>
      </c>
      <c r="I1660" t="s">
        <v>5609</v>
      </c>
      <c r="J1660" t="s">
        <v>31</v>
      </c>
      <c r="K1660" t="s">
        <v>38</v>
      </c>
      <c r="L1660" t="s">
        <v>448</v>
      </c>
      <c r="M1660" t="s">
        <v>449</v>
      </c>
      <c r="N1660" t="s">
        <v>5610</v>
      </c>
      <c r="O1660" t="s">
        <v>5611</v>
      </c>
      <c r="P1660" t="s">
        <v>5612</v>
      </c>
      <c r="Q1660" t="s">
        <v>4157</v>
      </c>
      <c r="T1660">
        <v>39.427173603999996</v>
      </c>
      <c r="U1660">
        <v>-76.811768599999994</v>
      </c>
      <c r="V1660">
        <f>SUM(W1660:X1660)+(Y1660*0.8)+(Z1660*0.4)</f>
        <v>0.8</v>
      </c>
      <c r="W1660">
        <v>0.8</v>
      </c>
      <c r="X1660">
        <v>0</v>
      </c>
      <c r="Y1660">
        <v>0</v>
      </c>
      <c r="Z1660">
        <v>0</v>
      </c>
      <c r="AA1660" t="s">
        <v>43</v>
      </c>
      <c r="AB1660">
        <v>0.79200000000000004</v>
      </c>
      <c r="AD1660" t="s">
        <v>5613</v>
      </c>
      <c r="AE1660" t="s">
        <v>5614</v>
      </c>
    </row>
    <row r="1661" spans="1:31" x14ac:dyDescent="0.25">
      <c r="A1661" t="s">
        <v>31</v>
      </c>
      <c r="C1661" t="s">
        <v>10406</v>
      </c>
      <c r="D1661" t="s">
        <v>10536</v>
      </c>
      <c r="E1661" t="s">
        <v>34</v>
      </c>
      <c r="F1661" t="s">
        <v>35</v>
      </c>
      <c r="G1661">
        <v>2012</v>
      </c>
      <c r="H1661" t="s">
        <v>36</v>
      </c>
      <c r="I1661" t="s">
        <v>10537</v>
      </c>
      <c r="J1661" t="s">
        <v>31</v>
      </c>
      <c r="K1661" t="s">
        <v>38</v>
      </c>
      <c r="L1661" t="s">
        <v>1465</v>
      </c>
      <c r="M1661" t="s">
        <v>1466</v>
      </c>
      <c r="N1661" t="s">
        <v>8190</v>
      </c>
      <c r="O1661" t="s">
        <v>8191</v>
      </c>
      <c r="P1661" t="s">
        <v>10538</v>
      </c>
      <c r="Q1661" t="s">
        <v>10539</v>
      </c>
      <c r="T1661">
        <v>43.607727607000001</v>
      </c>
      <c r="U1661">
        <v>-96.809064059999997</v>
      </c>
      <c r="V1661">
        <f>SUM(W1661:X1661)+(Y1661*0.8)+(Z1661*0.4)</f>
        <v>0.8</v>
      </c>
      <c r="W1661">
        <v>0.6</v>
      </c>
      <c r="X1661">
        <v>0.2</v>
      </c>
      <c r="Y1661">
        <v>0</v>
      </c>
      <c r="Z1661">
        <v>0</v>
      </c>
      <c r="AA1661" t="s">
        <v>43</v>
      </c>
      <c r="AB1661">
        <v>0.38</v>
      </c>
      <c r="AD1661" t="s">
        <v>10540</v>
      </c>
      <c r="AE1661" t="s">
        <v>10541</v>
      </c>
    </row>
    <row r="1662" spans="1:31" x14ac:dyDescent="0.25">
      <c r="A1662" t="s">
        <v>31</v>
      </c>
      <c r="C1662" t="s">
        <v>6590</v>
      </c>
      <c r="D1662" t="s">
        <v>6591</v>
      </c>
      <c r="E1662" t="s">
        <v>34</v>
      </c>
      <c r="F1662" t="s">
        <v>35</v>
      </c>
      <c r="G1662">
        <v>2012</v>
      </c>
      <c r="H1662" t="s">
        <v>36</v>
      </c>
      <c r="I1662" t="s">
        <v>6592</v>
      </c>
      <c r="J1662" t="s">
        <v>31</v>
      </c>
      <c r="K1662" t="s">
        <v>38</v>
      </c>
      <c r="L1662" t="s">
        <v>242</v>
      </c>
      <c r="M1662" t="s">
        <v>243</v>
      </c>
      <c r="N1662" t="s">
        <v>244</v>
      </c>
      <c r="O1662" t="s">
        <v>2653</v>
      </c>
      <c r="P1662" t="s">
        <v>2320</v>
      </c>
      <c r="T1662">
        <v>38.922467492999999</v>
      </c>
      <c r="U1662">
        <v>-77.227325630999999</v>
      </c>
      <c r="V1662">
        <f>SUM(W1662:X1662)+(Y1662*0.8)+(Z1662*0.4)</f>
        <v>0.8</v>
      </c>
      <c r="W1662">
        <v>0.8</v>
      </c>
      <c r="X1662">
        <v>0</v>
      </c>
      <c r="Y1662">
        <v>0</v>
      </c>
      <c r="Z1662">
        <v>0</v>
      </c>
      <c r="AA1662" t="s">
        <v>43</v>
      </c>
      <c r="AB1662">
        <v>0.67500000000000004</v>
      </c>
      <c r="AD1662" t="s">
        <v>6593</v>
      </c>
      <c r="AE1662" t="s">
        <v>6594</v>
      </c>
    </row>
    <row r="1663" spans="1:31" x14ac:dyDescent="0.25">
      <c r="A1663" t="s">
        <v>31</v>
      </c>
      <c r="C1663" t="s">
        <v>3710</v>
      </c>
      <c r="D1663" t="s">
        <v>3749</v>
      </c>
      <c r="E1663" t="s">
        <v>34</v>
      </c>
      <c r="F1663" t="s">
        <v>35</v>
      </c>
      <c r="G1663">
        <v>2009</v>
      </c>
      <c r="H1663" t="s">
        <v>36</v>
      </c>
      <c r="I1663" t="s">
        <v>3750</v>
      </c>
      <c r="J1663" t="s">
        <v>31</v>
      </c>
      <c r="K1663" t="s">
        <v>38</v>
      </c>
      <c r="L1663" t="s">
        <v>68</v>
      </c>
      <c r="M1663" t="s">
        <v>69</v>
      </c>
      <c r="N1663" t="s">
        <v>3751</v>
      </c>
      <c r="O1663" t="s">
        <v>3752</v>
      </c>
      <c r="P1663" t="s">
        <v>3753</v>
      </c>
      <c r="T1663">
        <v>31.555145736</v>
      </c>
      <c r="U1663">
        <v>-97.133490657999999</v>
      </c>
      <c r="V1663">
        <f>SUM(W1663:X1663)+(Y1663*0.8)+(Z1663*0.4)</f>
        <v>0.8</v>
      </c>
      <c r="W1663">
        <v>0.8</v>
      </c>
      <c r="X1663">
        <v>0</v>
      </c>
      <c r="Y1663">
        <v>0</v>
      </c>
      <c r="Z1663">
        <v>0</v>
      </c>
      <c r="AA1663" t="s">
        <v>43</v>
      </c>
      <c r="AB1663">
        <v>0.8</v>
      </c>
      <c r="AD1663" t="s">
        <v>3754</v>
      </c>
      <c r="AE1663" t="s">
        <v>3755</v>
      </c>
    </row>
    <row r="1664" spans="1:31" x14ac:dyDescent="0.25">
      <c r="A1664" t="s">
        <v>31</v>
      </c>
      <c r="C1664" t="s">
        <v>6514</v>
      </c>
      <c r="D1664" t="s">
        <v>6515</v>
      </c>
      <c r="E1664" t="s">
        <v>362</v>
      </c>
      <c r="F1664" t="s">
        <v>630</v>
      </c>
      <c r="G1664">
        <v>2007</v>
      </c>
      <c r="H1664" t="s">
        <v>36</v>
      </c>
      <c r="I1664" t="s">
        <v>6516</v>
      </c>
      <c r="J1664" t="s">
        <v>31</v>
      </c>
      <c r="K1664" t="s">
        <v>38</v>
      </c>
      <c r="L1664" t="s">
        <v>1146</v>
      </c>
      <c r="M1664" t="s">
        <v>1147</v>
      </c>
      <c r="N1664" t="s">
        <v>2501</v>
      </c>
      <c r="O1664" t="s">
        <v>6517</v>
      </c>
      <c r="P1664" t="s">
        <v>6518</v>
      </c>
      <c r="T1664">
        <v>30.434047521</v>
      </c>
      <c r="U1664">
        <v>-89.184855201000005</v>
      </c>
      <c r="V1664">
        <f>SUM(W1664:X1664)+(Y1664*0.8)+(Z1664*0.4)</f>
        <v>0.8</v>
      </c>
      <c r="W1664">
        <v>0.8</v>
      </c>
      <c r="X1664">
        <v>0</v>
      </c>
      <c r="Y1664">
        <v>0</v>
      </c>
      <c r="Z1664">
        <v>0</v>
      </c>
      <c r="AA1664" t="s">
        <v>43</v>
      </c>
      <c r="AB1664">
        <v>0.8</v>
      </c>
      <c r="AD1664" t="s">
        <v>6519</v>
      </c>
      <c r="AE1664" t="s">
        <v>6520</v>
      </c>
    </row>
    <row r="1665" spans="1:31" x14ac:dyDescent="0.25">
      <c r="A1665" t="s">
        <v>31</v>
      </c>
      <c r="C1665" t="s">
        <v>10815</v>
      </c>
      <c r="D1665" t="s">
        <v>10816</v>
      </c>
      <c r="E1665" t="s">
        <v>34</v>
      </c>
      <c r="F1665" t="s">
        <v>35</v>
      </c>
      <c r="G1665">
        <v>2004</v>
      </c>
      <c r="H1665" t="s">
        <v>36</v>
      </c>
      <c r="I1665" t="s">
        <v>10817</v>
      </c>
      <c r="J1665" t="s">
        <v>31</v>
      </c>
      <c r="K1665" t="s">
        <v>38</v>
      </c>
      <c r="L1665" t="s">
        <v>1433</v>
      </c>
      <c r="M1665" t="s">
        <v>1434</v>
      </c>
      <c r="N1665" t="s">
        <v>10818</v>
      </c>
      <c r="O1665" t="s">
        <v>10816</v>
      </c>
      <c r="P1665" t="s">
        <v>10819</v>
      </c>
      <c r="T1665">
        <v>42.473895079999998</v>
      </c>
      <c r="U1665">
        <v>-92.458744254999999</v>
      </c>
      <c r="V1665">
        <f>SUM(W1665:X1665)+(Y1665*0.8)+(Z1665*0.4)</f>
        <v>0.8</v>
      </c>
      <c r="W1665">
        <v>0.8</v>
      </c>
      <c r="X1665">
        <v>0</v>
      </c>
      <c r="Y1665">
        <v>0</v>
      </c>
      <c r="Z1665">
        <v>0</v>
      </c>
      <c r="AA1665" t="s">
        <v>43</v>
      </c>
      <c r="AB1665">
        <v>0.56000000000000005</v>
      </c>
      <c r="AD1665" t="s">
        <v>10820</v>
      </c>
      <c r="AE1665" t="s">
        <v>10821</v>
      </c>
    </row>
    <row r="1666" spans="1:31" x14ac:dyDescent="0.25">
      <c r="A1666" t="s">
        <v>31</v>
      </c>
      <c r="C1666" t="s">
        <v>3230</v>
      </c>
      <c r="D1666" t="s">
        <v>3256</v>
      </c>
      <c r="E1666" t="s">
        <v>34</v>
      </c>
      <c r="F1666" t="s">
        <v>35</v>
      </c>
      <c r="G1666">
        <v>2001</v>
      </c>
      <c r="H1666" t="s">
        <v>36</v>
      </c>
      <c r="I1666" t="s">
        <v>3257</v>
      </c>
      <c r="J1666" t="s">
        <v>31</v>
      </c>
      <c r="K1666" t="s">
        <v>38</v>
      </c>
      <c r="L1666" t="s">
        <v>251</v>
      </c>
      <c r="M1666" t="s">
        <v>252</v>
      </c>
      <c r="N1666" t="s">
        <v>691</v>
      </c>
      <c r="O1666" t="s">
        <v>3258</v>
      </c>
      <c r="P1666" t="s">
        <v>3259</v>
      </c>
      <c r="Q1666" t="s">
        <v>3086</v>
      </c>
      <c r="T1666">
        <v>42.262631331000001</v>
      </c>
      <c r="U1666">
        <v>-71.802963000000005</v>
      </c>
      <c r="V1666">
        <f>SUM(W1666:X1666)+(Y1666*0.8)+(Z1666*0.4)</f>
        <v>0.8</v>
      </c>
      <c r="W1666">
        <v>0.8</v>
      </c>
      <c r="X1666">
        <v>0</v>
      </c>
      <c r="Y1666">
        <v>0</v>
      </c>
      <c r="Z1666">
        <v>0</v>
      </c>
      <c r="AA1666" t="s">
        <v>43</v>
      </c>
      <c r="AB1666">
        <v>0.72</v>
      </c>
      <c r="AD1666" t="s">
        <v>3260</v>
      </c>
      <c r="AE1666" t="s">
        <v>3261</v>
      </c>
    </row>
    <row r="1667" spans="1:31" x14ac:dyDescent="0.25">
      <c r="A1667" t="s">
        <v>31</v>
      </c>
      <c r="C1667" t="s">
        <v>2584</v>
      </c>
      <c r="D1667" t="s">
        <v>2662</v>
      </c>
      <c r="E1667" t="s">
        <v>34</v>
      </c>
      <c r="F1667" t="s">
        <v>35</v>
      </c>
      <c r="G1667">
        <v>2001</v>
      </c>
      <c r="H1667" t="s">
        <v>36</v>
      </c>
      <c r="I1667" t="s">
        <v>2663</v>
      </c>
      <c r="J1667" t="s">
        <v>31</v>
      </c>
      <c r="K1667" t="s">
        <v>38</v>
      </c>
      <c r="L1667" t="s">
        <v>86</v>
      </c>
      <c r="M1667" t="s">
        <v>87</v>
      </c>
      <c r="N1667" t="s">
        <v>88</v>
      </c>
      <c r="O1667" t="s">
        <v>89</v>
      </c>
      <c r="P1667" t="s">
        <v>2664</v>
      </c>
      <c r="Q1667" t="s">
        <v>97</v>
      </c>
      <c r="S1667" t="s">
        <v>98</v>
      </c>
      <c r="T1667">
        <v>41.878444573000003</v>
      </c>
      <c r="U1667">
        <v>-87.634575096999995</v>
      </c>
      <c r="V1667">
        <f>SUM(W1667:X1667)+(Y1667*0.8)+(Z1667*0.4)</f>
        <v>0.8</v>
      </c>
      <c r="W1667">
        <v>0.8</v>
      </c>
      <c r="X1667">
        <v>0</v>
      </c>
      <c r="Y1667">
        <v>0</v>
      </c>
      <c r="Z1667">
        <v>0</v>
      </c>
      <c r="AA1667" t="s">
        <v>43</v>
      </c>
      <c r="AB1667">
        <v>0.4</v>
      </c>
      <c r="AD1667" t="s">
        <v>2665</v>
      </c>
      <c r="AE1667" t="s">
        <v>2666</v>
      </c>
    </row>
    <row r="1668" spans="1:31" x14ac:dyDescent="0.25">
      <c r="A1668" t="s">
        <v>31</v>
      </c>
      <c r="C1668" t="s">
        <v>8180</v>
      </c>
      <c r="D1668" t="s">
        <v>8195</v>
      </c>
      <c r="E1668" t="s">
        <v>34</v>
      </c>
      <c r="F1668" t="s">
        <v>35</v>
      </c>
      <c r="G1668">
        <v>2000</v>
      </c>
      <c r="H1668" t="s">
        <v>36</v>
      </c>
      <c r="I1668" t="s">
        <v>8196</v>
      </c>
      <c r="J1668" t="s">
        <v>31</v>
      </c>
      <c r="K1668" t="s">
        <v>38</v>
      </c>
      <c r="L1668" t="s">
        <v>1465</v>
      </c>
      <c r="M1668" t="s">
        <v>1466</v>
      </c>
      <c r="N1668" t="s">
        <v>8190</v>
      </c>
      <c r="O1668" t="s">
        <v>8191</v>
      </c>
      <c r="P1668" t="s">
        <v>8197</v>
      </c>
      <c r="Q1668" t="s">
        <v>8191</v>
      </c>
      <c r="T1668">
        <v>43.512701024999998</v>
      </c>
      <c r="U1668">
        <v>-96.734099731000001</v>
      </c>
      <c r="V1668">
        <f>SUM(W1668:X1668)+(Y1668*0.8)+(Z1668*0.4)</f>
        <v>0.8</v>
      </c>
      <c r="W1668">
        <v>0.8</v>
      </c>
      <c r="X1668">
        <v>0</v>
      </c>
      <c r="Y1668">
        <v>0</v>
      </c>
      <c r="Z1668">
        <v>0</v>
      </c>
      <c r="AA1668" t="s">
        <v>43</v>
      </c>
      <c r="AB1668">
        <v>0.1</v>
      </c>
      <c r="AD1668" t="s">
        <v>8198</v>
      </c>
      <c r="AE1668" t="s">
        <v>8199</v>
      </c>
    </row>
    <row r="1669" spans="1:31" x14ac:dyDescent="0.25">
      <c r="A1669" t="s">
        <v>31</v>
      </c>
      <c r="C1669" t="s">
        <v>7218</v>
      </c>
      <c r="D1669" t="s">
        <v>7320</v>
      </c>
      <c r="E1669" t="s">
        <v>362</v>
      </c>
      <c r="F1669" t="s">
        <v>1611</v>
      </c>
      <c r="G1669">
        <v>2000</v>
      </c>
      <c r="H1669" t="s">
        <v>36</v>
      </c>
      <c r="I1669" t="s">
        <v>7321</v>
      </c>
      <c r="J1669" t="s">
        <v>31</v>
      </c>
      <c r="K1669" t="s">
        <v>38</v>
      </c>
      <c r="L1669" t="s">
        <v>185</v>
      </c>
      <c r="M1669" t="s">
        <v>186</v>
      </c>
      <c r="N1669" t="s">
        <v>187</v>
      </c>
      <c r="O1669" t="s">
        <v>1606</v>
      </c>
      <c r="P1669" t="s">
        <v>7322</v>
      </c>
      <c r="T1669">
        <v>33.754841399</v>
      </c>
      <c r="U1669">
        <v>-84.358764579999999</v>
      </c>
      <c r="V1669">
        <f>SUM(W1669:X1669)+(Y1669*0.8)+(Z1669*0.4)</f>
        <v>0.8</v>
      </c>
      <c r="W1669">
        <v>0.8</v>
      </c>
      <c r="X1669">
        <v>0</v>
      </c>
      <c r="Y1669">
        <v>0</v>
      </c>
      <c r="Z1669">
        <v>0</v>
      </c>
      <c r="AA1669" t="s">
        <v>43</v>
      </c>
      <c r="AB1669">
        <v>0.8</v>
      </c>
      <c r="AD1669" t="s">
        <v>7323</v>
      </c>
      <c r="AE1669" t="s">
        <v>7324</v>
      </c>
    </row>
    <row r="1670" spans="1:31" x14ac:dyDescent="0.25">
      <c r="A1670" t="s">
        <v>31</v>
      </c>
      <c r="C1670" t="s">
        <v>7218</v>
      </c>
      <c r="D1670" t="s">
        <v>7397</v>
      </c>
      <c r="E1670" t="s">
        <v>34</v>
      </c>
      <c r="F1670" t="s">
        <v>35</v>
      </c>
      <c r="G1670">
        <v>1990</v>
      </c>
      <c r="H1670" t="s">
        <v>36</v>
      </c>
      <c r="I1670" t="s">
        <v>7398</v>
      </c>
      <c r="J1670" t="s">
        <v>31</v>
      </c>
      <c r="K1670" t="s">
        <v>38</v>
      </c>
      <c r="L1670" t="s">
        <v>828</v>
      </c>
      <c r="M1670" t="s">
        <v>829</v>
      </c>
      <c r="N1670" t="s">
        <v>2769</v>
      </c>
      <c r="O1670" t="s">
        <v>7399</v>
      </c>
      <c r="P1670" t="s">
        <v>7400</v>
      </c>
      <c r="Q1670" t="s">
        <v>7401</v>
      </c>
      <c r="T1670">
        <v>44.903789566</v>
      </c>
      <c r="U1670">
        <v>-93.420341370000003</v>
      </c>
      <c r="V1670">
        <f>SUM(W1670:X1670)+(Y1670*0.8)+(Z1670*0.4)</f>
        <v>0.8</v>
      </c>
      <c r="W1670">
        <v>0.8</v>
      </c>
      <c r="X1670">
        <v>0</v>
      </c>
      <c r="Y1670">
        <v>0</v>
      </c>
      <c r="Z1670">
        <v>0</v>
      </c>
      <c r="AA1670" t="s">
        <v>43</v>
      </c>
      <c r="AB1670">
        <v>0.48</v>
      </c>
      <c r="AD1670" t="s">
        <v>7402</v>
      </c>
      <c r="AE1670" t="s">
        <v>7403</v>
      </c>
    </row>
    <row r="1671" spans="1:31" x14ac:dyDescent="0.25">
      <c r="A1671" t="s">
        <v>31</v>
      </c>
      <c r="C1671" t="s">
        <v>7218</v>
      </c>
      <c r="D1671" t="s">
        <v>7434</v>
      </c>
      <c r="E1671" t="s">
        <v>362</v>
      </c>
      <c r="F1671" t="s">
        <v>1611</v>
      </c>
      <c r="G1671">
        <v>2003</v>
      </c>
      <c r="H1671" t="s">
        <v>36</v>
      </c>
      <c r="I1671" t="s">
        <v>7435</v>
      </c>
      <c r="J1671" t="s">
        <v>31</v>
      </c>
      <c r="K1671" t="s">
        <v>38</v>
      </c>
      <c r="L1671" t="s">
        <v>1959</v>
      </c>
      <c r="M1671" t="s">
        <v>1960</v>
      </c>
      <c r="N1671" t="s">
        <v>7436</v>
      </c>
      <c r="O1671" t="s">
        <v>7437</v>
      </c>
      <c r="P1671" t="s">
        <v>7438</v>
      </c>
      <c r="S1671" t="s">
        <v>7439</v>
      </c>
      <c r="T1671">
        <v>31.867032732999999</v>
      </c>
      <c r="U1671">
        <v>-106.698149204</v>
      </c>
      <c r="V1671">
        <f>SUM(W1671:X1671)+(Y1671*0.8)+(Z1671*0.4)</f>
        <v>0.77</v>
      </c>
      <c r="W1671">
        <v>0.77</v>
      </c>
      <c r="X1671">
        <v>0</v>
      </c>
      <c r="Y1671">
        <v>0</v>
      </c>
      <c r="Z1671">
        <v>0</v>
      </c>
      <c r="AA1671" t="s">
        <v>43</v>
      </c>
      <c r="AB1671">
        <v>0.77</v>
      </c>
      <c r="AD1671" t="s">
        <v>7440</v>
      </c>
      <c r="AE1671" t="s">
        <v>7441</v>
      </c>
    </row>
    <row r="1672" spans="1:31" x14ac:dyDescent="0.25">
      <c r="A1672" t="s">
        <v>31</v>
      </c>
      <c r="C1672" t="s">
        <v>6791</v>
      </c>
      <c r="D1672" t="s">
        <v>6792</v>
      </c>
      <c r="E1672" t="s">
        <v>34</v>
      </c>
      <c r="F1672" t="s">
        <v>35</v>
      </c>
      <c r="G1672">
        <v>2016</v>
      </c>
      <c r="H1672" t="s">
        <v>36</v>
      </c>
      <c r="I1672" t="s">
        <v>6793</v>
      </c>
      <c r="J1672" t="s">
        <v>31</v>
      </c>
      <c r="K1672" t="s">
        <v>38</v>
      </c>
      <c r="L1672" t="s">
        <v>123</v>
      </c>
      <c r="M1672" t="s">
        <v>124</v>
      </c>
      <c r="N1672" t="s">
        <v>2304</v>
      </c>
      <c r="O1672" t="s">
        <v>6794</v>
      </c>
      <c r="P1672" t="s">
        <v>6795</v>
      </c>
      <c r="T1672">
        <v>42.686001603000001</v>
      </c>
      <c r="U1672">
        <v>-73.842624701999995</v>
      </c>
      <c r="V1672">
        <f>SUM(W1672:X1672)+(Y1672*0.8)+(Z1672*0.4)</f>
        <v>0.75</v>
      </c>
      <c r="W1672">
        <v>0.75</v>
      </c>
      <c r="X1672">
        <v>0</v>
      </c>
      <c r="Y1672">
        <v>0</v>
      </c>
      <c r="Z1672">
        <v>0</v>
      </c>
      <c r="AA1672" t="s">
        <v>43</v>
      </c>
      <c r="AB1672">
        <v>0.70499999999999996</v>
      </c>
      <c r="AD1672" t="s">
        <v>6796</v>
      </c>
      <c r="AE1672" t="s">
        <v>6797</v>
      </c>
    </row>
    <row r="1673" spans="1:31" x14ac:dyDescent="0.25">
      <c r="A1673" t="s">
        <v>31</v>
      </c>
      <c r="C1673" t="s">
        <v>2928</v>
      </c>
      <c r="D1673" t="s">
        <v>2929</v>
      </c>
      <c r="E1673" t="s">
        <v>34</v>
      </c>
      <c r="F1673" t="s">
        <v>35</v>
      </c>
      <c r="G1673">
        <v>2015</v>
      </c>
      <c r="H1673" t="s">
        <v>36</v>
      </c>
      <c r="I1673" t="s">
        <v>2930</v>
      </c>
      <c r="J1673" t="s">
        <v>31</v>
      </c>
      <c r="K1673" t="s">
        <v>38</v>
      </c>
      <c r="L1673" t="s">
        <v>133</v>
      </c>
      <c r="M1673" t="s">
        <v>134</v>
      </c>
      <c r="N1673" t="s">
        <v>2931</v>
      </c>
      <c r="O1673" t="s">
        <v>2932</v>
      </c>
      <c r="P1673" t="s">
        <v>2933</v>
      </c>
      <c r="T1673">
        <v>44.047444212999999</v>
      </c>
      <c r="U1673">
        <v>-121.32856214100001</v>
      </c>
      <c r="V1673">
        <f>SUM(W1673:X1673)+(Y1673*0.8)+(Z1673*0.4)</f>
        <v>0.75</v>
      </c>
      <c r="W1673">
        <v>0.75</v>
      </c>
      <c r="X1673">
        <v>0</v>
      </c>
      <c r="Y1673">
        <v>0</v>
      </c>
      <c r="Z1673">
        <v>0</v>
      </c>
      <c r="AA1673" t="s">
        <v>43</v>
      </c>
      <c r="AB1673">
        <v>0.58199999999999996</v>
      </c>
      <c r="AC1673">
        <v>1.1299999999999999</v>
      </c>
      <c r="AD1673" t="s">
        <v>2934</v>
      </c>
      <c r="AE1673" t="s">
        <v>2935</v>
      </c>
    </row>
    <row r="1674" spans="1:31" x14ac:dyDescent="0.25">
      <c r="A1674" t="s">
        <v>31</v>
      </c>
      <c r="C1674" t="s">
        <v>6784</v>
      </c>
      <c r="D1674" t="s">
        <v>6785</v>
      </c>
      <c r="E1674" t="s">
        <v>34</v>
      </c>
      <c r="F1674" t="s">
        <v>35</v>
      </c>
      <c r="G1674">
        <v>2013</v>
      </c>
      <c r="H1674" t="s">
        <v>36</v>
      </c>
      <c r="I1674" t="s">
        <v>6786</v>
      </c>
      <c r="J1674" t="s">
        <v>31</v>
      </c>
      <c r="K1674" t="s">
        <v>38</v>
      </c>
      <c r="L1674" t="s">
        <v>448</v>
      </c>
      <c r="M1674" t="s">
        <v>449</v>
      </c>
      <c r="O1674" t="s">
        <v>470</v>
      </c>
      <c r="P1674" t="s">
        <v>6787</v>
      </c>
      <c r="Q1674" t="s">
        <v>6788</v>
      </c>
      <c r="T1674">
        <v>39.289371684000002</v>
      </c>
      <c r="U1674">
        <v>-76.610461010999998</v>
      </c>
      <c r="V1674">
        <f>SUM(W1674:X1674)+(Y1674*0.8)+(Z1674*0.4)</f>
        <v>0.75</v>
      </c>
      <c r="W1674">
        <v>0.75</v>
      </c>
      <c r="X1674">
        <v>0</v>
      </c>
      <c r="Y1674">
        <v>0</v>
      </c>
      <c r="Z1674">
        <v>0</v>
      </c>
      <c r="AA1674" t="s">
        <v>43</v>
      </c>
      <c r="AB1674">
        <v>0.71</v>
      </c>
      <c r="AD1674" t="s">
        <v>6789</v>
      </c>
      <c r="AE1674" t="s">
        <v>6790</v>
      </c>
    </row>
    <row r="1675" spans="1:31" x14ac:dyDescent="0.25">
      <c r="A1675" t="s">
        <v>31</v>
      </c>
      <c r="C1675" t="s">
        <v>8673</v>
      </c>
      <c r="D1675" t="s">
        <v>8674</v>
      </c>
      <c r="E1675" t="s">
        <v>34</v>
      </c>
      <c r="F1675" t="s">
        <v>35</v>
      </c>
      <c r="G1675">
        <v>2010</v>
      </c>
      <c r="H1675" t="s">
        <v>36</v>
      </c>
      <c r="I1675" t="s">
        <v>8675</v>
      </c>
      <c r="J1675" t="s">
        <v>31</v>
      </c>
      <c r="K1675" t="s">
        <v>38</v>
      </c>
      <c r="L1675" t="s">
        <v>133</v>
      </c>
      <c r="M1675" t="s">
        <v>134</v>
      </c>
      <c r="N1675" t="s">
        <v>2931</v>
      </c>
      <c r="O1675" t="s">
        <v>2932</v>
      </c>
      <c r="P1675" t="s">
        <v>8676</v>
      </c>
      <c r="T1675">
        <v>44.086105705000001</v>
      </c>
      <c r="U1675">
        <v>-121.28303565500001</v>
      </c>
      <c r="V1675">
        <f>SUM(W1675:X1675)+(Y1675*0.8)+(Z1675*0.4)</f>
        <v>0.75</v>
      </c>
      <c r="W1675">
        <v>0.75</v>
      </c>
      <c r="X1675">
        <v>0</v>
      </c>
      <c r="Y1675">
        <v>0</v>
      </c>
      <c r="Z1675">
        <v>0</v>
      </c>
      <c r="AA1675" t="s">
        <v>43</v>
      </c>
      <c r="AB1675">
        <v>0.75</v>
      </c>
      <c r="AD1675" t="s">
        <v>8677</v>
      </c>
      <c r="AE1675" t="s">
        <v>8678</v>
      </c>
    </row>
    <row r="1676" spans="1:31" x14ac:dyDescent="0.25">
      <c r="A1676" t="s">
        <v>31</v>
      </c>
      <c r="C1676" t="s">
        <v>3551</v>
      </c>
      <c r="D1676" t="s">
        <v>3616</v>
      </c>
      <c r="E1676" t="s">
        <v>34</v>
      </c>
      <c r="F1676" t="s">
        <v>35</v>
      </c>
      <c r="G1676">
        <v>2010</v>
      </c>
      <c r="H1676" t="s">
        <v>36</v>
      </c>
      <c r="I1676" t="s">
        <v>3617</v>
      </c>
      <c r="J1676" t="s">
        <v>31</v>
      </c>
      <c r="K1676" t="s">
        <v>38</v>
      </c>
      <c r="L1676" t="s">
        <v>2437</v>
      </c>
      <c r="M1676" t="s">
        <v>2438</v>
      </c>
      <c r="N1676" t="s">
        <v>3618</v>
      </c>
      <c r="P1676" t="s">
        <v>3619</v>
      </c>
      <c r="T1676">
        <v>34.996580506000001</v>
      </c>
      <c r="U1676">
        <v>-82.034843170000002</v>
      </c>
      <c r="V1676">
        <f>SUM(W1676:X1676)+(Y1676*0.8)+(Z1676*0.4)</f>
        <v>0.75</v>
      </c>
      <c r="W1676">
        <v>0.75</v>
      </c>
      <c r="X1676">
        <v>0</v>
      </c>
      <c r="Y1676">
        <v>0</v>
      </c>
      <c r="Z1676">
        <v>0</v>
      </c>
      <c r="AA1676" t="s">
        <v>43</v>
      </c>
      <c r="AB1676">
        <v>0.55000000000000004</v>
      </c>
      <c r="AD1676" t="s">
        <v>3620</v>
      </c>
      <c r="AE1676" t="s">
        <v>3621</v>
      </c>
    </row>
    <row r="1677" spans="1:31" x14ac:dyDescent="0.25">
      <c r="A1677" t="s">
        <v>31</v>
      </c>
      <c r="C1677" t="s">
        <v>6055</v>
      </c>
      <c r="D1677" t="s">
        <v>6056</v>
      </c>
      <c r="E1677" t="s">
        <v>362</v>
      </c>
      <c r="F1677" t="s">
        <v>43</v>
      </c>
      <c r="G1677">
        <v>2009</v>
      </c>
      <c r="H1677" t="s">
        <v>36</v>
      </c>
      <c r="I1677" t="s">
        <v>6057</v>
      </c>
      <c r="J1677" t="s">
        <v>31</v>
      </c>
      <c r="K1677" t="s">
        <v>38</v>
      </c>
      <c r="L1677" t="s">
        <v>383</v>
      </c>
      <c r="M1677" t="s">
        <v>384</v>
      </c>
      <c r="N1677" t="s">
        <v>1372</v>
      </c>
      <c r="O1677" t="s">
        <v>1373</v>
      </c>
      <c r="P1677" t="s">
        <v>6058</v>
      </c>
      <c r="S1677" t="s">
        <v>6059</v>
      </c>
      <c r="T1677">
        <v>35.894036649</v>
      </c>
      <c r="U1677">
        <v>-78.650195642</v>
      </c>
      <c r="V1677">
        <f>SUM(W1677:X1677)+(Y1677*0.8)+(Z1677*0.4)</f>
        <v>0.75</v>
      </c>
      <c r="W1677">
        <v>0.75</v>
      </c>
      <c r="X1677">
        <v>0</v>
      </c>
      <c r="Y1677">
        <v>0</v>
      </c>
      <c r="Z1677">
        <v>0</v>
      </c>
      <c r="AA1677" t="s">
        <v>43</v>
      </c>
      <c r="AB1677">
        <v>0.75</v>
      </c>
      <c r="AD1677" t="s">
        <v>6060</v>
      </c>
      <c r="AE1677" t="s">
        <v>6061</v>
      </c>
    </row>
    <row r="1678" spans="1:31" x14ac:dyDescent="0.25">
      <c r="A1678" t="s">
        <v>31</v>
      </c>
      <c r="C1678" t="s">
        <v>5499</v>
      </c>
      <c r="D1678" t="s">
        <v>5531</v>
      </c>
      <c r="E1678" t="s">
        <v>34</v>
      </c>
      <c r="F1678" t="s">
        <v>35</v>
      </c>
      <c r="G1678">
        <v>2002</v>
      </c>
      <c r="H1678" t="s">
        <v>36</v>
      </c>
      <c r="I1678" t="s">
        <v>5532</v>
      </c>
      <c r="J1678" t="s">
        <v>31</v>
      </c>
      <c r="K1678" t="s">
        <v>38</v>
      </c>
      <c r="L1678" t="s">
        <v>172</v>
      </c>
      <c r="M1678" t="s">
        <v>173</v>
      </c>
      <c r="N1678" t="s">
        <v>780</v>
      </c>
      <c r="O1678" t="s">
        <v>2067</v>
      </c>
      <c r="P1678" t="s">
        <v>5533</v>
      </c>
      <c r="Q1678" t="s">
        <v>5534</v>
      </c>
      <c r="S1678" t="s">
        <v>5535</v>
      </c>
      <c r="T1678">
        <v>37.338477742999999</v>
      </c>
      <c r="U1678">
        <v>-121.91049450600001</v>
      </c>
      <c r="V1678">
        <f>SUM(W1678:X1678)+(Y1678*0.8)+(Z1678*0.4)</f>
        <v>0.75</v>
      </c>
      <c r="W1678">
        <v>0.75</v>
      </c>
      <c r="X1678">
        <v>0</v>
      </c>
      <c r="Y1678">
        <v>0</v>
      </c>
      <c r="Z1678">
        <v>0</v>
      </c>
      <c r="AA1678" t="s">
        <v>43</v>
      </c>
      <c r="AB1678">
        <v>0.75</v>
      </c>
      <c r="AD1678" t="s">
        <v>5536</v>
      </c>
      <c r="AE1678" t="s">
        <v>5537</v>
      </c>
    </row>
    <row r="1679" spans="1:31" x14ac:dyDescent="0.25">
      <c r="A1679" t="s">
        <v>31</v>
      </c>
      <c r="C1679" t="s">
        <v>8673</v>
      </c>
      <c r="D1679" t="s">
        <v>1445</v>
      </c>
      <c r="E1679" t="s">
        <v>362</v>
      </c>
      <c r="F1679" t="s">
        <v>381</v>
      </c>
      <c r="G1679">
        <v>1998</v>
      </c>
      <c r="H1679" t="s">
        <v>36</v>
      </c>
      <c r="I1679" t="s">
        <v>8688</v>
      </c>
      <c r="J1679" t="s">
        <v>31</v>
      </c>
      <c r="K1679" t="s">
        <v>38</v>
      </c>
      <c r="L1679" t="s">
        <v>326</v>
      </c>
      <c r="M1679" t="s">
        <v>327</v>
      </c>
      <c r="N1679" t="s">
        <v>328</v>
      </c>
      <c r="O1679" t="s">
        <v>8689</v>
      </c>
      <c r="P1679" t="s">
        <v>8690</v>
      </c>
      <c r="S1679" t="s">
        <v>8691</v>
      </c>
      <c r="T1679">
        <v>33.355136707</v>
      </c>
      <c r="U1679">
        <v>-111.826875765</v>
      </c>
      <c r="V1679">
        <f>SUM(W1679:X1679)+(Y1679*0.8)+(Z1679*0.4)</f>
        <v>0.75</v>
      </c>
      <c r="W1679">
        <v>0.75</v>
      </c>
      <c r="X1679">
        <v>0</v>
      </c>
      <c r="Y1679">
        <v>0</v>
      </c>
      <c r="Z1679">
        <v>0</v>
      </c>
      <c r="AA1679" t="s">
        <v>43</v>
      </c>
      <c r="AB1679">
        <v>0.75</v>
      </c>
      <c r="AD1679" t="s">
        <v>8692</v>
      </c>
      <c r="AE1679" t="s">
        <v>8693</v>
      </c>
    </row>
    <row r="1680" spans="1:31" x14ac:dyDescent="0.25">
      <c r="A1680" t="s">
        <v>31</v>
      </c>
      <c r="C1680" t="s">
        <v>3710</v>
      </c>
      <c r="D1680" t="s">
        <v>3908</v>
      </c>
      <c r="E1680" t="s">
        <v>34</v>
      </c>
      <c r="F1680" t="s">
        <v>35</v>
      </c>
      <c r="G1680">
        <v>1997</v>
      </c>
      <c r="H1680" t="s">
        <v>36</v>
      </c>
      <c r="I1680" t="s">
        <v>3909</v>
      </c>
      <c r="J1680" t="s">
        <v>31</v>
      </c>
      <c r="K1680" t="s">
        <v>38</v>
      </c>
      <c r="L1680" t="s">
        <v>123</v>
      </c>
      <c r="M1680" t="s">
        <v>124</v>
      </c>
      <c r="N1680" t="s">
        <v>270</v>
      </c>
      <c r="O1680" t="s">
        <v>123</v>
      </c>
      <c r="P1680" t="s">
        <v>2675</v>
      </c>
      <c r="Q1680" t="s">
        <v>272</v>
      </c>
      <c r="S1680" t="s">
        <v>273</v>
      </c>
      <c r="T1680">
        <v>40.717928207</v>
      </c>
      <c r="U1680">
        <v>-74.008262986999995</v>
      </c>
      <c r="V1680">
        <f>SUM(W1680:X1680)+(Y1680*0.8)+(Z1680*0.4)</f>
        <v>0.74</v>
      </c>
      <c r="W1680">
        <v>0.74</v>
      </c>
      <c r="X1680">
        <v>0</v>
      </c>
      <c r="Y1680">
        <v>0</v>
      </c>
      <c r="Z1680">
        <v>0</v>
      </c>
      <c r="AA1680" t="s">
        <v>43</v>
      </c>
      <c r="AB1680">
        <v>0.72</v>
      </c>
      <c r="AD1680" t="s">
        <v>3910</v>
      </c>
      <c r="AE1680" t="s">
        <v>3911</v>
      </c>
    </row>
    <row r="1681" spans="1:31" x14ac:dyDescent="0.25">
      <c r="A1681" t="s">
        <v>31</v>
      </c>
      <c r="C1681" t="s">
        <v>10102</v>
      </c>
      <c r="D1681" t="s">
        <v>10144</v>
      </c>
      <c r="E1681" t="s">
        <v>34</v>
      </c>
      <c r="F1681" t="s">
        <v>35</v>
      </c>
      <c r="G1681">
        <v>2005</v>
      </c>
      <c r="H1681" t="s">
        <v>36</v>
      </c>
      <c r="I1681" t="s">
        <v>10145</v>
      </c>
      <c r="J1681" t="s">
        <v>31</v>
      </c>
      <c r="K1681" t="s">
        <v>38</v>
      </c>
      <c r="L1681" t="s">
        <v>1457</v>
      </c>
      <c r="M1681" t="s">
        <v>1458</v>
      </c>
      <c r="N1681" t="s">
        <v>319</v>
      </c>
      <c r="O1681" t="s">
        <v>7301</v>
      </c>
      <c r="P1681" t="s">
        <v>7491</v>
      </c>
      <c r="S1681" t="s">
        <v>7314</v>
      </c>
      <c r="T1681">
        <v>36.143658604000002</v>
      </c>
      <c r="U1681">
        <v>-115.076758795</v>
      </c>
      <c r="V1681">
        <f>SUM(W1681:X1681)+(Y1681*0.8)+(Z1681*0.4)</f>
        <v>0.73699999999999999</v>
      </c>
      <c r="W1681">
        <v>0.73699999999999999</v>
      </c>
      <c r="X1681">
        <v>0</v>
      </c>
      <c r="Y1681">
        <v>0</v>
      </c>
      <c r="Z1681">
        <v>0</v>
      </c>
      <c r="AA1681" t="s">
        <v>43</v>
      </c>
      <c r="AB1681">
        <v>0.73599999999999999</v>
      </c>
      <c r="AD1681" t="s">
        <v>10146</v>
      </c>
      <c r="AE1681" t="s">
        <v>10147</v>
      </c>
    </row>
    <row r="1682" spans="1:31" x14ac:dyDescent="0.25">
      <c r="A1682" t="s">
        <v>31</v>
      </c>
      <c r="C1682" t="s">
        <v>9192</v>
      </c>
      <c r="D1682" t="s">
        <v>9193</v>
      </c>
      <c r="E1682" t="s">
        <v>34</v>
      </c>
      <c r="F1682" t="s">
        <v>35</v>
      </c>
      <c r="G1682">
        <v>2014</v>
      </c>
      <c r="H1682" t="s">
        <v>36</v>
      </c>
      <c r="I1682" t="s">
        <v>9194</v>
      </c>
      <c r="J1682" t="s">
        <v>31</v>
      </c>
      <c r="K1682" t="s">
        <v>38</v>
      </c>
      <c r="L1682" t="s">
        <v>172</v>
      </c>
      <c r="M1682" t="s">
        <v>173</v>
      </c>
      <c r="N1682" t="s">
        <v>493</v>
      </c>
      <c r="O1682" t="s">
        <v>494</v>
      </c>
      <c r="P1682" t="s">
        <v>9195</v>
      </c>
      <c r="S1682" t="s">
        <v>138</v>
      </c>
      <c r="T1682">
        <v>34.047768769999998</v>
      </c>
      <c r="U1682">
        <v>-118.25684656</v>
      </c>
      <c r="V1682">
        <f>SUM(W1682:X1682)+(Y1682*0.8)+(Z1682*0.4)</f>
        <v>0.7</v>
      </c>
      <c r="W1682">
        <v>0.7</v>
      </c>
      <c r="X1682">
        <v>0</v>
      </c>
      <c r="Y1682">
        <v>0</v>
      </c>
      <c r="Z1682">
        <v>0</v>
      </c>
      <c r="AA1682" t="s">
        <v>43</v>
      </c>
      <c r="AB1682">
        <v>0.65</v>
      </c>
      <c r="AD1682" t="s">
        <v>9196</v>
      </c>
      <c r="AE1682" t="s">
        <v>9197</v>
      </c>
    </row>
    <row r="1683" spans="1:31" x14ac:dyDescent="0.25">
      <c r="A1683" t="s">
        <v>31</v>
      </c>
      <c r="C1683" t="s">
        <v>8448</v>
      </c>
      <c r="D1683" t="s">
        <v>2892</v>
      </c>
      <c r="E1683" t="s">
        <v>34</v>
      </c>
      <c r="F1683" t="s">
        <v>35</v>
      </c>
      <c r="G1683">
        <v>2009</v>
      </c>
      <c r="H1683" t="s">
        <v>36</v>
      </c>
      <c r="I1683" t="s">
        <v>8456</v>
      </c>
      <c r="J1683" t="s">
        <v>31</v>
      </c>
      <c r="K1683" t="s">
        <v>38</v>
      </c>
      <c r="L1683" t="s">
        <v>260</v>
      </c>
      <c r="M1683" t="s">
        <v>261</v>
      </c>
      <c r="N1683" t="s">
        <v>262</v>
      </c>
      <c r="O1683" t="s">
        <v>263</v>
      </c>
      <c r="P1683" t="s">
        <v>8457</v>
      </c>
      <c r="S1683" t="s">
        <v>8458</v>
      </c>
      <c r="T1683">
        <v>36.103359159</v>
      </c>
      <c r="U1683">
        <v>-86.669270901000004</v>
      </c>
      <c r="V1683">
        <f>SUM(W1683:X1683)+(Y1683*0.8)+(Z1683*0.4)</f>
        <v>0.7</v>
      </c>
      <c r="W1683">
        <v>0.5</v>
      </c>
      <c r="X1683">
        <v>0</v>
      </c>
      <c r="Y1683">
        <v>0</v>
      </c>
      <c r="Z1683">
        <v>0.5</v>
      </c>
      <c r="AA1683" t="s">
        <v>43</v>
      </c>
      <c r="AB1683">
        <v>0.4</v>
      </c>
      <c r="AD1683" t="s">
        <v>8459</v>
      </c>
      <c r="AE1683" t="s">
        <v>8460</v>
      </c>
    </row>
    <row r="1684" spans="1:31" x14ac:dyDescent="0.25">
      <c r="A1684" t="s">
        <v>31</v>
      </c>
      <c r="C1684" t="s">
        <v>3551</v>
      </c>
      <c r="D1684" t="s">
        <v>3591</v>
      </c>
      <c r="E1684" t="s">
        <v>34</v>
      </c>
      <c r="F1684" t="s">
        <v>35</v>
      </c>
      <c r="G1684">
        <v>2009</v>
      </c>
      <c r="H1684" t="s">
        <v>36</v>
      </c>
      <c r="I1684" t="s">
        <v>3592</v>
      </c>
      <c r="J1684" t="s">
        <v>31</v>
      </c>
      <c r="K1684" t="s">
        <v>38</v>
      </c>
      <c r="L1684" t="s">
        <v>317</v>
      </c>
      <c r="M1684" t="s">
        <v>318</v>
      </c>
      <c r="N1684" t="s">
        <v>3593</v>
      </c>
      <c r="O1684" t="s">
        <v>3594</v>
      </c>
      <c r="Q1684" t="s">
        <v>3595</v>
      </c>
      <c r="T1684">
        <v>39.087090945</v>
      </c>
      <c r="U1684">
        <v>-84.286171867999997</v>
      </c>
      <c r="V1684">
        <f>SUM(W1684:X1684)+(Y1684*0.8)+(Z1684*0.4)</f>
        <v>0.7</v>
      </c>
      <c r="W1684">
        <v>0.7</v>
      </c>
      <c r="X1684">
        <v>0</v>
      </c>
      <c r="Y1684">
        <v>0</v>
      </c>
      <c r="Z1684">
        <v>0</v>
      </c>
      <c r="AA1684" t="s">
        <v>43</v>
      </c>
      <c r="AB1684">
        <v>0.42</v>
      </c>
      <c r="AD1684" t="s">
        <v>3596</v>
      </c>
      <c r="AE1684" t="s">
        <v>3597</v>
      </c>
    </row>
    <row r="1685" spans="1:31" x14ac:dyDescent="0.25">
      <c r="A1685" t="s">
        <v>31</v>
      </c>
      <c r="C1685" t="s">
        <v>7101</v>
      </c>
      <c r="D1685" t="s">
        <v>7102</v>
      </c>
      <c r="E1685" t="s">
        <v>34</v>
      </c>
      <c r="F1685" t="s">
        <v>35</v>
      </c>
      <c r="G1685">
        <v>2008</v>
      </c>
      <c r="H1685" t="s">
        <v>36</v>
      </c>
      <c r="I1685" t="s">
        <v>7103</v>
      </c>
      <c r="J1685" t="s">
        <v>31</v>
      </c>
      <c r="K1685" t="s">
        <v>38</v>
      </c>
      <c r="L1685" t="s">
        <v>49</v>
      </c>
      <c r="M1685" t="s">
        <v>50</v>
      </c>
      <c r="N1685" t="s">
        <v>51</v>
      </c>
      <c r="O1685" t="s">
        <v>7104</v>
      </c>
      <c r="P1685" t="s">
        <v>7105</v>
      </c>
      <c r="Q1685" t="s">
        <v>7104</v>
      </c>
      <c r="T1685">
        <v>42.533491195000003</v>
      </c>
      <c r="U1685">
        <v>-83.177492579000003</v>
      </c>
      <c r="V1685">
        <f>SUM(W1685:X1685)+(Y1685*0.8)+(Z1685*0.4)</f>
        <v>0.7</v>
      </c>
      <c r="W1685">
        <v>0.7</v>
      </c>
      <c r="X1685">
        <v>0</v>
      </c>
      <c r="Y1685">
        <v>0</v>
      </c>
      <c r="Z1685">
        <v>0</v>
      </c>
      <c r="AA1685" t="s">
        <v>43</v>
      </c>
      <c r="AB1685">
        <v>0.36</v>
      </c>
      <c r="AD1685" t="s">
        <v>7106</v>
      </c>
      <c r="AE1685" t="s">
        <v>7107</v>
      </c>
    </row>
    <row r="1686" spans="1:31" x14ac:dyDescent="0.25">
      <c r="A1686" t="s">
        <v>31</v>
      </c>
      <c r="C1686" t="s">
        <v>2584</v>
      </c>
      <c r="D1686" t="s">
        <v>2613</v>
      </c>
      <c r="E1686" t="s">
        <v>34</v>
      </c>
      <c r="F1686" t="s">
        <v>35</v>
      </c>
      <c r="G1686">
        <v>2008</v>
      </c>
      <c r="H1686" t="s">
        <v>36</v>
      </c>
      <c r="I1686" t="s">
        <v>2614</v>
      </c>
      <c r="J1686" t="s">
        <v>31</v>
      </c>
      <c r="K1686" t="s">
        <v>38</v>
      </c>
      <c r="L1686" t="s">
        <v>172</v>
      </c>
      <c r="M1686" t="s">
        <v>173</v>
      </c>
      <c r="N1686" t="s">
        <v>493</v>
      </c>
      <c r="O1686" t="s">
        <v>2613</v>
      </c>
      <c r="P1686" t="s">
        <v>2615</v>
      </c>
      <c r="T1686">
        <v>33.879714694999997</v>
      </c>
      <c r="U1686">
        <v>-118.02664328</v>
      </c>
      <c r="V1686">
        <f>SUM(W1686:X1686)+(Y1686*0.8)+(Z1686*0.4)</f>
        <v>0.7</v>
      </c>
      <c r="W1686">
        <v>0.7</v>
      </c>
      <c r="X1686">
        <v>0</v>
      </c>
      <c r="Y1686">
        <v>0</v>
      </c>
      <c r="Z1686">
        <v>0</v>
      </c>
      <c r="AA1686" t="s">
        <v>43</v>
      </c>
      <c r="AB1686">
        <v>0.7</v>
      </c>
      <c r="AD1686" t="s">
        <v>2616</v>
      </c>
      <c r="AE1686" t="s">
        <v>2617</v>
      </c>
    </row>
    <row r="1687" spans="1:31" x14ac:dyDescent="0.25">
      <c r="A1687" t="s">
        <v>31</v>
      </c>
      <c r="C1687" t="s">
        <v>3230</v>
      </c>
      <c r="D1687" t="s">
        <v>3231</v>
      </c>
      <c r="E1687" t="s">
        <v>34</v>
      </c>
      <c r="F1687" t="s">
        <v>35</v>
      </c>
      <c r="G1687">
        <v>2004</v>
      </c>
      <c r="H1687" t="s">
        <v>36</v>
      </c>
      <c r="I1687" t="s">
        <v>3232</v>
      </c>
      <c r="J1687" t="s">
        <v>31</v>
      </c>
      <c r="K1687" t="s">
        <v>38</v>
      </c>
      <c r="L1687" t="s">
        <v>251</v>
      </c>
      <c r="M1687" t="s">
        <v>252</v>
      </c>
      <c r="N1687" t="s">
        <v>3233</v>
      </c>
      <c r="O1687" t="s">
        <v>320</v>
      </c>
      <c r="P1687" t="s">
        <v>3234</v>
      </c>
      <c r="Q1687" t="s">
        <v>320</v>
      </c>
      <c r="T1687">
        <v>42.109809132999999</v>
      </c>
      <c r="U1687">
        <v>-72.576479363999994</v>
      </c>
      <c r="V1687">
        <f>SUM(W1687:X1687)+(Y1687*0.8)+(Z1687*0.4)</f>
        <v>0.7</v>
      </c>
      <c r="W1687">
        <v>0.7</v>
      </c>
      <c r="X1687">
        <v>0</v>
      </c>
      <c r="Y1687">
        <v>0</v>
      </c>
      <c r="Z1687">
        <v>0</v>
      </c>
      <c r="AA1687" t="s">
        <v>43</v>
      </c>
      <c r="AB1687">
        <v>0.66</v>
      </c>
      <c r="AD1687" t="s">
        <v>3235</v>
      </c>
      <c r="AE1687" t="s">
        <v>3236</v>
      </c>
    </row>
    <row r="1688" spans="1:31" x14ac:dyDescent="0.25">
      <c r="A1688" t="s">
        <v>31</v>
      </c>
      <c r="C1688" t="s">
        <v>2013</v>
      </c>
      <c r="D1688" t="s">
        <v>2014</v>
      </c>
      <c r="E1688" t="s">
        <v>362</v>
      </c>
      <c r="F1688" t="s">
        <v>1611</v>
      </c>
      <c r="G1688">
        <v>2000</v>
      </c>
      <c r="H1688" t="s">
        <v>36</v>
      </c>
      <c r="I1688" t="s">
        <v>2015</v>
      </c>
      <c r="J1688" t="s">
        <v>31</v>
      </c>
      <c r="K1688" t="s">
        <v>38</v>
      </c>
      <c r="L1688" t="s">
        <v>251</v>
      </c>
      <c r="M1688" t="s">
        <v>252</v>
      </c>
      <c r="N1688" t="s">
        <v>253</v>
      </c>
      <c r="O1688" t="s">
        <v>2016</v>
      </c>
      <c r="P1688" t="s">
        <v>1624</v>
      </c>
      <c r="Q1688" t="s">
        <v>2017</v>
      </c>
      <c r="T1688">
        <v>42.37466105</v>
      </c>
      <c r="U1688">
        <v>-71.082570543000003</v>
      </c>
      <c r="V1688">
        <f>SUM(W1688:X1688)+(Y1688*0.8)+(Z1688*0.4)</f>
        <v>0.7</v>
      </c>
      <c r="W1688">
        <v>0.7</v>
      </c>
      <c r="X1688">
        <v>0</v>
      </c>
      <c r="Y1688">
        <v>0</v>
      </c>
      <c r="Z1688">
        <v>0</v>
      </c>
      <c r="AA1688" t="s">
        <v>43</v>
      </c>
      <c r="AB1688">
        <v>0.7</v>
      </c>
      <c r="AD1688" t="s">
        <v>2018</v>
      </c>
      <c r="AE1688" t="s">
        <v>2019</v>
      </c>
    </row>
    <row r="1689" spans="1:31" x14ac:dyDescent="0.25">
      <c r="A1689" t="s">
        <v>31</v>
      </c>
      <c r="C1689" t="s">
        <v>169</v>
      </c>
      <c r="D1689" t="s">
        <v>284</v>
      </c>
      <c r="E1689" t="s">
        <v>34</v>
      </c>
      <c r="F1689" t="s">
        <v>35</v>
      </c>
      <c r="G1689">
        <v>2000</v>
      </c>
      <c r="H1689" t="s">
        <v>36</v>
      </c>
      <c r="I1689" t="s">
        <v>285</v>
      </c>
      <c r="J1689" t="s">
        <v>31</v>
      </c>
      <c r="K1689" t="s">
        <v>38</v>
      </c>
      <c r="L1689" t="s">
        <v>77</v>
      </c>
      <c r="M1689" t="s">
        <v>78</v>
      </c>
      <c r="N1689" t="s">
        <v>278</v>
      </c>
      <c r="O1689" t="s">
        <v>279</v>
      </c>
      <c r="P1689" t="s">
        <v>286</v>
      </c>
      <c r="Q1689" t="s">
        <v>287</v>
      </c>
      <c r="S1689" t="s">
        <v>288</v>
      </c>
      <c r="T1689">
        <v>39.956882782999998</v>
      </c>
      <c r="U1689">
        <v>-75.196253382999998</v>
      </c>
      <c r="V1689">
        <f>SUM(W1689:X1689)+(Y1689*0.8)+(Z1689*0.4)</f>
        <v>0.7</v>
      </c>
      <c r="W1689">
        <v>0.7</v>
      </c>
      <c r="X1689">
        <v>0</v>
      </c>
      <c r="Y1689">
        <v>0</v>
      </c>
      <c r="Z1689">
        <v>0</v>
      </c>
      <c r="AA1689" t="s">
        <v>43</v>
      </c>
      <c r="AB1689">
        <v>0.67</v>
      </c>
      <c r="AD1689" t="s">
        <v>289</v>
      </c>
      <c r="AE1689" t="s">
        <v>290</v>
      </c>
    </row>
    <row r="1690" spans="1:31" x14ac:dyDescent="0.25">
      <c r="A1690" t="s">
        <v>31</v>
      </c>
      <c r="C1690" t="s">
        <v>5686</v>
      </c>
      <c r="D1690" t="s">
        <v>5687</v>
      </c>
      <c r="E1690" t="s">
        <v>34</v>
      </c>
      <c r="F1690" t="s">
        <v>35</v>
      </c>
      <c r="G1690">
        <v>1999</v>
      </c>
      <c r="H1690" t="s">
        <v>36</v>
      </c>
      <c r="I1690" t="s">
        <v>5688</v>
      </c>
      <c r="J1690" t="s">
        <v>31</v>
      </c>
      <c r="K1690" t="s">
        <v>38</v>
      </c>
      <c r="L1690" t="s">
        <v>172</v>
      </c>
      <c r="M1690" t="s">
        <v>173</v>
      </c>
      <c r="N1690" t="s">
        <v>493</v>
      </c>
      <c r="O1690" t="s">
        <v>494</v>
      </c>
      <c r="P1690" t="s">
        <v>5689</v>
      </c>
      <c r="Q1690" t="s">
        <v>5690</v>
      </c>
      <c r="S1690" t="s">
        <v>5691</v>
      </c>
      <c r="T1690">
        <v>34.062277475000002</v>
      </c>
      <c r="U1690">
        <v>-118.358577731</v>
      </c>
      <c r="V1690">
        <f>SUM(W1690:X1690)+(Y1690*0.8)+(Z1690*0.4)</f>
        <v>0.7</v>
      </c>
      <c r="W1690">
        <v>0.7</v>
      </c>
      <c r="X1690">
        <v>0</v>
      </c>
      <c r="Y1690">
        <v>0</v>
      </c>
      <c r="Z1690">
        <v>0</v>
      </c>
      <c r="AA1690" t="s">
        <v>43</v>
      </c>
      <c r="AB1690">
        <v>0.7</v>
      </c>
      <c r="AD1690" t="s">
        <v>5692</v>
      </c>
      <c r="AE1690" t="s">
        <v>5693</v>
      </c>
    </row>
    <row r="1691" spans="1:31" x14ac:dyDescent="0.25">
      <c r="A1691" t="s">
        <v>31</v>
      </c>
      <c r="C1691" t="s">
        <v>3710</v>
      </c>
      <c r="D1691" t="s">
        <v>3912</v>
      </c>
      <c r="E1691" t="s">
        <v>34</v>
      </c>
      <c r="F1691" t="s">
        <v>35</v>
      </c>
      <c r="G1691">
        <v>2007</v>
      </c>
      <c r="H1691" t="s">
        <v>36</v>
      </c>
      <c r="I1691" t="s">
        <v>3913</v>
      </c>
      <c r="J1691" t="s">
        <v>31</v>
      </c>
      <c r="K1691" t="s">
        <v>38</v>
      </c>
      <c r="L1691" t="s">
        <v>123</v>
      </c>
      <c r="M1691" t="s">
        <v>124</v>
      </c>
      <c r="N1691" t="s">
        <v>270</v>
      </c>
      <c r="O1691" t="s">
        <v>123</v>
      </c>
      <c r="P1691" t="s">
        <v>2680</v>
      </c>
      <c r="Q1691" t="s">
        <v>2681</v>
      </c>
      <c r="S1691" t="s">
        <v>273</v>
      </c>
      <c r="T1691">
        <v>40.741555075999997</v>
      </c>
      <c r="U1691">
        <v>-74.003024772000003</v>
      </c>
      <c r="V1691">
        <f>SUM(W1691:X1691)+(Y1691*0.8)+(Z1691*0.4)</f>
        <v>0.68100000000000005</v>
      </c>
      <c r="W1691">
        <v>0.68100000000000005</v>
      </c>
      <c r="X1691">
        <v>0</v>
      </c>
      <c r="Y1691">
        <v>0</v>
      </c>
      <c r="Z1691">
        <v>0</v>
      </c>
      <c r="AA1691" t="s">
        <v>43</v>
      </c>
      <c r="AB1691">
        <v>0.66500000000000004</v>
      </c>
      <c r="AD1691" t="s">
        <v>3914</v>
      </c>
      <c r="AE1691" t="s">
        <v>3915</v>
      </c>
    </row>
    <row r="1692" spans="1:31" x14ac:dyDescent="0.25">
      <c r="A1692" t="s">
        <v>31</v>
      </c>
      <c r="C1692" t="s">
        <v>3710</v>
      </c>
      <c r="D1692" t="s">
        <v>3425</v>
      </c>
      <c r="E1692" t="s">
        <v>34</v>
      </c>
      <c r="F1692" t="s">
        <v>35</v>
      </c>
      <c r="G1692">
        <v>2016</v>
      </c>
      <c r="H1692" t="s">
        <v>36</v>
      </c>
      <c r="I1692" t="s">
        <v>3860</v>
      </c>
      <c r="J1692" t="s">
        <v>31</v>
      </c>
      <c r="K1692" t="s">
        <v>38</v>
      </c>
      <c r="L1692" t="s">
        <v>68</v>
      </c>
      <c r="M1692" t="s">
        <v>69</v>
      </c>
      <c r="N1692" t="s">
        <v>297</v>
      </c>
      <c r="O1692" t="s">
        <v>2116</v>
      </c>
      <c r="P1692" t="s">
        <v>3861</v>
      </c>
      <c r="T1692">
        <v>32.838768825999999</v>
      </c>
      <c r="U1692">
        <v>-96.865008099999997</v>
      </c>
      <c r="V1692">
        <f>SUM(W1692:X1692)+(Y1692*0.8)+(Z1692*0.4)</f>
        <v>0.67400000000000004</v>
      </c>
      <c r="W1692">
        <v>0.67400000000000004</v>
      </c>
      <c r="X1692">
        <v>0</v>
      </c>
      <c r="Y1692">
        <v>0</v>
      </c>
      <c r="Z1692">
        <v>0</v>
      </c>
      <c r="AA1692" t="s">
        <v>43</v>
      </c>
      <c r="AB1692">
        <v>0.61</v>
      </c>
      <c r="AD1692" t="s">
        <v>3862</v>
      </c>
      <c r="AE1692" t="s">
        <v>3863</v>
      </c>
    </row>
    <row r="1693" spans="1:31" x14ac:dyDescent="0.25">
      <c r="A1693" t="s">
        <v>31</v>
      </c>
      <c r="C1693" t="s">
        <v>10380</v>
      </c>
      <c r="D1693" t="s">
        <v>10381</v>
      </c>
      <c r="E1693" t="s">
        <v>362</v>
      </c>
      <c r="F1693" t="s">
        <v>630</v>
      </c>
      <c r="G1693">
        <v>2012</v>
      </c>
      <c r="H1693" t="s">
        <v>36</v>
      </c>
      <c r="I1693" t="s">
        <v>10382</v>
      </c>
      <c r="J1693" t="s">
        <v>31</v>
      </c>
      <c r="K1693" t="s">
        <v>38</v>
      </c>
      <c r="L1693" t="s">
        <v>1819</v>
      </c>
      <c r="M1693" t="s">
        <v>1820</v>
      </c>
      <c r="N1693" t="s">
        <v>8210</v>
      </c>
      <c r="O1693" t="s">
        <v>8208</v>
      </c>
      <c r="P1693" t="s">
        <v>10383</v>
      </c>
      <c r="T1693">
        <v>35.481646087000001</v>
      </c>
      <c r="U1693">
        <v>-97.494128051999994</v>
      </c>
      <c r="V1693">
        <f>SUM(W1693:X1693)+(Y1693*0.8)+(Z1693*0.4)</f>
        <v>0.67</v>
      </c>
      <c r="W1693">
        <v>0.67</v>
      </c>
      <c r="X1693">
        <v>0</v>
      </c>
      <c r="Y1693">
        <v>0</v>
      </c>
      <c r="Z1693">
        <v>0</v>
      </c>
      <c r="AA1693" t="s">
        <v>43</v>
      </c>
      <c r="AB1693">
        <v>0.67</v>
      </c>
      <c r="AD1693" t="s">
        <v>10384</v>
      </c>
      <c r="AE1693" t="s">
        <v>10385</v>
      </c>
    </row>
    <row r="1694" spans="1:31" x14ac:dyDescent="0.25">
      <c r="A1694" t="s">
        <v>31</v>
      </c>
      <c r="C1694" t="s">
        <v>7044</v>
      </c>
      <c r="D1694" t="s">
        <v>7045</v>
      </c>
      <c r="E1694" t="s">
        <v>34</v>
      </c>
      <c r="F1694" t="s">
        <v>35</v>
      </c>
      <c r="G1694">
        <v>2000</v>
      </c>
      <c r="H1694" t="s">
        <v>36</v>
      </c>
      <c r="I1694" t="s">
        <v>7046</v>
      </c>
      <c r="J1694" t="s">
        <v>31</v>
      </c>
      <c r="K1694" t="s">
        <v>38</v>
      </c>
      <c r="L1694" t="s">
        <v>172</v>
      </c>
      <c r="M1694" t="s">
        <v>173</v>
      </c>
      <c r="N1694" t="s">
        <v>493</v>
      </c>
      <c r="O1694" t="s">
        <v>494</v>
      </c>
      <c r="P1694" t="s">
        <v>495</v>
      </c>
      <c r="S1694" t="s">
        <v>2670</v>
      </c>
      <c r="T1694">
        <v>34.048431526999998</v>
      </c>
      <c r="U1694">
        <v>-118.257012831</v>
      </c>
      <c r="V1694">
        <f>SUM(W1694:X1694)+(Y1694*0.8)+(Z1694*0.4)</f>
        <v>0.66500000000000004</v>
      </c>
      <c r="W1694">
        <v>0.66500000000000004</v>
      </c>
      <c r="X1694">
        <v>0</v>
      </c>
      <c r="Y1694">
        <v>0</v>
      </c>
      <c r="Z1694">
        <v>0</v>
      </c>
      <c r="AA1694" t="s">
        <v>43</v>
      </c>
      <c r="AB1694">
        <v>0.66</v>
      </c>
      <c r="AD1694" t="s">
        <v>7047</v>
      </c>
      <c r="AE1694" t="s">
        <v>7048</v>
      </c>
    </row>
    <row r="1695" spans="1:31" x14ac:dyDescent="0.25">
      <c r="A1695" t="s">
        <v>31</v>
      </c>
      <c r="C1695" t="s">
        <v>7605</v>
      </c>
      <c r="D1695" t="s">
        <v>7611</v>
      </c>
      <c r="E1695" t="s">
        <v>34</v>
      </c>
      <c r="F1695" t="s">
        <v>35</v>
      </c>
      <c r="G1695">
        <v>2018</v>
      </c>
      <c r="H1695" t="s">
        <v>36</v>
      </c>
      <c r="I1695" t="s">
        <v>7612</v>
      </c>
      <c r="J1695" t="s">
        <v>31</v>
      </c>
      <c r="K1695" t="s">
        <v>38</v>
      </c>
      <c r="L1695" t="s">
        <v>68</v>
      </c>
      <c r="M1695" t="s">
        <v>69</v>
      </c>
      <c r="N1695" t="s">
        <v>5128</v>
      </c>
      <c r="O1695" t="s">
        <v>7613</v>
      </c>
      <c r="P1695" t="s">
        <v>7614</v>
      </c>
      <c r="S1695" t="s">
        <v>7615</v>
      </c>
      <c r="T1695">
        <v>27.690625119</v>
      </c>
      <c r="U1695">
        <v>-99.450217606999999</v>
      </c>
      <c r="V1695">
        <f>SUM(W1695:X1695)+(Y1695*0.8)+(Z1695*0.4)</f>
        <v>0.65</v>
      </c>
      <c r="W1695">
        <v>0.65</v>
      </c>
      <c r="X1695">
        <v>0</v>
      </c>
      <c r="Y1695">
        <v>0</v>
      </c>
      <c r="Z1695">
        <v>0</v>
      </c>
      <c r="AA1695" t="s">
        <v>43</v>
      </c>
      <c r="AB1695">
        <v>0.52</v>
      </c>
      <c r="AD1695" t="s">
        <v>7616</v>
      </c>
      <c r="AE1695" t="s">
        <v>7617</v>
      </c>
    </row>
    <row r="1696" spans="1:31" x14ac:dyDescent="0.25">
      <c r="A1696" t="s">
        <v>31</v>
      </c>
      <c r="C1696" t="s">
        <v>1973</v>
      </c>
      <c r="D1696" t="s">
        <v>1980</v>
      </c>
      <c r="E1696" t="s">
        <v>34</v>
      </c>
      <c r="F1696" t="s">
        <v>35</v>
      </c>
      <c r="G1696">
        <v>2014</v>
      </c>
      <c r="H1696" t="s">
        <v>36</v>
      </c>
      <c r="I1696" t="s">
        <v>1981</v>
      </c>
      <c r="J1696" t="s">
        <v>31</v>
      </c>
      <c r="K1696" t="s">
        <v>38</v>
      </c>
      <c r="L1696" t="s">
        <v>1146</v>
      </c>
      <c r="M1696" t="s">
        <v>1147</v>
      </c>
      <c r="N1696" t="s">
        <v>1982</v>
      </c>
      <c r="O1696" t="s">
        <v>1983</v>
      </c>
      <c r="P1696" t="s">
        <v>1984</v>
      </c>
      <c r="T1696">
        <v>33.470533895000003</v>
      </c>
      <c r="U1696">
        <v>-88.791193867000004</v>
      </c>
      <c r="V1696">
        <f>SUM(W1696:X1696)+(Y1696*0.8)+(Z1696*0.4)</f>
        <v>0.65</v>
      </c>
      <c r="W1696">
        <v>0.65</v>
      </c>
      <c r="X1696">
        <v>0</v>
      </c>
      <c r="Y1696">
        <v>0</v>
      </c>
      <c r="Z1696">
        <v>0</v>
      </c>
      <c r="AA1696" t="s">
        <v>43</v>
      </c>
      <c r="AB1696">
        <v>0.2</v>
      </c>
      <c r="AD1696" t="s">
        <v>1985</v>
      </c>
      <c r="AE1696" t="s">
        <v>1986</v>
      </c>
    </row>
    <row r="1697" spans="1:31" x14ac:dyDescent="0.25">
      <c r="A1697" t="s">
        <v>31</v>
      </c>
      <c r="C1697" t="s">
        <v>1530</v>
      </c>
      <c r="D1697" t="s">
        <v>1148</v>
      </c>
      <c r="E1697" t="s">
        <v>34</v>
      </c>
      <c r="F1697" t="s">
        <v>35</v>
      </c>
      <c r="G1697">
        <v>2009</v>
      </c>
      <c r="H1697" t="s">
        <v>36</v>
      </c>
      <c r="I1697" t="s">
        <v>1548</v>
      </c>
      <c r="J1697" t="s">
        <v>31</v>
      </c>
      <c r="K1697" t="s">
        <v>38</v>
      </c>
      <c r="L1697" t="s">
        <v>317</v>
      </c>
      <c r="M1697" t="s">
        <v>318</v>
      </c>
      <c r="N1697" t="s">
        <v>1549</v>
      </c>
      <c r="O1697" t="s">
        <v>1148</v>
      </c>
      <c r="P1697" t="s">
        <v>1550</v>
      </c>
      <c r="Q1697" t="s">
        <v>1551</v>
      </c>
      <c r="T1697">
        <v>40.832578994000002</v>
      </c>
      <c r="U1697">
        <v>-81.431953841999999</v>
      </c>
      <c r="V1697">
        <f>SUM(W1697:X1697)+(Y1697*0.8)+(Z1697*0.4)</f>
        <v>0.65</v>
      </c>
      <c r="W1697">
        <v>0.65</v>
      </c>
      <c r="X1697">
        <v>0</v>
      </c>
      <c r="Y1697">
        <v>0</v>
      </c>
      <c r="Z1697">
        <v>0</v>
      </c>
      <c r="AA1697" t="s">
        <v>43</v>
      </c>
      <c r="AB1697">
        <v>0.33</v>
      </c>
      <c r="AD1697" t="s">
        <v>1552</v>
      </c>
      <c r="AE1697" t="s">
        <v>1553</v>
      </c>
    </row>
    <row r="1698" spans="1:31" x14ac:dyDescent="0.25">
      <c r="A1698" t="s">
        <v>31</v>
      </c>
      <c r="C1698" t="s">
        <v>11234</v>
      </c>
      <c r="D1698" t="s">
        <v>11235</v>
      </c>
      <c r="E1698" t="s">
        <v>362</v>
      </c>
      <c r="F1698" t="s">
        <v>1302</v>
      </c>
      <c r="G1698">
        <v>2020</v>
      </c>
      <c r="H1698" t="s">
        <v>36</v>
      </c>
      <c r="I1698" t="s">
        <v>11236</v>
      </c>
      <c r="J1698" t="s">
        <v>31</v>
      </c>
      <c r="K1698" t="s">
        <v>38</v>
      </c>
      <c r="L1698" t="s">
        <v>242</v>
      </c>
      <c r="M1698" t="s">
        <v>243</v>
      </c>
      <c r="N1698" t="s">
        <v>11237</v>
      </c>
      <c r="O1698" t="s">
        <v>11238</v>
      </c>
      <c r="P1698" t="s">
        <v>11239</v>
      </c>
      <c r="T1698">
        <v>37.269100389999998</v>
      </c>
      <c r="U1698">
        <v>-76.717830816000003</v>
      </c>
      <c r="V1698">
        <f>SUM(W1698:X1698)+(Y1698*0.8)+(Z1698*0.4)</f>
        <v>0.6</v>
      </c>
      <c r="W1698">
        <v>0.6</v>
      </c>
      <c r="X1698">
        <v>0</v>
      </c>
      <c r="Y1698">
        <v>0</v>
      </c>
      <c r="Z1698">
        <v>0</v>
      </c>
      <c r="AA1698" t="s">
        <v>43</v>
      </c>
      <c r="AB1698">
        <v>0.6</v>
      </c>
      <c r="AD1698" t="s">
        <v>11240</v>
      </c>
      <c r="AE1698" t="s">
        <v>11241</v>
      </c>
    </row>
    <row r="1699" spans="1:31" x14ac:dyDescent="0.25">
      <c r="A1699" t="s">
        <v>31</v>
      </c>
      <c r="C1699" t="s">
        <v>6725</v>
      </c>
      <c r="D1699" t="s">
        <v>6733</v>
      </c>
      <c r="E1699" t="s">
        <v>362</v>
      </c>
      <c r="F1699" t="s">
        <v>1611</v>
      </c>
      <c r="G1699">
        <v>2019</v>
      </c>
      <c r="H1699" t="s">
        <v>36</v>
      </c>
      <c r="I1699" t="s">
        <v>6734</v>
      </c>
      <c r="J1699" t="s">
        <v>31</v>
      </c>
      <c r="K1699" t="s">
        <v>38</v>
      </c>
      <c r="L1699" t="s">
        <v>1433</v>
      </c>
      <c r="M1699" t="s">
        <v>1434</v>
      </c>
      <c r="N1699" t="s">
        <v>6728</v>
      </c>
      <c r="O1699" t="s">
        <v>6729</v>
      </c>
      <c r="P1699" t="s">
        <v>6730</v>
      </c>
      <c r="T1699">
        <v>42.498067153000001</v>
      </c>
      <c r="U1699">
        <v>-96.403927788999994</v>
      </c>
      <c r="V1699">
        <f>SUM(W1699:X1699)+(Y1699*0.8)+(Z1699*0.4)</f>
        <v>0.6</v>
      </c>
      <c r="W1699">
        <v>0.6</v>
      </c>
      <c r="X1699">
        <v>0</v>
      </c>
      <c r="Y1699">
        <v>0</v>
      </c>
      <c r="Z1699">
        <v>0</v>
      </c>
      <c r="AA1699" t="s">
        <v>43</v>
      </c>
      <c r="AB1699">
        <v>0.6</v>
      </c>
      <c r="AD1699" t="s">
        <v>6735</v>
      </c>
      <c r="AE1699" t="s">
        <v>6736</v>
      </c>
    </row>
    <row r="1700" spans="1:31" x14ac:dyDescent="0.25">
      <c r="A1700" t="s">
        <v>31</v>
      </c>
      <c r="C1700" t="s">
        <v>350</v>
      </c>
      <c r="D1700" t="s">
        <v>351</v>
      </c>
      <c r="E1700" t="s">
        <v>34</v>
      </c>
      <c r="F1700" t="s">
        <v>35</v>
      </c>
      <c r="G1700">
        <v>2019</v>
      </c>
      <c r="H1700" t="s">
        <v>36</v>
      </c>
      <c r="I1700" t="s">
        <v>352</v>
      </c>
      <c r="J1700" t="s">
        <v>31</v>
      </c>
      <c r="K1700" t="s">
        <v>38</v>
      </c>
      <c r="L1700" t="s">
        <v>353</v>
      </c>
      <c r="M1700" t="s">
        <v>354</v>
      </c>
      <c r="N1700" t="s">
        <v>355</v>
      </c>
      <c r="O1700" t="s">
        <v>356</v>
      </c>
      <c r="P1700" t="s">
        <v>357</v>
      </c>
      <c r="Q1700" t="s">
        <v>356</v>
      </c>
      <c r="T1700">
        <v>46.868416488999998</v>
      </c>
      <c r="U1700">
        <v>-96.827275166000007</v>
      </c>
      <c r="V1700">
        <f>SUM(W1700:X1700)+(Y1700*0.8)+(Z1700*0.4)</f>
        <v>0.6</v>
      </c>
      <c r="W1700">
        <v>0.6</v>
      </c>
      <c r="X1700">
        <v>0</v>
      </c>
      <c r="Y1700">
        <v>0</v>
      </c>
      <c r="Z1700">
        <v>0</v>
      </c>
      <c r="AA1700" t="s">
        <v>43</v>
      </c>
      <c r="AB1700">
        <v>0.3</v>
      </c>
      <c r="AD1700" t="s">
        <v>358</v>
      </c>
      <c r="AE1700" t="s">
        <v>359</v>
      </c>
    </row>
    <row r="1701" spans="1:31" x14ac:dyDescent="0.25">
      <c r="A1701" t="s">
        <v>31</v>
      </c>
      <c r="C1701" t="s">
        <v>10731</v>
      </c>
      <c r="D1701" t="s">
        <v>10732</v>
      </c>
      <c r="E1701" t="s">
        <v>34</v>
      </c>
      <c r="F1701" t="s">
        <v>35</v>
      </c>
      <c r="G1701">
        <v>2015</v>
      </c>
      <c r="H1701" t="s">
        <v>36</v>
      </c>
      <c r="I1701" t="s">
        <v>10733</v>
      </c>
      <c r="J1701" t="s">
        <v>31</v>
      </c>
      <c r="K1701" t="s">
        <v>38</v>
      </c>
      <c r="L1701" t="s">
        <v>77</v>
      </c>
      <c r="M1701" t="s">
        <v>78</v>
      </c>
      <c r="N1701" t="s">
        <v>3641</v>
      </c>
      <c r="O1701" t="s">
        <v>10734</v>
      </c>
      <c r="P1701" t="s">
        <v>3650</v>
      </c>
      <c r="T1701">
        <v>40.076811939000002</v>
      </c>
      <c r="U1701">
        <v>-75.287258315000003</v>
      </c>
      <c r="V1701">
        <f>SUM(W1701:X1701)+(Y1701*0.8)+(Z1701*0.4)</f>
        <v>0.6</v>
      </c>
      <c r="W1701">
        <v>0.6</v>
      </c>
      <c r="X1701">
        <v>0</v>
      </c>
      <c r="Y1701">
        <v>0</v>
      </c>
      <c r="Z1701">
        <v>0</v>
      </c>
      <c r="AA1701" t="s">
        <v>43</v>
      </c>
      <c r="AB1701">
        <v>0.57999999999999996</v>
      </c>
      <c r="AD1701" t="s">
        <v>10735</v>
      </c>
      <c r="AE1701" t="s">
        <v>10736</v>
      </c>
    </row>
    <row r="1702" spans="1:31" x14ac:dyDescent="0.25">
      <c r="A1702" t="s">
        <v>31</v>
      </c>
      <c r="C1702" t="s">
        <v>8242</v>
      </c>
      <c r="D1702" t="s">
        <v>8243</v>
      </c>
      <c r="E1702" t="s">
        <v>362</v>
      </c>
      <c r="F1702" t="s">
        <v>381</v>
      </c>
      <c r="G1702">
        <v>2013</v>
      </c>
      <c r="H1702" t="s">
        <v>36</v>
      </c>
      <c r="I1702" t="s">
        <v>8244</v>
      </c>
      <c r="J1702" t="s">
        <v>31</v>
      </c>
      <c r="K1702" t="s">
        <v>38</v>
      </c>
      <c r="L1702" t="s">
        <v>1833</v>
      </c>
      <c r="M1702" t="s">
        <v>1834</v>
      </c>
      <c r="N1702" t="s">
        <v>7031</v>
      </c>
      <c r="O1702" t="s">
        <v>8245</v>
      </c>
      <c r="P1702" t="s">
        <v>8246</v>
      </c>
      <c r="T1702">
        <v>45.673335246999997</v>
      </c>
      <c r="U1702">
        <v>-111.189709937</v>
      </c>
      <c r="V1702">
        <f>SUM(W1702:X1702)+(Y1702*0.8)+(Z1702*0.4)</f>
        <v>0.6</v>
      </c>
      <c r="W1702">
        <v>0.6</v>
      </c>
      <c r="X1702">
        <v>0</v>
      </c>
      <c r="Y1702">
        <v>0</v>
      </c>
      <c r="Z1702">
        <v>0</v>
      </c>
      <c r="AA1702" t="s">
        <v>43</v>
      </c>
      <c r="AB1702">
        <v>0.6</v>
      </c>
      <c r="AD1702" t="s">
        <v>8247</v>
      </c>
      <c r="AE1702" t="s">
        <v>8248</v>
      </c>
    </row>
    <row r="1703" spans="1:31" x14ac:dyDescent="0.25">
      <c r="A1703" t="s">
        <v>31</v>
      </c>
      <c r="C1703" t="s">
        <v>3362</v>
      </c>
      <c r="D1703" t="s">
        <v>6502</v>
      </c>
      <c r="E1703" t="s">
        <v>34</v>
      </c>
      <c r="F1703" t="s">
        <v>35</v>
      </c>
      <c r="G1703">
        <v>2011</v>
      </c>
      <c r="H1703" t="s">
        <v>36</v>
      </c>
      <c r="I1703" t="s">
        <v>6503</v>
      </c>
      <c r="J1703" t="s">
        <v>31</v>
      </c>
      <c r="K1703" t="s">
        <v>38</v>
      </c>
      <c r="L1703" t="s">
        <v>153</v>
      </c>
      <c r="M1703" t="s">
        <v>154</v>
      </c>
      <c r="N1703" t="s">
        <v>2036</v>
      </c>
      <c r="O1703" t="s">
        <v>196</v>
      </c>
      <c r="P1703" t="s">
        <v>6504</v>
      </c>
      <c r="Q1703" t="s">
        <v>6505</v>
      </c>
      <c r="T1703">
        <v>40.866674349999997</v>
      </c>
      <c r="U1703">
        <v>-98.002527716000003</v>
      </c>
      <c r="V1703">
        <f>SUM(W1703:X1703)+(Y1703*0.8)+(Z1703*0.4)</f>
        <v>0.6</v>
      </c>
      <c r="W1703">
        <v>0.6</v>
      </c>
      <c r="X1703">
        <v>0</v>
      </c>
      <c r="Y1703">
        <v>0</v>
      </c>
      <c r="Z1703">
        <v>0</v>
      </c>
      <c r="AA1703" t="s">
        <v>43</v>
      </c>
      <c r="AB1703">
        <v>0.46500000000000002</v>
      </c>
      <c r="AD1703" t="s">
        <v>6506</v>
      </c>
      <c r="AE1703" t="s">
        <v>6507</v>
      </c>
    </row>
    <row r="1704" spans="1:31" x14ac:dyDescent="0.25">
      <c r="A1704" t="s">
        <v>31</v>
      </c>
      <c r="C1704" t="s">
        <v>2578</v>
      </c>
      <c r="D1704" t="s">
        <v>2578</v>
      </c>
      <c r="E1704" t="s">
        <v>34</v>
      </c>
      <c r="F1704" t="s">
        <v>35</v>
      </c>
      <c r="G1704">
        <v>2010</v>
      </c>
      <c r="H1704" t="s">
        <v>36</v>
      </c>
      <c r="I1704" t="s">
        <v>2579</v>
      </c>
      <c r="J1704" t="s">
        <v>31</v>
      </c>
      <c r="K1704" t="s">
        <v>38</v>
      </c>
      <c r="L1704" t="s">
        <v>1380</v>
      </c>
      <c r="M1704" t="s">
        <v>1381</v>
      </c>
      <c r="N1704" t="s">
        <v>2408</v>
      </c>
      <c r="O1704" t="s">
        <v>2580</v>
      </c>
      <c r="P1704" t="s">
        <v>2581</v>
      </c>
      <c r="T1704">
        <v>41.299507390000002</v>
      </c>
      <c r="U1704">
        <v>-72.751717142000004</v>
      </c>
      <c r="V1704">
        <f>SUM(W1704:X1704)+(Y1704*0.8)+(Z1704*0.4)</f>
        <v>0.6</v>
      </c>
      <c r="W1704">
        <v>0.6</v>
      </c>
      <c r="X1704">
        <v>0</v>
      </c>
      <c r="Y1704">
        <v>0</v>
      </c>
      <c r="Z1704">
        <v>0</v>
      </c>
      <c r="AA1704" t="s">
        <v>43</v>
      </c>
      <c r="AB1704">
        <v>0.56000000000000005</v>
      </c>
      <c r="AD1704" t="s">
        <v>2582</v>
      </c>
      <c r="AE1704" t="s">
        <v>2583</v>
      </c>
    </row>
    <row r="1705" spans="1:31" x14ac:dyDescent="0.25">
      <c r="A1705" t="s">
        <v>31</v>
      </c>
      <c r="C1705" t="s">
        <v>3653</v>
      </c>
      <c r="D1705" t="s">
        <v>3659</v>
      </c>
      <c r="E1705" t="s">
        <v>362</v>
      </c>
      <c r="F1705" t="s">
        <v>381</v>
      </c>
      <c r="G1705">
        <v>2009</v>
      </c>
      <c r="H1705" t="s">
        <v>36</v>
      </c>
      <c r="I1705" t="s">
        <v>3660</v>
      </c>
      <c r="J1705" t="s">
        <v>31</v>
      </c>
      <c r="K1705" t="s">
        <v>38</v>
      </c>
      <c r="L1705" t="s">
        <v>172</v>
      </c>
      <c r="M1705" t="s">
        <v>173</v>
      </c>
      <c r="N1705" t="s">
        <v>3661</v>
      </c>
      <c r="O1705" t="s">
        <v>3662</v>
      </c>
      <c r="P1705" t="s">
        <v>3663</v>
      </c>
      <c r="S1705" t="s">
        <v>3664</v>
      </c>
      <c r="T1705">
        <v>37.779488596999997</v>
      </c>
      <c r="U1705">
        <v>-122.394105289</v>
      </c>
      <c r="V1705">
        <f>SUM(W1705:X1705)+(Y1705*0.8)+(Z1705*0.4)</f>
        <v>0.6</v>
      </c>
      <c r="W1705">
        <v>0.6</v>
      </c>
      <c r="X1705">
        <v>0</v>
      </c>
      <c r="Y1705">
        <v>0</v>
      </c>
      <c r="Z1705">
        <v>0</v>
      </c>
      <c r="AA1705" t="s">
        <v>43</v>
      </c>
      <c r="AB1705">
        <v>0.6</v>
      </c>
      <c r="AD1705" t="s">
        <v>3665</v>
      </c>
      <c r="AE1705" t="s">
        <v>3666</v>
      </c>
    </row>
    <row r="1706" spans="1:31" x14ac:dyDescent="0.25">
      <c r="A1706" t="s">
        <v>31</v>
      </c>
      <c r="C1706" t="s">
        <v>3710</v>
      </c>
      <c r="D1706" t="s">
        <v>3953</v>
      </c>
      <c r="E1706" t="s">
        <v>34</v>
      </c>
      <c r="F1706" t="s">
        <v>35</v>
      </c>
      <c r="G1706">
        <v>2008</v>
      </c>
      <c r="H1706" t="s">
        <v>36</v>
      </c>
      <c r="I1706" t="s">
        <v>3954</v>
      </c>
      <c r="J1706" t="s">
        <v>31</v>
      </c>
      <c r="K1706" t="s">
        <v>38</v>
      </c>
      <c r="L1706" t="s">
        <v>172</v>
      </c>
      <c r="M1706" t="s">
        <v>173</v>
      </c>
      <c r="N1706" t="s">
        <v>2023</v>
      </c>
      <c r="O1706" t="s">
        <v>2021</v>
      </c>
      <c r="P1706" t="s">
        <v>2024</v>
      </c>
      <c r="T1706">
        <v>32.809917071999998</v>
      </c>
      <c r="U1706">
        <v>-117.120918682</v>
      </c>
      <c r="V1706">
        <f>SUM(W1706:X1706)+(Y1706*0.8)+(Z1706*0.4)</f>
        <v>0.6</v>
      </c>
      <c r="W1706">
        <v>0.6</v>
      </c>
      <c r="X1706">
        <v>0</v>
      </c>
      <c r="Y1706">
        <v>0</v>
      </c>
      <c r="Z1706">
        <v>0</v>
      </c>
      <c r="AA1706" t="s">
        <v>43</v>
      </c>
      <c r="AB1706">
        <v>0.6</v>
      </c>
      <c r="AD1706" t="s">
        <v>3955</v>
      </c>
      <c r="AE1706" t="s">
        <v>3956</v>
      </c>
    </row>
    <row r="1707" spans="1:31" x14ac:dyDescent="0.25">
      <c r="A1707" t="s">
        <v>31</v>
      </c>
      <c r="C1707" t="s">
        <v>6802</v>
      </c>
      <c r="D1707" t="s">
        <v>6803</v>
      </c>
      <c r="E1707" t="s">
        <v>34</v>
      </c>
      <c r="F1707" t="s">
        <v>35</v>
      </c>
      <c r="G1707">
        <v>2007</v>
      </c>
      <c r="H1707" t="s">
        <v>36</v>
      </c>
      <c r="I1707" t="s">
        <v>6804</v>
      </c>
      <c r="J1707" t="s">
        <v>31</v>
      </c>
      <c r="K1707" t="s">
        <v>38</v>
      </c>
      <c r="L1707" t="s">
        <v>39</v>
      </c>
      <c r="M1707" t="s">
        <v>40</v>
      </c>
      <c r="N1707" t="s">
        <v>2140</v>
      </c>
      <c r="O1707" t="s">
        <v>2161</v>
      </c>
      <c r="P1707" t="s">
        <v>2162</v>
      </c>
      <c r="T1707">
        <v>40.786250879000001</v>
      </c>
      <c r="U1707">
        <v>-74.073778059999995</v>
      </c>
      <c r="V1707">
        <f>SUM(W1707:X1707)+(Y1707*0.8)+(Z1707*0.4)</f>
        <v>0.6</v>
      </c>
      <c r="W1707">
        <v>0.6</v>
      </c>
      <c r="X1707">
        <v>0</v>
      </c>
      <c r="Y1707">
        <v>0</v>
      </c>
      <c r="Z1707">
        <v>0</v>
      </c>
      <c r="AA1707" t="s">
        <v>43</v>
      </c>
      <c r="AB1707">
        <v>0.56999999999999995</v>
      </c>
      <c r="AD1707" t="s">
        <v>6805</v>
      </c>
      <c r="AE1707" t="s">
        <v>6806</v>
      </c>
    </row>
    <row r="1708" spans="1:31" x14ac:dyDescent="0.25">
      <c r="A1708" t="s">
        <v>31</v>
      </c>
      <c r="C1708" t="s">
        <v>3230</v>
      </c>
      <c r="D1708" t="s">
        <v>3237</v>
      </c>
      <c r="E1708" t="s">
        <v>34</v>
      </c>
      <c r="F1708" t="s">
        <v>35</v>
      </c>
      <c r="G1708">
        <v>2007</v>
      </c>
      <c r="H1708" t="s">
        <v>36</v>
      </c>
      <c r="I1708" t="s">
        <v>3238</v>
      </c>
      <c r="J1708" t="s">
        <v>31</v>
      </c>
      <c r="K1708" t="s">
        <v>38</v>
      </c>
      <c r="L1708" t="s">
        <v>317</v>
      </c>
      <c r="M1708" t="s">
        <v>318</v>
      </c>
      <c r="N1708" t="s">
        <v>665</v>
      </c>
      <c r="O1708" t="s">
        <v>668</v>
      </c>
      <c r="P1708" t="s">
        <v>2602</v>
      </c>
      <c r="Q1708" t="s">
        <v>668</v>
      </c>
      <c r="S1708" t="s">
        <v>3239</v>
      </c>
      <c r="T1708">
        <v>39.958901877999999</v>
      </c>
      <c r="U1708">
        <v>-82.996927705000004</v>
      </c>
      <c r="V1708">
        <f>SUM(W1708:X1708)+(Y1708*0.8)+(Z1708*0.4)</f>
        <v>0.6</v>
      </c>
      <c r="W1708">
        <v>0.6</v>
      </c>
      <c r="X1708">
        <v>0</v>
      </c>
      <c r="Y1708">
        <v>0</v>
      </c>
      <c r="Z1708">
        <v>0</v>
      </c>
      <c r="AA1708" t="s">
        <v>43</v>
      </c>
      <c r="AB1708">
        <v>0.3</v>
      </c>
      <c r="AD1708" t="s">
        <v>3240</v>
      </c>
      <c r="AE1708" t="s">
        <v>3241</v>
      </c>
    </row>
    <row r="1709" spans="1:31" x14ac:dyDescent="0.25">
      <c r="A1709" t="s">
        <v>31</v>
      </c>
      <c r="C1709" t="s">
        <v>438</v>
      </c>
      <c r="D1709" t="s">
        <v>439</v>
      </c>
      <c r="E1709" t="s">
        <v>34</v>
      </c>
      <c r="F1709" t="s">
        <v>35</v>
      </c>
      <c r="G1709">
        <v>2007</v>
      </c>
      <c r="H1709" t="s">
        <v>36</v>
      </c>
      <c r="I1709" t="s">
        <v>440</v>
      </c>
      <c r="J1709" t="s">
        <v>31</v>
      </c>
      <c r="K1709" t="s">
        <v>38</v>
      </c>
      <c r="L1709" t="s">
        <v>112</v>
      </c>
      <c r="M1709" t="s">
        <v>113</v>
      </c>
      <c r="N1709" t="s">
        <v>114</v>
      </c>
      <c r="O1709" t="s">
        <v>115</v>
      </c>
      <c r="P1709" t="s">
        <v>441</v>
      </c>
      <c r="Q1709" t="s">
        <v>442</v>
      </c>
      <c r="T1709">
        <v>43.151342026000002</v>
      </c>
      <c r="U1709">
        <v>-88.009644808999994</v>
      </c>
      <c r="V1709">
        <f>SUM(W1709:X1709)+(Y1709*0.8)+(Z1709*0.4)</f>
        <v>0.6</v>
      </c>
      <c r="W1709">
        <v>0.6</v>
      </c>
      <c r="X1709">
        <v>0</v>
      </c>
      <c r="Y1709">
        <v>0</v>
      </c>
      <c r="Z1709">
        <v>0</v>
      </c>
      <c r="AA1709" t="s">
        <v>43</v>
      </c>
      <c r="AB1709">
        <v>0.3</v>
      </c>
      <c r="AD1709" t="s">
        <v>443</v>
      </c>
      <c r="AE1709" t="s">
        <v>444</v>
      </c>
    </row>
    <row r="1710" spans="1:31" x14ac:dyDescent="0.25">
      <c r="A1710" t="s">
        <v>31</v>
      </c>
      <c r="C1710" t="s">
        <v>11317</v>
      </c>
      <c r="D1710" t="s">
        <v>11318</v>
      </c>
      <c r="E1710" t="s">
        <v>34</v>
      </c>
      <c r="F1710" t="s">
        <v>35</v>
      </c>
      <c r="G1710">
        <v>2002</v>
      </c>
      <c r="H1710" t="s">
        <v>36</v>
      </c>
      <c r="I1710" t="s">
        <v>11319</v>
      </c>
      <c r="J1710" t="s">
        <v>31</v>
      </c>
      <c r="K1710" t="s">
        <v>38</v>
      </c>
      <c r="L1710" t="s">
        <v>3074</v>
      </c>
      <c r="M1710" t="s">
        <v>3075</v>
      </c>
      <c r="O1710" t="s">
        <v>843</v>
      </c>
      <c r="P1710" t="s">
        <v>11320</v>
      </c>
      <c r="Q1710" t="s">
        <v>11321</v>
      </c>
      <c r="T1710">
        <v>38.945106482</v>
      </c>
      <c r="U1710">
        <v>-77.063320571000006</v>
      </c>
      <c r="V1710">
        <f>SUM(W1710:X1710)+(Y1710*0.8)+(Z1710*0.4)</f>
        <v>0.6</v>
      </c>
      <c r="W1710">
        <v>0.6</v>
      </c>
      <c r="X1710">
        <v>0</v>
      </c>
      <c r="Y1710">
        <v>0</v>
      </c>
      <c r="Z1710">
        <v>0</v>
      </c>
      <c r="AA1710" t="s">
        <v>43</v>
      </c>
      <c r="AB1710">
        <v>0.56000000000000005</v>
      </c>
      <c r="AD1710" t="s">
        <v>11322</v>
      </c>
      <c r="AE1710" t="s">
        <v>11323</v>
      </c>
    </row>
    <row r="1711" spans="1:31" x14ac:dyDescent="0.25">
      <c r="A1711" t="s">
        <v>31</v>
      </c>
      <c r="C1711" t="s">
        <v>7218</v>
      </c>
      <c r="D1711" t="s">
        <v>7335</v>
      </c>
      <c r="E1711" t="s">
        <v>362</v>
      </c>
      <c r="F1711" t="s">
        <v>1611</v>
      </c>
      <c r="G1711">
        <v>2000</v>
      </c>
      <c r="H1711" t="s">
        <v>36</v>
      </c>
      <c r="I1711" t="s">
        <v>7336</v>
      </c>
      <c r="J1711" t="s">
        <v>31</v>
      </c>
      <c r="K1711" t="s">
        <v>38</v>
      </c>
      <c r="L1711" t="s">
        <v>260</v>
      </c>
      <c r="M1711" t="s">
        <v>261</v>
      </c>
      <c r="N1711" t="s">
        <v>336</v>
      </c>
      <c r="O1711" t="s">
        <v>337</v>
      </c>
      <c r="P1711" t="s">
        <v>338</v>
      </c>
      <c r="S1711" t="s">
        <v>339</v>
      </c>
      <c r="T1711">
        <v>35.028892945000003</v>
      </c>
      <c r="U1711">
        <v>-89.930607961999996</v>
      </c>
      <c r="V1711">
        <f>SUM(W1711:X1711)+(Y1711*0.8)+(Z1711*0.4)</f>
        <v>0.6</v>
      </c>
      <c r="W1711">
        <v>0.6</v>
      </c>
      <c r="X1711">
        <v>0</v>
      </c>
      <c r="Y1711">
        <v>0</v>
      </c>
      <c r="Z1711">
        <v>0</v>
      </c>
      <c r="AA1711" t="s">
        <v>43</v>
      </c>
      <c r="AB1711">
        <v>0.6</v>
      </c>
      <c r="AD1711" t="s">
        <v>7337</v>
      </c>
      <c r="AE1711" t="s">
        <v>7338</v>
      </c>
    </row>
    <row r="1712" spans="1:31" x14ac:dyDescent="0.25">
      <c r="A1712" t="s">
        <v>31</v>
      </c>
      <c r="C1712" t="s">
        <v>7218</v>
      </c>
      <c r="D1712" t="s">
        <v>713</v>
      </c>
      <c r="E1712" t="s">
        <v>34</v>
      </c>
      <c r="F1712" t="s">
        <v>35</v>
      </c>
      <c r="G1712">
        <v>2000</v>
      </c>
      <c r="H1712" t="s">
        <v>36</v>
      </c>
      <c r="I1712" t="s">
        <v>7424</v>
      </c>
      <c r="J1712" t="s">
        <v>31</v>
      </c>
      <c r="K1712" t="s">
        <v>38</v>
      </c>
      <c r="L1712" t="s">
        <v>68</v>
      </c>
      <c r="M1712" t="s">
        <v>69</v>
      </c>
      <c r="N1712" t="s">
        <v>712</v>
      </c>
      <c r="O1712" t="s">
        <v>713</v>
      </c>
      <c r="P1712" t="s">
        <v>7425</v>
      </c>
      <c r="T1712">
        <v>29.475729999999999</v>
      </c>
      <c r="U1712">
        <v>-98.390693999999996</v>
      </c>
      <c r="V1712">
        <f>SUM(W1712:X1712)+(Y1712*0.8)+(Z1712*0.4)</f>
        <v>0.6</v>
      </c>
      <c r="W1712">
        <v>0.6</v>
      </c>
      <c r="X1712">
        <v>0</v>
      </c>
      <c r="Y1712">
        <v>0</v>
      </c>
      <c r="Z1712">
        <v>0</v>
      </c>
      <c r="AA1712" t="s">
        <v>43</v>
      </c>
      <c r="AB1712">
        <v>0.4</v>
      </c>
      <c r="AD1712" t="s">
        <v>7426</v>
      </c>
      <c r="AE1712" t="s">
        <v>7427</v>
      </c>
    </row>
    <row r="1713" spans="1:31" x14ac:dyDescent="0.25">
      <c r="A1713" t="s">
        <v>31</v>
      </c>
      <c r="C1713" t="s">
        <v>2667</v>
      </c>
      <c r="D1713" t="s">
        <v>2678</v>
      </c>
      <c r="E1713" t="s">
        <v>34</v>
      </c>
      <c r="F1713" t="s">
        <v>35</v>
      </c>
      <c r="G1713">
        <v>2000</v>
      </c>
      <c r="H1713" t="s">
        <v>36</v>
      </c>
      <c r="I1713" t="s">
        <v>2679</v>
      </c>
      <c r="J1713" t="s">
        <v>31</v>
      </c>
      <c r="K1713" t="s">
        <v>38</v>
      </c>
      <c r="L1713" t="s">
        <v>123</v>
      </c>
      <c r="M1713" t="s">
        <v>124</v>
      </c>
      <c r="N1713" t="s">
        <v>270</v>
      </c>
      <c r="O1713" t="s">
        <v>123</v>
      </c>
      <c r="P1713" t="s">
        <v>2680</v>
      </c>
      <c r="Q1713" t="s">
        <v>2681</v>
      </c>
      <c r="S1713" t="s">
        <v>273</v>
      </c>
      <c r="T1713">
        <v>40.741587611999996</v>
      </c>
      <c r="U1713">
        <v>-74.003121328999995</v>
      </c>
      <c r="V1713">
        <f>SUM(W1713:X1713)+(Y1713*0.8)+(Z1713*0.4)</f>
        <v>0.6</v>
      </c>
      <c r="W1713">
        <v>0.6</v>
      </c>
      <c r="X1713">
        <v>0</v>
      </c>
      <c r="Y1713">
        <v>0</v>
      </c>
      <c r="Z1713">
        <v>0</v>
      </c>
      <c r="AA1713" t="s">
        <v>43</v>
      </c>
      <c r="AB1713">
        <v>0.56999999999999995</v>
      </c>
      <c r="AD1713" t="s">
        <v>2682</v>
      </c>
      <c r="AE1713" t="s">
        <v>2683</v>
      </c>
    </row>
    <row r="1714" spans="1:31" x14ac:dyDescent="0.25">
      <c r="A1714" t="s">
        <v>31</v>
      </c>
      <c r="C1714" t="s">
        <v>2584</v>
      </c>
      <c r="D1714" t="s">
        <v>2606</v>
      </c>
      <c r="E1714" t="s">
        <v>34</v>
      </c>
      <c r="F1714" t="s">
        <v>35</v>
      </c>
      <c r="G1714">
        <v>1999</v>
      </c>
      <c r="H1714" t="s">
        <v>36</v>
      </c>
      <c r="I1714" t="s">
        <v>2607</v>
      </c>
      <c r="J1714" t="s">
        <v>31</v>
      </c>
      <c r="K1714" t="s">
        <v>38</v>
      </c>
      <c r="L1714" t="s">
        <v>193</v>
      </c>
      <c r="M1714" t="s">
        <v>194</v>
      </c>
      <c r="N1714" t="s">
        <v>1342</v>
      </c>
      <c r="O1714" t="s">
        <v>1343</v>
      </c>
      <c r="P1714" t="s">
        <v>2608</v>
      </c>
      <c r="Q1714" t="s">
        <v>2609</v>
      </c>
      <c r="S1714" t="s">
        <v>2610</v>
      </c>
      <c r="T1714">
        <v>39.630564708000001</v>
      </c>
      <c r="U1714">
        <v>-104.89686145</v>
      </c>
      <c r="V1714">
        <f>SUM(W1714:X1714)+(Y1714*0.8)+(Z1714*0.4)</f>
        <v>0.6</v>
      </c>
      <c r="W1714">
        <v>0.6</v>
      </c>
      <c r="X1714">
        <v>0</v>
      </c>
      <c r="Y1714">
        <v>0</v>
      </c>
      <c r="Z1714">
        <v>0</v>
      </c>
      <c r="AA1714" t="s">
        <v>43</v>
      </c>
      <c r="AB1714">
        <v>0.51</v>
      </c>
      <c r="AD1714" t="s">
        <v>2611</v>
      </c>
      <c r="AE1714" t="s">
        <v>2612</v>
      </c>
    </row>
    <row r="1715" spans="1:31" x14ac:dyDescent="0.25">
      <c r="A1715" t="s">
        <v>31</v>
      </c>
      <c r="C1715" t="s">
        <v>169</v>
      </c>
      <c r="D1715" t="s">
        <v>268</v>
      </c>
      <c r="E1715" t="s">
        <v>34</v>
      </c>
      <c r="F1715" t="s">
        <v>35</v>
      </c>
      <c r="G1715">
        <v>1998</v>
      </c>
      <c r="H1715" t="s">
        <v>36</v>
      </c>
      <c r="I1715" t="s">
        <v>269</v>
      </c>
      <c r="J1715" t="s">
        <v>31</v>
      </c>
      <c r="K1715" t="s">
        <v>38</v>
      </c>
      <c r="L1715" t="s">
        <v>123</v>
      </c>
      <c r="M1715" t="s">
        <v>124</v>
      </c>
      <c r="N1715" t="s">
        <v>270</v>
      </c>
      <c r="O1715" t="s">
        <v>123</v>
      </c>
      <c r="P1715" t="s">
        <v>271</v>
      </c>
      <c r="Q1715" t="s">
        <v>272</v>
      </c>
      <c r="S1715" t="s">
        <v>273</v>
      </c>
      <c r="T1715">
        <v>40.707319239999997</v>
      </c>
      <c r="U1715">
        <v>-74.012393344000003</v>
      </c>
      <c r="V1715">
        <f>SUM(W1715:X1715)+(Y1715*0.8)+(Z1715*0.4)</f>
        <v>0.6</v>
      </c>
      <c r="W1715">
        <v>0.6</v>
      </c>
      <c r="X1715">
        <v>0</v>
      </c>
      <c r="Y1715">
        <v>0</v>
      </c>
      <c r="Z1715">
        <v>0</v>
      </c>
      <c r="AA1715" t="s">
        <v>43</v>
      </c>
      <c r="AB1715">
        <v>0.504</v>
      </c>
      <c r="AD1715" t="s">
        <v>274</v>
      </c>
      <c r="AE1715" t="s">
        <v>275</v>
      </c>
    </row>
    <row r="1716" spans="1:31" x14ac:dyDescent="0.25">
      <c r="A1716" t="s">
        <v>31</v>
      </c>
      <c r="C1716" t="s">
        <v>10793</v>
      </c>
      <c r="D1716" t="s">
        <v>10794</v>
      </c>
      <c r="E1716" t="s">
        <v>362</v>
      </c>
      <c r="F1716" t="s">
        <v>1302</v>
      </c>
      <c r="G1716">
        <v>1995</v>
      </c>
      <c r="H1716" t="s">
        <v>36</v>
      </c>
      <c r="I1716" t="s">
        <v>10795</v>
      </c>
      <c r="J1716" t="s">
        <v>31</v>
      </c>
      <c r="K1716" t="s">
        <v>38</v>
      </c>
      <c r="L1716" t="s">
        <v>185</v>
      </c>
      <c r="M1716" t="s">
        <v>186</v>
      </c>
      <c r="N1716" t="s">
        <v>9680</v>
      </c>
      <c r="O1716" t="s">
        <v>183</v>
      </c>
      <c r="P1716" t="s">
        <v>7528</v>
      </c>
      <c r="T1716">
        <v>34.103526443</v>
      </c>
      <c r="U1716">
        <v>-84.215079195000001</v>
      </c>
      <c r="V1716">
        <f>SUM(W1716:X1716)+(Y1716*0.8)+(Z1716*0.4)</f>
        <v>0.6</v>
      </c>
      <c r="W1716">
        <v>0.6</v>
      </c>
      <c r="X1716">
        <v>0</v>
      </c>
      <c r="Y1716">
        <v>0</v>
      </c>
      <c r="Z1716">
        <v>0</v>
      </c>
      <c r="AA1716" t="s">
        <v>43</v>
      </c>
      <c r="AB1716">
        <v>0.6</v>
      </c>
      <c r="AD1716" t="s">
        <v>10796</v>
      </c>
      <c r="AE1716" t="s">
        <v>10797</v>
      </c>
    </row>
    <row r="1717" spans="1:31" x14ac:dyDescent="0.25">
      <c r="A1717" t="s">
        <v>31</v>
      </c>
      <c r="C1717" t="s">
        <v>7218</v>
      </c>
      <c r="D1717" t="s">
        <v>7325</v>
      </c>
      <c r="E1717" t="s">
        <v>34</v>
      </c>
      <c r="F1717" t="s">
        <v>35</v>
      </c>
      <c r="G1717">
        <v>2003</v>
      </c>
      <c r="H1717" t="s">
        <v>36</v>
      </c>
      <c r="I1717" t="s">
        <v>7326</v>
      </c>
      <c r="J1717" t="s">
        <v>31</v>
      </c>
      <c r="K1717" t="s">
        <v>38</v>
      </c>
      <c r="L1717" t="s">
        <v>153</v>
      </c>
      <c r="M1717" t="s">
        <v>154</v>
      </c>
      <c r="N1717" t="s">
        <v>5682</v>
      </c>
      <c r="O1717" t="s">
        <v>2685</v>
      </c>
      <c r="Q1717" t="s">
        <v>2685</v>
      </c>
      <c r="T1717">
        <v>41.185531394999998</v>
      </c>
      <c r="U1717">
        <v>-95.936139969999999</v>
      </c>
      <c r="V1717">
        <f>SUM(W1717:X1717)+(Y1717*0.8)+(Z1717*0.4)</f>
        <v>0.56999999999999995</v>
      </c>
      <c r="W1717">
        <v>0.56999999999999995</v>
      </c>
      <c r="X1717">
        <v>0</v>
      </c>
      <c r="Y1717">
        <v>0</v>
      </c>
      <c r="Z1717">
        <v>0</v>
      </c>
      <c r="AA1717" t="s">
        <v>43</v>
      </c>
      <c r="AB1717">
        <v>0.34499999999999997</v>
      </c>
      <c r="AD1717" t="s">
        <v>7327</v>
      </c>
      <c r="AE1717" t="s">
        <v>7328</v>
      </c>
    </row>
    <row r="1718" spans="1:31" x14ac:dyDescent="0.25">
      <c r="A1718" t="s">
        <v>31</v>
      </c>
      <c r="C1718" t="s">
        <v>5499</v>
      </c>
      <c r="D1718" t="s">
        <v>5516</v>
      </c>
      <c r="E1718" t="s">
        <v>34</v>
      </c>
      <c r="F1718" t="s">
        <v>35</v>
      </c>
      <c r="G1718">
        <v>1999</v>
      </c>
      <c r="H1718" t="s">
        <v>36</v>
      </c>
      <c r="I1718" t="s">
        <v>5517</v>
      </c>
      <c r="J1718" t="s">
        <v>31</v>
      </c>
      <c r="K1718" t="s">
        <v>38</v>
      </c>
      <c r="L1718" t="s">
        <v>172</v>
      </c>
      <c r="M1718" t="s">
        <v>173</v>
      </c>
      <c r="N1718" t="s">
        <v>2596</v>
      </c>
      <c r="O1718" t="s">
        <v>5518</v>
      </c>
      <c r="P1718" t="s">
        <v>5519</v>
      </c>
      <c r="T1718">
        <v>37.846812385</v>
      </c>
      <c r="U1718">
        <v>-122.293384531</v>
      </c>
      <c r="V1718">
        <f>SUM(W1718:X1718)+(Y1718*0.8)+(Z1718*0.4)</f>
        <v>0.54</v>
      </c>
      <c r="W1718">
        <v>0.54</v>
      </c>
      <c r="X1718">
        <v>0</v>
      </c>
      <c r="Y1718">
        <v>0</v>
      </c>
      <c r="Z1718">
        <v>0</v>
      </c>
      <c r="AA1718" t="s">
        <v>43</v>
      </c>
      <c r="AB1718">
        <v>0.54</v>
      </c>
      <c r="AD1718" t="s">
        <v>5520</v>
      </c>
      <c r="AE1718" t="s">
        <v>5521</v>
      </c>
    </row>
    <row r="1719" spans="1:31" x14ac:dyDescent="0.25">
      <c r="A1719" t="s">
        <v>31</v>
      </c>
      <c r="C1719" t="s">
        <v>2706</v>
      </c>
      <c r="D1719" t="s">
        <v>2780</v>
      </c>
      <c r="E1719" t="s">
        <v>34</v>
      </c>
      <c r="F1719" t="s">
        <v>35</v>
      </c>
      <c r="G1719">
        <v>1990</v>
      </c>
      <c r="H1719" t="s">
        <v>36</v>
      </c>
      <c r="I1719" t="s">
        <v>2781</v>
      </c>
      <c r="J1719" t="s">
        <v>31</v>
      </c>
      <c r="K1719" t="s">
        <v>38</v>
      </c>
      <c r="L1719" t="s">
        <v>828</v>
      </c>
      <c r="M1719" t="s">
        <v>829</v>
      </c>
      <c r="N1719" t="s">
        <v>2769</v>
      </c>
      <c r="O1719" t="s">
        <v>2770</v>
      </c>
      <c r="P1719" t="s">
        <v>2771</v>
      </c>
      <c r="T1719">
        <v>44.971391398000002</v>
      </c>
      <c r="U1719">
        <v>-93.254590770999997</v>
      </c>
      <c r="V1719">
        <f>SUM(W1719:X1719)+(Y1719*0.8)+(Z1719*0.4)</f>
        <v>0.54</v>
      </c>
      <c r="W1719">
        <v>0.54</v>
      </c>
      <c r="X1719">
        <v>0</v>
      </c>
      <c r="Y1719">
        <v>0</v>
      </c>
      <c r="Z1719">
        <v>0</v>
      </c>
      <c r="AA1719" t="s">
        <v>43</v>
      </c>
      <c r="AB1719">
        <v>0.54</v>
      </c>
      <c r="AC1719">
        <v>1.72</v>
      </c>
      <c r="AD1719" t="s">
        <v>2782</v>
      </c>
      <c r="AE1719" t="s">
        <v>2783</v>
      </c>
    </row>
    <row r="1720" spans="1:31" x14ac:dyDescent="0.25">
      <c r="A1720" t="s">
        <v>31</v>
      </c>
      <c r="C1720" t="s">
        <v>7605</v>
      </c>
      <c r="D1720" t="s">
        <v>2021</v>
      </c>
      <c r="E1720" t="s">
        <v>34</v>
      </c>
      <c r="F1720" t="s">
        <v>35</v>
      </c>
      <c r="G1720">
        <v>2023</v>
      </c>
      <c r="H1720" t="s">
        <v>36</v>
      </c>
      <c r="I1720" t="s">
        <v>7627</v>
      </c>
      <c r="J1720" t="s">
        <v>31</v>
      </c>
      <c r="K1720" t="s">
        <v>38</v>
      </c>
      <c r="L1720" t="s">
        <v>172</v>
      </c>
      <c r="M1720" t="s">
        <v>173</v>
      </c>
      <c r="N1720" t="s">
        <v>2023</v>
      </c>
      <c r="O1720" t="s">
        <v>2021</v>
      </c>
      <c r="P1720" t="s">
        <v>7628</v>
      </c>
      <c r="Q1720" t="s">
        <v>7629</v>
      </c>
      <c r="T1720">
        <v>32.594234810000003</v>
      </c>
      <c r="U1720">
        <v>-117.085428995</v>
      </c>
      <c r="V1720">
        <f>SUM(W1720:X1720)+(Y1720*0.8)+(Z1720*0.4)</f>
        <v>0.5</v>
      </c>
      <c r="W1720">
        <v>0.5</v>
      </c>
      <c r="X1720">
        <v>0</v>
      </c>
      <c r="Y1720">
        <v>0</v>
      </c>
      <c r="Z1720">
        <v>0</v>
      </c>
      <c r="AA1720" t="s">
        <v>43</v>
      </c>
      <c r="AB1720">
        <v>0.33</v>
      </c>
      <c r="AD1720" t="s">
        <v>7630</v>
      </c>
      <c r="AE1720" t="s">
        <v>7631</v>
      </c>
    </row>
    <row r="1721" spans="1:31" x14ac:dyDescent="0.25">
      <c r="A1721" t="s">
        <v>31</v>
      </c>
      <c r="C1721" t="s">
        <v>8864</v>
      </c>
      <c r="D1721" t="s">
        <v>8865</v>
      </c>
      <c r="E1721" t="s">
        <v>34</v>
      </c>
      <c r="F1721" t="s">
        <v>35</v>
      </c>
      <c r="G1721">
        <v>2021</v>
      </c>
      <c r="H1721" t="s">
        <v>36</v>
      </c>
      <c r="I1721" t="s">
        <v>8866</v>
      </c>
      <c r="J1721" t="s">
        <v>31</v>
      </c>
      <c r="K1721" t="s">
        <v>38</v>
      </c>
      <c r="L1721" t="s">
        <v>640</v>
      </c>
      <c r="M1721" t="s">
        <v>641</v>
      </c>
      <c r="N1721" t="s">
        <v>8867</v>
      </c>
      <c r="O1721" t="s">
        <v>8868</v>
      </c>
      <c r="P1721" t="s">
        <v>8869</v>
      </c>
      <c r="T1721">
        <v>38.443022321999997</v>
      </c>
      <c r="U1721">
        <v>-81.830517060999995</v>
      </c>
      <c r="V1721">
        <f>SUM(W1721:X1721)+(Y1721*0.8)+(Z1721*0.4)</f>
        <v>0.5</v>
      </c>
      <c r="W1721">
        <v>0.5</v>
      </c>
      <c r="X1721">
        <v>0</v>
      </c>
      <c r="Y1721">
        <v>0</v>
      </c>
      <c r="Z1721">
        <v>0</v>
      </c>
      <c r="AA1721" t="s">
        <v>43</v>
      </c>
      <c r="AB1721">
        <v>0.48499999999999999</v>
      </c>
      <c r="AD1721" t="s">
        <v>8870</v>
      </c>
      <c r="AE1721" t="s">
        <v>8871</v>
      </c>
    </row>
    <row r="1722" spans="1:31" x14ac:dyDescent="0.25">
      <c r="A1722" t="s">
        <v>31</v>
      </c>
      <c r="C1722" t="s">
        <v>5946</v>
      </c>
      <c r="D1722" t="s">
        <v>5954</v>
      </c>
      <c r="E1722" t="s">
        <v>362</v>
      </c>
      <c r="F1722" t="s">
        <v>1611</v>
      </c>
      <c r="G1722">
        <v>2021</v>
      </c>
      <c r="H1722" t="s">
        <v>36</v>
      </c>
      <c r="I1722" t="s">
        <v>5955</v>
      </c>
      <c r="J1722" t="s">
        <v>31</v>
      </c>
      <c r="K1722" t="s">
        <v>38</v>
      </c>
      <c r="L1722" t="s">
        <v>68</v>
      </c>
      <c r="M1722" t="s">
        <v>69</v>
      </c>
      <c r="N1722" t="s">
        <v>5949</v>
      </c>
      <c r="O1722" t="s">
        <v>5950</v>
      </c>
      <c r="P1722" t="s">
        <v>5951</v>
      </c>
      <c r="T1722">
        <v>31.761835043000001</v>
      </c>
      <c r="U1722">
        <v>-106.490415426</v>
      </c>
      <c r="V1722">
        <f>SUM(W1722:X1722)+(Y1722*0.8)+(Z1722*0.4)</f>
        <v>0.5</v>
      </c>
      <c r="W1722">
        <v>0.5</v>
      </c>
      <c r="X1722">
        <v>0</v>
      </c>
      <c r="Y1722">
        <v>0</v>
      </c>
      <c r="Z1722">
        <v>0</v>
      </c>
      <c r="AA1722" t="s">
        <v>43</v>
      </c>
      <c r="AB1722">
        <v>0.5</v>
      </c>
      <c r="AD1722" t="s">
        <v>5956</v>
      </c>
      <c r="AE1722" t="s">
        <v>5957</v>
      </c>
    </row>
    <row r="1723" spans="1:31" x14ac:dyDescent="0.25">
      <c r="A1723" t="s">
        <v>31</v>
      </c>
      <c r="C1723" t="s">
        <v>8894</v>
      </c>
      <c r="D1723" t="s">
        <v>8895</v>
      </c>
      <c r="E1723" t="s">
        <v>34</v>
      </c>
      <c r="F1723" t="s">
        <v>35</v>
      </c>
      <c r="G1723">
        <v>2019</v>
      </c>
      <c r="H1723" t="s">
        <v>36</v>
      </c>
      <c r="I1723" t="s">
        <v>8896</v>
      </c>
      <c r="J1723" t="s">
        <v>31</v>
      </c>
      <c r="K1723" t="s">
        <v>38</v>
      </c>
      <c r="L1723" t="s">
        <v>1959</v>
      </c>
      <c r="M1723" t="s">
        <v>1960</v>
      </c>
      <c r="N1723" t="s">
        <v>8897</v>
      </c>
      <c r="O1723" t="s">
        <v>8895</v>
      </c>
      <c r="P1723" t="s">
        <v>8898</v>
      </c>
      <c r="T1723">
        <v>34.472076108000003</v>
      </c>
      <c r="U1723">
        <v>-103.195108112</v>
      </c>
      <c r="V1723">
        <f>SUM(W1723:X1723)+(Y1723*0.8)+(Z1723*0.4)</f>
        <v>0.5</v>
      </c>
      <c r="W1723">
        <v>0.5</v>
      </c>
      <c r="X1723">
        <v>0</v>
      </c>
      <c r="Y1723">
        <v>0</v>
      </c>
      <c r="Z1723">
        <v>0</v>
      </c>
      <c r="AA1723" t="s">
        <v>43</v>
      </c>
      <c r="AB1723">
        <v>0.25</v>
      </c>
      <c r="AD1723" t="s">
        <v>8899</v>
      </c>
      <c r="AE1723" t="s">
        <v>8900</v>
      </c>
    </row>
    <row r="1724" spans="1:31" x14ac:dyDescent="0.25">
      <c r="A1724" t="s">
        <v>31</v>
      </c>
      <c r="C1724" t="s">
        <v>6543</v>
      </c>
      <c r="D1724" t="s">
        <v>6544</v>
      </c>
      <c r="E1724" t="s">
        <v>34</v>
      </c>
      <c r="F1724" t="s">
        <v>35</v>
      </c>
      <c r="G1724">
        <v>2019</v>
      </c>
      <c r="H1724" t="s">
        <v>36</v>
      </c>
      <c r="I1724" t="s">
        <v>6545</v>
      </c>
      <c r="J1724" t="s">
        <v>31</v>
      </c>
      <c r="K1724" t="s">
        <v>38</v>
      </c>
      <c r="L1724" t="s">
        <v>1433</v>
      </c>
      <c r="M1724" t="s">
        <v>1434</v>
      </c>
      <c r="N1724" t="s">
        <v>6546</v>
      </c>
      <c r="O1724" t="s">
        <v>6547</v>
      </c>
      <c r="P1724" t="s">
        <v>6548</v>
      </c>
      <c r="T1724">
        <v>42.471138693</v>
      </c>
      <c r="U1724">
        <v>-92.054148631999993</v>
      </c>
      <c r="V1724">
        <f>SUM(W1724:X1724)+(Y1724*0.8)+(Z1724*0.4)</f>
        <v>0.5</v>
      </c>
      <c r="W1724">
        <v>0.5</v>
      </c>
      <c r="X1724">
        <v>0</v>
      </c>
      <c r="Y1724">
        <v>0</v>
      </c>
      <c r="Z1724">
        <v>0</v>
      </c>
      <c r="AA1724" t="s">
        <v>43</v>
      </c>
      <c r="AB1724">
        <v>0.25</v>
      </c>
      <c r="AD1724" t="s">
        <v>6549</v>
      </c>
      <c r="AE1724" t="s">
        <v>6550</v>
      </c>
    </row>
    <row r="1725" spans="1:31" x14ac:dyDescent="0.25">
      <c r="A1725" t="s">
        <v>31</v>
      </c>
      <c r="C1725" t="s">
        <v>7180</v>
      </c>
      <c r="D1725" t="s">
        <v>7181</v>
      </c>
      <c r="E1725" t="s">
        <v>362</v>
      </c>
      <c r="F1725" t="s">
        <v>43</v>
      </c>
      <c r="G1725">
        <v>2018</v>
      </c>
      <c r="H1725" t="s">
        <v>36</v>
      </c>
      <c r="I1725" t="s">
        <v>7182</v>
      </c>
      <c r="J1725" t="s">
        <v>31</v>
      </c>
      <c r="K1725" t="s">
        <v>38</v>
      </c>
      <c r="L1725" t="s">
        <v>260</v>
      </c>
      <c r="M1725" t="s">
        <v>261</v>
      </c>
      <c r="N1725" t="s">
        <v>262</v>
      </c>
      <c r="O1725" t="s">
        <v>6531</v>
      </c>
      <c r="P1725" t="s">
        <v>6532</v>
      </c>
      <c r="S1725" t="s">
        <v>7183</v>
      </c>
      <c r="T1725">
        <v>36.039343529999996</v>
      </c>
      <c r="U1725">
        <v>-86.639998773000002</v>
      </c>
      <c r="V1725">
        <f>SUM(W1725:X1725)+(Y1725*0.8)+(Z1725*0.4)</f>
        <v>0.5</v>
      </c>
      <c r="W1725">
        <v>0.5</v>
      </c>
      <c r="X1725">
        <v>0</v>
      </c>
      <c r="Y1725">
        <v>0</v>
      </c>
      <c r="Z1725">
        <v>0</v>
      </c>
      <c r="AA1725" t="s">
        <v>43</v>
      </c>
      <c r="AB1725">
        <v>0.5</v>
      </c>
      <c r="AD1725" t="s">
        <v>7184</v>
      </c>
      <c r="AE1725" t="s">
        <v>7185</v>
      </c>
    </row>
    <row r="1726" spans="1:31" x14ac:dyDescent="0.25">
      <c r="A1726" t="s">
        <v>31</v>
      </c>
      <c r="C1726" t="s">
        <v>4715</v>
      </c>
      <c r="D1726" t="s">
        <v>4716</v>
      </c>
      <c r="E1726" t="s">
        <v>362</v>
      </c>
      <c r="F1726" t="s">
        <v>1302</v>
      </c>
      <c r="G1726">
        <v>2016</v>
      </c>
      <c r="H1726" t="s">
        <v>36</v>
      </c>
      <c r="I1726" t="s">
        <v>4717</v>
      </c>
      <c r="J1726" t="s">
        <v>31</v>
      </c>
      <c r="K1726" t="s">
        <v>38</v>
      </c>
      <c r="L1726" t="s">
        <v>383</v>
      </c>
      <c r="M1726" t="s">
        <v>384</v>
      </c>
      <c r="N1726" t="s">
        <v>2270</v>
      </c>
      <c r="O1726" t="s">
        <v>2271</v>
      </c>
      <c r="P1726" t="s">
        <v>4718</v>
      </c>
      <c r="S1726" t="s">
        <v>4719</v>
      </c>
      <c r="T1726">
        <v>35.325613443999998</v>
      </c>
      <c r="U1726">
        <v>-80.754629347999995</v>
      </c>
      <c r="V1726">
        <f>SUM(W1726:X1726)+(Y1726*0.8)+(Z1726*0.4)</f>
        <v>0.5</v>
      </c>
      <c r="W1726">
        <v>0.5</v>
      </c>
      <c r="X1726">
        <v>0</v>
      </c>
      <c r="Y1726">
        <v>0</v>
      </c>
      <c r="Z1726">
        <v>0</v>
      </c>
      <c r="AA1726" t="s">
        <v>43</v>
      </c>
      <c r="AB1726">
        <v>0.5</v>
      </c>
      <c r="AD1726" t="s">
        <v>4720</v>
      </c>
      <c r="AE1726" t="s">
        <v>4721</v>
      </c>
    </row>
    <row r="1727" spans="1:31" x14ac:dyDescent="0.25">
      <c r="A1727" t="s">
        <v>31</v>
      </c>
      <c r="C1727" t="s">
        <v>2706</v>
      </c>
      <c r="D1727" t="s">
        <v>2805</v>
      </c>
      <c r="E1727" t="s">
        <v>34</v>
      </c>
      <c r="F1727" t="s">
        <v>35</v>
      </c>
      <c r="G1727">
        <v>2016</v>
      </c>
      <c r="H1727" t="s">
        <v>36</v>
      </c>
      <c r="I1727" t="s">
        <v>2806</v>
      </c>
      <c r="J1727" t="s">
        <v>31</v>
      </c>
      <c r="K1727" t="s">
        <v>38</v>
      </c>
      <c r="L1727" t="s">
        <v>39</v>
      </c>
      <c r="M1727" t="s">
        <v>40</v>
      </c>
      <c r="N1727" t="s">
        <v>2789</v>
      </c>
      <c r="O1727" t="s">
        <v>2798</v>
      </c>
      <c r="P1727" t="s">
        <v>2797</v>
      </c>
      <c r="T1727">
        <v>40.834000846000002</v>
      </c>
      <c r="U1727">
        <v>-74.448085331000001</v>
      </c>
      <c r="V1727">
        <f>SUM(W1727:X1727)+(Y1727*0.8)+(Z1727*0.4)</f>
        <v>0.5</v>
      </c>
      <c r="W1727">
        <v>0.5</v>
      </c>
      <c r="X1727">
        <v>0</v>
      </c>
      <c r="Y1727">
        <v>0</v>
      </c>
      <c r="Z1727">
        <v>0</v>
      </c>
      <c r="AA1727" t="s">
        <v>43</v>
      </c>
      <c r="AB1727">
        <v>0.45</v>
      </c>
      <c r="AD1727" t="s">
        <v>2807</v>
      </c>
      <c r="AE1727" t="s">
        <v>2808</v>
      </c>
    </row>
    <row r="1728" spans="1:31" x14ac:dyDescent="0.25">
      <c r="A1728" t="s">
        <v>31</v>
      </c>
      <c r="C1728" t="s">
        <v>10750</v>
      </c>
      <c r="D1728" t="s">
        <v>10751</v>
      </c>
      <c r="E1728" t="s">
        <v>362</v>
      </c>
      <c r="F1728" t="s">
        <v>630</v>
      </c>
      <c r="G1728">
        <v>2014</v>
      </c>
      <c r="H1728" t="s">
        <v>36</v>
      </c>
      <c r="I1728" t="s">
        <v>10752</v>
      </c>
      <c r="J1728" t="s">
        <v>31</v>
      </c>
      <c r="K1728" t="s">
        <v>38</v>
      </c>
      <c r="L1728" t="s">
        <v>103</v>
      </c>
      <c r="M1728" t="s">
        <v>104</v>
      </c>
      <c r="N1728" t="s">
        <v>4001</v>
      </c>
      <c r="O1728" t="s">
        <v>105</v>
      </c>
      <c r="P1728" t="s">
        <v>10753</v>
      </c>
      <c r="Q1728" t="s">
        <v>10754</v>
      </c>
      <c r="S1728" t="s">
        <v>10755</v>
      </c>
      <c r="T1728">
        <v>21.299508492000001</v>
      </c>
      <c r="U1728">
        <v>-157.81660792900001</v>
      </c>
      <c r="V1728">
        <f>SUM(W1728:X1728)+(Y1728*0.8)+(Z1728*0.4)</f>
        <v>0.5</v>
      </c>
      <c r="W1728">
        <v>0.5</v>
      </c>
      <c r="X1728">
        <v>0</v>
      </c>
      <c r="Y1728">
        <v>0</v>
      </c>
      <c r="Z1728">
        <v>0</v>
      </c>
      <c r="AA1728" t="s">
        <v>43</v>
      </c>
      <c r="AB1728">
        <v>0.5</v>
      </c>
      <c r="AD1728" t="s">
        <v>10756</v>
      </c>
      <c r="AE1728" t="s">
        <v>10757</v>
      </c>
    </row>
    <row r="1729" spans="1:31" x14ac:dyDescent="0.25">
      <c r="A1729" t="s">
        <v>31</v>
      </c>
      <c r="C1729" t="s">
        <v>8886</v>
      </c>
      <c r="D1729" t="s">
        <v>8887</v>
      </c>
      <c r="E1729" t="s">
        <v>34</v>
      </c>
      <c r="F1729" t="s">
        <v>35</v>
      </c>
      <c r="G1729">
        <v>2014</v>
      </c>
      <c r="H1729" t="s">
        <v>36</v>
      </c>
      <c r="I1729" t="s">
        <v>8888</v>
      </c>
      <c r="J1729" t="s">
        <v>31</v>
      </c>
      <c r="K1729" t="s">
        <v>38</v>
      </c>
      <c r="L1729" t="s">
        <v>242</v>
      </c>
      <c r="M1729" t="s">
        <v>243</v>
      </c>
      <c r="N1729" t="s">
        <v>8889</v>
      </c>
      <c r="O1729" t="s">
        <v>8890</v>
      </c>
      <c r="P1729" t="s">
        <v>8891</v>
      </c>
      <c r="T1729">
        <v>37.699179837000003</v>
      </c>
      <c r="U1729">
        <v>-77.436478488999995</v>
      </c>
      <c r="V1729">
        <f>SUM(W1729:X1729)+(Y1729*0.8)+(Z1729*0.4)</f>
        <v>0.5</v>
      </c>
      <c r="W1729">
        <v>0.5</v>
      </c>
      <c r="X1729">
        <v>0</v>
      </c>
      <c r="Y1729">
        <v>0</v>
      </c>
      <c r="Z1729">
        <v>0</v>
      </c>
      <c r="AA1729" t="s">
        <v>43</v>
      </c>
      <c r="AB1729">
        <v>0.44</v>
      </c>
      <c r="AD1729" t="s">
        <v>8892</v>
      </c>
      <c r="AE1729" t="s">
        <v>8893</v>
      </c>
    </row>
    <row r="1730" spans="1:31" x14ac:dyDescent="0.25">
      <c r="A1730" t="s">
        <v>31</v>
      </c>
      <c r="C1730" t="s">
        <v>4801</v>
      </c>
      <c r="D1730" t="s">
        <v>4931</v>
      </c>
      <c r="E1730" t="s">
        <v>34</v>
      </c>
      <c r="F1730" t="s">
        <v>35</v>
      </c>
      <c r="G1730">
        <v>2014</v>
      </c>
      <c r="H1730" t="s">
        <v>36</v>
      </c>
      <c r="I1730" t="s">
        <v>4932</v>
      </c>
      <c r="J1730" t="s">
        <v>31</v>
      </c>
      <c r="K1730" t="s">
        <v>38</v>
      </c>
      <c r="L1730" t="s">
        <v>172</v>
      </c>
      <c r="M1730" t="s">
        <v>173</v>
      </c>
      <c r="N1730" t="s">
        <v>2023</v>
      </c>
      <c r="O1730" t="s">
        <v>2021</v>
      </c>
      <c r="P1730" t="s">
        <v>4933</v>
      </c>
      <c r="T1730">
        <v>32.841533406000003</v>
      </c>
      <c r="U1730">
        <v>-117.16990339500001</v>
      </c>
      <c r="V1730">
        <f>SUM(W1730:X1730)+(Y1730*0.8)+(Z1730*0.4)</f>
        <v>0.5</v>
      </c>
      <c r="W1730">
        <v>0.5</v>
      </c>
      <c r="X1730">
        <v>0</v>
      </c>
      <c r="Y1730">
        <v>0</v>
      </c>
      <c r="Z1730">
        <v>0</v>
      </c>
      <c r="AA1730" t="s">
        <v>43</v>
      </c>
      <c r="AB1730">
        <v>0.36</v>
      </c>
      <c r="AD1730" t="s">
        <v>4934</v>
      </c>
      <c r="AE1730" t="s">
        <v>4935</v>
      </c>
    </row>
    <row r="1731" spans="1:31" x14ac:dyDescent="0.25">
      <c r="A1731" t="s">
        <v>31</v>
      </c>
      <c r="C1731" t="s">
        <v>10380</v>
      </c>
      <c r="D1731" t="s">
        <v>10386</v>
      </c>
      <c r="E1731" t="s">
        <v>362</v>
      </c>
      <c r="F1731" t="s">
        <v>630</v>
      </c>
      <c r="G1731">
        <v>2013</v>
      </c>
      <c r="H1731" t="s">
        <v>36</v>
      </c>
      <c r="I1731" t="s">
        <v>10387</v>
      </c>
      <c r="J1731" t="s">
        <v>31</v>
      </c>
      <c r="K1731" t="s">
        <v>38</v>
      </c>
      <c r="L1731" t="s">
        <v>1819</v>
      </c>
      <c r="M1731" t="s">
        <v>1820</v>
      </c>
      <c r="N1731" t="s">
        <v>10214</v>
      </c>
      <c r="O1731" t="s">
        <v>10388</v>
      </c>
      <c r="P1731" t="s">
        <v>10389</v>
      </c>
      <c r="T1731">
        <v>35.183737536000002</v>
      </c>
      <c r="U1731">
        <v>-97.437127621000002</v>
      </c>
      <c r="V1731">
        <f>SUM(W1731:X1731)+(Y1731*0.8)+(Z1731*0.4)</f>
        <v>0.5</v>
      </c>
      <c r="W1731">
        <v>0.5</v>
      </c>
      <c r="X1731">
        <v>0</v>
      </c>
      <c r="Y1731">
        <v>0</v>
      </c>
      <c r="Z1731">
        <v>0</v>
      </c>
      <c r="AA1731" t="s">
        <v>43</v>
      </c>
      <c r="AB1731">
        <v>0.5</v>
      </c>
      <c r="AD1731" t="s">
        <v>10390</v>
      </c>
      <c r="AE1731" t="s">
        <v>10391</v>
      </c>
    </row>
    <row r="1732" spans="1:31" x14ac:dyDescent="0.25">
      <c r="A1732" t="s">
        <v>31</v>
      </c>
      <c r="C1732" t="s">
        <v>1489</v>
      </c>
      <c r="D1732" t="s">
        <v>1494</v>
      </c>
      <c r="E1732" t="s">
        <v>34</v>
      </c>
      <c r="F1732" t="s">
        <v>35</v>
      </c>
      <c r="G1732">
        <v>2012</v>
      </c>
      <c r="H1732" t="s">
        <v>36</v>
      </c>
      <c r="I1732" t="s">
        <v>1495</v>
      </c>
      <c r="J1732" t="s">
        <v>31</v>
      </c>
      <c r="K1732" t="s">
        <v>38</v>
      </c>
      <c r="L1732" t="s">
        <v>172</v>
      </c>
      <c r="M1732" t="s">
        <v>173</v>
      </c>
      <c r="N1732" t="s">
        <v>493</v>
      </c>
      <c r="O1732" t="s">
        <v>494</v>
      </c>
      <c r="P1732" t="s">
        <v>1496</v>
      </c>
      <c r="S1732" t="s">
        <v>138</v>
      </c>
      <c r="T1732">
        <v>34.047986993999999</v>
      </c>
      <c r="U1732">
        <v>-118.240132053</v>
      </c>
      <c r="V1732">
        <f>SUM(W1732:X1732)+(Y1732*0.8)+(Z1732*0.4)</f>
        <v>0.5</v>
      </c>
      <c r="W1732">
        <v>0.5</v>
      </c>
      <c r="X1732">
        <v>0</v>
      </c>
      <c r="Y1732">
        <v>0</v>
      </c>
      <c r="Z1732">
        <v>0</v>
      </c>
      <c r="AA1732" t="s">
        <v>43</v>
      </c>
      <c r="AB1732">
        <v>0.49</v>
      </c>
      <c r="AD1732" t="s">
        <v>1497</v>
      </c>
      <c r="AE1732" t="s">
        <v>1498</v>
      </c>
    </row>
    <row r="1733" spans="1:31" x14ac:dyDescent="0.25">
      <c r="A1733" t="s">
        <v>31</v>
      </c>
      <c r="C1733" t="s">
        <v>8207</v>
      </c>
      <c r="D1733" t="s">
        <v>8208</v>
      </c>
      <c r="E1733" t="s">
        <v>34</v>
      </c>
      <c r="F1733" t="s">
        <v>35</v>
      </c>
      <c r="G1733">
        <v>2011</v>
      </c>
      <c r="H1733" t="s">
        <v>36</v>
      </c>
      <c r="I1733" t="s">
        <v>8209</v>
      </c>
      <c r="J1733" t="s">
        <v>31</v>
      </c>
      <c r="K1733" t="s">
        <v>38</v>
      </c>
      <c r="L1733" t="s">
        <v>1819</v>
      </c>
      <c r="M1733" t="s">
        <v>1820</v>
      </c>
      <c r="N1733" t="s">
        <v>8210</v>
      </c>
      <c r="O1733" t="s">
        <v>8208</v>
      </c>
      <c r="P1733" t="s">
        <v>8211</v>
      </c>
      <c r="T1733">
        <v>35.606944460999998</v>
      </c>
      <c r="U1733">
        <v>-97.500106364999994</v>
      </c>
      <c r="V1733">
        <f>SUM(W1733:X1733)+(Y1733*0.8)+(Z1733*0.4)</f>
        <v>0.5</v>
      </c>
      <c r="W1733">
        <v>0.5</v>
      </c>
      <c r="X1733">
        <v>0</v>
      </c>
      <c r="Y1733">
        <v>0</v>
      </c>
      <c r="Z1733">
        <v>0</v>
      </c>
      <c r="AA1733" t="s">
        <v>43</v>
      </c>
      <c r="AB1733">
        <v>0.3</v>
      </c>
      <c r="AD1733" t="s">
        <v>8212</v>
      </c>
      <c r="AE1733" t="s">
        <v>8213</v>
      </c>
    </row>
    <row r="1734" spans="1:31" x14ac:dyDescent="0.25">
      <c r="A1734" t="s">
        <v>31</v>
      </c>
      <c r="C1734" t="s">
        <v>3710</v>
      </c>
      <c r="D1734" t="s">
        <v>3920</v>
      </c>
      <c r="E1734" t="s">
        <v>34</v>
      </c>
      <c r="F1734" t="s">
        <v>35</v>
      </c>
      <c r="G1734">
        <v>2011</v>
      </c>
      <c r="H1734" t="s">
        <v>36</v>
      </c>
      <c r="I1734" t="s">
        <v>3921</v>
      </c>
      <c r="J1734" t="s">
        <v>31</v>
      </c>
      <c r="K1734" t="s">
        <v>38</v>
      </c>
      <c r="L1734" t="s">
        <v>260</v>
      </c>
      <c r="M1734" t="s">
        <v>261</v>
      </c>
      <c r="N1734" t="s">
        <v>336</v>
      </c>
      <c r="O1734" t="s">
        <v>337</v>
      </c>
      <c r="P1734" t="s">
        <v>3922</v>
      </c>
      <c r="T1734">
        <v>35.203177111999999</v>
      </c>
      <c r="U1734">
        <v>-89.808871030999995</v>
      </c>
      <c r="V1734">
        <f>SUM(W1734:X1734)+(Y1734*0.8)+(Z1734*0.4)</f>
        <v>0.5</v>
      </c>
      <c r="W1734">
        <v>0.5</v>
      </c>
      <c r="X1734">
        <v>0</v>
      </c>
      <c r="Y1734">
        <v>0</v>
      </c>
      <c r="Z1734">
        <v>0</v>
      </c>
      <c r="AA1734" t="s">
        <v>43</v>
      </c>
      <c r="AB1734">
        <v>0.4</v>
      </c>
      <c r="AD1734" t="s">
        <v>3923</v>
      </c>
      <c r="AE1734" t="s">
        <v>3924</v>
      </c>
    </row>
    <row r="1735" spans="1:31" x14ac:dyDescent="0.25">
      <c r="A1735" t="s">
        <v>31</v>
      </c>
      <c r="C1735" t="s">
        <v>10815</v>
      </c>
      <c r="D1735" t="s">
        <v>52</v>
      </c>
      <c r="E1735" t="s">
        <v>34</v>
      </c>
      <c r="F1735" t="s">
        <v>35</v>
      </c>
      <c r="G1735">
        <v>2010</v>
      </c>
      <c r="H1735" t="s">
        <v>36</v>
      </c>
      <c r="I1735" t="s">
        <v>10851</v>
      </c>
      <c r="J1735" t="s">
        <v>31</v>
      </c>
      <c r="K1735" t="s">
        <v>38</v>
      </c>
      <c r="L1735" t="s">
        <v>49</v>
      </c>
      <c r="M1735" t="s">
        <v>50</v>
      </c>
      <c r="N1735" t="s">
        <v>51</v>
      </c>
      <c r="O1735" t="s">
        <v>52</v>
      </c>
      <c r="P1735" t="s">
        <v>53</v>
      </c>
      <c r="Q1735" t="s">
        <v>52</v>
      </c>
      <c r="S1735" t="s">
        <v>54</v>
      </c>
      <c r="T1735">
        <v>42.447325378999999</v>
      </c>
      <c r="U1735">
        <v>-83.256712207000007</v>
      </c>
      <c r="V1735">
        <f>SUM(W1735:X1735)+(Y1735*0.8)+(Z1735*0.4)</f>
        <v>0.5</v>
      </c>
      <c r="W1735">
        <v>0.5</v>
      </c>
      <c r="X1735">
        <v>0</v>
      </c>
      <c r="Y1735">
        <v>0</v>
      </c>
      <c r="Z1735">
        <v>0</v>
      </c>
      <c r="AA1735" t="s">
        <v>43</v>
      </c>
      <c r="AB1735">
        <v>0.32600000000000001</v>
      </c>
      <c r="AD1735" t="s">
        <v>10852</v>
      </c>
      <c r="AE1735" t="s">
        <v>10853</v>
      </c>
    </row>
    <row r="1736" spans="1:31" x14ac:dyDescent="0.25">
      <c r="A1736" t="s">
        <v>31</v>
      </c>
      <c r="C1736" t="s">
        <v>10406</v>
      </c>
      <c r="D1736" t="s">
        <v>5056</v>
      </c>
      <c r="E1736" t="s">
        <v>34</v>
      </c>
      <c r="F1736" t="s">
        <v>35</v>
      </c>
      <c r="G1736">
        <v>2010</v>
      </c>
      <c r="H1736" t="s">
        <v>36</v>
      </c>
      <c r="I1736" t="s">
        <v>10482</v>
      </c>
      <c r="J1736" t="s">
        <v>31</v>
      </c>
      <c r="K1736" t="s">
        <v>38</v>
      </c>
      <c r="L1736" t="s">
        <v>1900</v>
      </c>
      <c r="M1736" t="s">
        <v>1901</v>
      </c>
      <c r="N1736" t="s">
        <v>9769</v>
      </c>
      <c r="O1736" t="s">
        <v>5056</v>
      </c>
      <c r="P1736" t="s">
        <v>9418</v>
      </c>
      <c r="Q1736" t="s">
        <v>5060</v>
      </c>
      <c r="S1736" t="s">
        <v>9419</v>
      </c>
      <c r="T1736">
        <v>39.290361068999999</v>
      </c>
      <c r="U1736">
        <v>-94.685000187</v>
      </c>
      <c r="V1736">
        <f>SUM(W1736:X1736)+(Y1736*0.8)+(Z1736*0.4)</f>
        <v>0.5</v>
      </c>
      <c r="W1736">
        <v>0.5</v>
      </c>
      <c r="X1736">
        <v>0</v>
      </c>
      <c r="Y1736">
        <v>0</v>
      </c>
      <c r="Z1736">
        <v>0</v>
      </c>
      <c r="AA1736" t="s">
        <v>43</v>
      </c>
      <c r="AB1736">
        <v>0.25</v>
      </c>
      <c r="AD1736" t="s">
        <v>10483</v>
      </c>
      <c r="AE1736" t="s">
        <v>10484</v>
      </c>
    </row>
    <row r="1737" spans="1:31" x14ac:dyDescent="0.25">
      <c r="A1737" t="s">
        <v>31</v>
      </c>
      <c r="C1737" t="s">
        <v>10297</v>
      </c>
      <c r="D1737" t="s">
        <v>10298</v>
      </c>
      <c r="E1737" t="s">
        <v>34</v>
      </c>
      <c r="F1737" t="s">
        <v>35</v>
      </c>
      <c r="G1737">
        <v>2010</v>
      </c>
      <c r="H1737" t="s">
        <v>36</v>
      </c>
      <c r="I1737" t="s">
        <v>10299</v>
      </c>
      <c r="J1737" t="s">
        <v>31</v>
      </c>
      <c r="K1737" t="s">
        <v>38</v>
      </c>
      <c r="L1737" t="s">
        <v>2519</v>
      </c>
      <c r="M1737" t="s">
        <v>2520</v>
      </c>
      <c r="N1737" t="s">
        <v>2521</v>
      </c>
      <c r="O1737" t="s">
        <v>10300</v>
      </c>
      <c r="P1737" t="s">
        <v>10301</v>
      </c>
      <c r="Q1737" t="s">
        <v>10300</v>
      </c>
      <c r="T1737">
        <v>44.454129457999997</v>
      </c>
      <c r="U1737">
        <v>-73.142005021000003</v>
      </c>
      <c r="V1737">
        <f>SUM(W1737:X1737)+(Y1737*0.8)+(Z1737*0.4)</f>
        <v>0.5</v>
      </c>
      <c r="W1737">
        <v>0.5</v>
      </c>
      <c r="X1737">
        <v>0</v>
      </c>
      <c r="Y1737">
        <v>0</v>
      </c>
      <c r="Z1737">
        <v>0</v>
      </c>
      <c r="AA1737" t="s">
        <v>43</v>
      </c>
      <c r="AB1737">
        <v>0.44</v>
      </c>
      <c r="AD1737" t="s">
        <v>10302</v>
      </c>
      <c r="AE1737" t="s">
        <v>10303</v>
      </c>
    </row>
    <row r="1738" spans="1:31" x14ac:dyDescent="0.25">
      <c r="A1738" t="s">
        <v>31</v>
      </c>
      <c r="C1738" t="s">
        <v>2706</v>
      </c>
      <c r="D1738" t="s">
        <v>2774</v>
      </c>
      <c r="E1738" t="s">
        <v>34</v>
      </c>
      <c r="F1738" t="s">
        <v>35</v>
      </c>
      <c r="G1738">
        <v>2010</v>
      </c>
      <c r="H1738" t="s">
        <v>36</v>
      </c>
      <c r="I1738" t="s">
        <v>2768</v>
      </c>
      <c r="J1738" t="s">
        <v>31</v>
      </c>
      <c r="K1738" t="s">
        <v>38</v>
      </c>
      <c r="L1738" t="s">
        <v>828</v>
      </c>
      <c r="M1738" t="s">
        <v>829</v>
      </c>
      <c r="N1738" t="s">
        <v>2769</v>
      </c>
      <c r="O1738" t="s">
        <v>2770</v>
      </c>
      <c r="P1738" t="s">
        <v>2771</v>
      </c>
      <c r="T1738">
        <v>44.971513000000002</v>
      </c>
      <c r="U1738">
        <v>-93.254739000000001</v>
      </c>
      <c r="V1738">
        <f>SUM(W1738:X1738)+(Y1738*0.8)+(Z1738*0.4)</f>
        <v>0.5</v>
      </c>
      <c r="W1738">
        <v>0.5</v>
      </c>
      <c r="X1738">
        <v>0</v>
      </c>
      <c r="Y1738">
        <v>0</v>
      </c>
      <c r="Z1738">
        <v>0</v>
      </c>
      <c r="AA1738" t="s">
        <v>43</v>
      </c>
      <c r="AB1738">
        <v>0.5</v>
      </c>
      <c r="AC1738">
        <v>1.17</v>
      </c>
      <c r="AD1738" t="s">
        <v>2775</v>
      </c>
      <c r="AE1738" t="s">
        <v>2776</v>
      </c>
    </row>
    <row r="1739" spans="1:31" x14ac:dyDescent="0.25">
      <c r="A1739" t="s">
        <v>31</v>
      </c>
      <c r="C1739" t="s">
        <v>2498</v>
      </c>
      <c r="D1739" t="s">
        <v>2499</v>
      </c>
      <c r="E1739" t="s">
        <v>34</v>
      </c>
      <c r="F1739" t="s">
        <v>35</v>
      </c>
      <c r="G1739">
        <v>2010</v>
      </c>
      <c r="H1739" t="s">
        <v>36</v>
      </c>
      <c r="I1739" t="s">
        <v>2500</v>
      </c>
      <c r="J1739" t="s">
        <v>31</v>
      </c>
      <c r="K1739" t="s">
        <v>38</v>
      </c>
      <c r="L1739" t="s">
        <v>640</v>
      </c>
      <c r="M1739" t="s">
        <v>641</v>
      </c>
      <c r="N1739" t="s">
        <v>2501</v>
      </c>
      <c r="O1739" t="s">
        <v>2502</v>
      </c>
      <c r="P1739" t="s">
        <v>2503</v>
      </c>
      <c r="T1739">
        <v>39.276700171999998</v>
      </c>
      <c r="U1739">
        <v>-80.270143622000006</v>
      </c>
      <c r="V1739">
        <f>SUM(W1739:X1739)+(Y1739*0.8)+(Z1739*0.4)</f>
        <v>0.5</v>
      </c>
      <c r="W1739">
        <v>0.5</v>
      </c>
      <c r="X1739">
        <v>0</v>
      </c>
      <c r="Y1739">
        <v>0</v>
      </c>
      <c r="Z1739">
        <v>0</v>
      </c>
      <c r="AA1739" t="s">
        <v>43</v>
      </c>
      <c r="AB1739">
        <v>0.47499999999999998</v>
      </c>
      <c r="AD1739" t="s">
        <v>2504</v>
      </c>
      <c r="AE1739" t="s">
        <v>2505</v>
      </c>
    </row>
    <row r="1740" spans="1:31" x14ac:dyDescent="0.25">
      <c r="A1740" t="s">
        <v>31</v>
      </c>
      <c r="C1740" t="s">
        <v>10186</v>
      </c>
      <c r="D1740" t="s">
        <v>10186</v>
      </c>
      <c r="E1740" t="s">
        <v>362</v>
      </c>
      <c r="F1740" t="s">
        <v>381</v>
      </c>
      <c r="G1740">
        <v>2009</v>
      </c>
      <c r="H1740" t="s">
        <v>36</v>
      </c>
      <c r="I1740" t="s">
        <v>10187</v>
      </c>
      <c r="J1740" t="s">
        <v>31</v>
      </c>
      <c r="K1740" t="s">
        <v>38</v>
      </c>
      <c r="L1740" t="s">
        <v>123</v>
      </c>
      <c r="M1740" t="s">
        <v>124</v>
      </c>
      <c r="N1740" t="s">
        <v>2296</v>
      </c>
      <c r="O1740" t="s">
        <v>10188</v>
      </c>
      <c r="P1740" t="s">
        <v>10189</v>
      </c>
      <c r="T1740">
        <v>43.049251374000001</v>
      </c>
      <c r="U1740">
        <v>-77.466625273000005</v>
      </c>
      <c r="V1740">
        <f>SUM(W1740:X1740)+(Y1740*0.8)+(Z1740*0.4)</f>
        <v>0.5</v>
      </c>
      <c r="W1740">
        <v>0.5</v>
      </c>
      <c r="X1740">
        <v>0</v>
      </c>
      <c r="Y1740">
        <v>0</v>
      </c>
      <c r="Z1740">
        <v>0</v>
      </c>
      <c r="AA1740" t="s">
        <v>43</v>
      </c>
      <c r="AB1740">
        <v>0.5</v>
      </c>
      <c r="AD1740" t="s">
        <v>10190</v>
      </c>
      <c r="AE1740" t="s">
        <v>10191</v>
      </c>
    </row>
    <row r="1741" spans="1:31" x14ac:dyDescent="0.25">
      <c r="A1741" t="s">
        <v>31</v>
      </c>
      <c r="C1741" t="s">
        <v>10004</v>
      </c>
      <c r="D1741" t="s">
        <v>10005</v>
      </c>
      <c r="E1741" t="s">
        <v>34</v>
      </c>
      <c r="F1741" t="s">
        <v>35</v>
      </c>
      <c r="G1741">
        <v>2009</v>
      </c>
      <c r="H1741" t="s">
        <v>36</v>
      </c>
      <c r="I1741" t="s">
        <v>10006</v>
      </c>
      <c r="J1741" t="s">
        <v>31</v>
      </c>
      <c r="K1741" t="s">
        <v>38</v>
      </c>
      <c r="L1741" t="s">
        <v>123</v>
      </c>
      <c r="M1741" t="s">
        <v>124</v>
      </c>
      <c r="N1741" t="s">
        <v>229</v>
      </c>
      <c r="O1741" t="s">
        <v>10007</v>
      </c>
      <c r="P1741" t="s">
        <v>10008</v>
      </c>
      <c r="T1741">
        <v>40.930554049000001</v>
      </c>
      <c r="U1741">
        <v>-73.113910809000004</v>
      </c>
      <c r="V1741">
        <f>SUM(W1741:X1741)+(Y1741*0.8)+(Z1741*0.4)</f>
        <v>0.5</v>
      </c>
      <c r="W1741">
        <v>0.5</v>
      </c>
      <c r="X1741">
        <v>0</v>
      </c>
      <c r="Y1741">
        <v>0</v>
      </c>
      <c r="Z1741">
        <v>0</v>
      </c>
      <c r="AA1741" t="s">
        <v>43</v>
      </c>
      <c r="AB1741">
        <v>0.47499999999999998</v>
      </c>
      <c r="AD1741" t="s">
        <v>10009</v>
      </c>
      <c r="AE1741" t="s">
        <v>10010</v>
      </c>
    </row>
    <row r="1742" spans="1:31" x14ac:dyDescent="0.25">
      <c r="A1742" t="s">
        <v>31</v>
      </c>
      <c r="C1742" t="s">
        <v>8694</v>
      </c>
      <c r="D1742" t="s">
        <v>8695</v>
      </c>
      <c r="E1742" t="s">
        <v>34</v>
      </c>
      <c r="F1742" t="s">
        <v>35</v>
      </c>
      <c r="G1742">
        <v>2008</v>
      </c>
      <c r="H1742" t="s">
        <v>36</v>
      </c>
      <c r="I1742" t="s">
        <v>8696</v>
      </c>
      <c r="J1742" t="s">
        <v>31</v>
      </c>
      <c r="K1742" t="s">
        <v>38</v>
      </c>
      <c r="L1742" t="s">
        <v>242</v>
      </c>
      <c r="M1742" t="s">
        <v>243</v>
      </c>
      <c r="N1742" t="s">
        <v>1893</v>
      </c>
      <c r="O1742" t="s">
        <v>8697</v>
      </c>
      <c r="P1742" t="s">
        <v>8698</v>
      </c>
      <c r="T1742">
        <v>36.711548593000003</v>
      </c>
      <c r="U1742">
        <v>-82.802362059999993</v>
      </c>
      <c r="V1742">
        <f>SUM(W1742:X1742)+(Y1742*0.8)+(Z1742*0.4)</f>
        <v>0.5</v>
      </c>
      <c r="W1742">
        <v>0.5</v>
      </c>
      <c r="X1742">
        <v>0</v>
      </c>
      <c r="Y1742">
        <v>0</v>
      </c>
      <c r="Z1742">
        <v>0</v>
      </c>
      <c r="AA1742" t="s">
        <v>43</v>
      </c>
      <c r="AB1742">
        <v>0.46</v>
      </c>
      <c r="AD1742" t="s">
        <v>8699</v>
      </c>
      <c r="AE1742" t="s">
        <v>8700</v>
      </c>
    </row>
    <row r="1743" spans="1:31" x14ac:dyDescent="0.25">
      <c r="A1743" t="s">
        <v>31</v>
      </c>
      <c r="C1743" t="s">
        <v>2498</v>
      </c>
      <c r="D1743" t="s">
        <v>2506</v>
      </c>
      <c r="E1743" t="s">
        <v>34</v>
      </c>
      <c r="F1743" t="s">
        <v>35</v>
      </c>
      <c r="G1743">
        <v>2008</v>
      </c>
      <c r="H1743" t="s">
        <v>36</v>
      </c>
      <c r="I1743" t="s">
        <v>2507</v>
      </c>
      <c r="J1743" t="s">
        <v>31</v>
      </c>
      <c r="K1743" t="s">
        <v>38</v>
      </c>
      <c r="L1743" t="s">
        <v>640</v>
      </c>
      <c r="M1743" t="s">
        <v>641</v>
      </c>
      <c r="N1743" t="s">
        <v>642</v>
      </c>
      <c r="O1743" t="s">
        <v>2508</v>
      </c>
      <c r="P1743" t="s">
        <v>2509</v>
      </c>
      <c r="T1743">
        <v>38.352491421000003</v>
      </c>
      <c r="U1743">
        <v>-81.640313813999995</v>
      </c>
      <c r="V1743">
        <f>SUM(W1743:X1743)+(Y1743*0.8)+(Z1743*0.4)</f>
        <v>0.5</v>
      </c>
      <c r="W1743">
        <v>0.5</v>
      </c>
      <c r="X1743">
        <v>0</v>
      </c>
      <c r="Y1743">
        <v>0</v>
      </c>
      <c r="Z1743">
        <v>0</v>
      </c>
      <c r="AA1743" t="s">
        <v>43</v>
      </c>
      <c r="AB1743">
        <v>0.47</v>
      </c>
      <c r="AD1743" t="s">
        <v>2510</v>
      </c>
      <c r="AE1743" t="s">
        <v>2511</v>
      </c>
    </row>
    <row r="1744" spans="1:31" x14ac:dyDescent="0.25">
      <c r="A1744" t="s">
        <v>31</v>
      </c>
      <c r="C1744" t="s">
        <v>1973</v>
      </c>
      <c r="D1744" t="s">
        <v>1969</v>
      </c>
      <c r="E1744" t="s">
        <v>34</v>
      </c>
      <c r="F1744" t="s">
        <v>35</v>
      </c>
      <c r="G1744">
        <v>2008</v>
      </c>
      <c r="H1744" t="s">
        <v>36</v>
      </c>
      <c r="I1744" t="s">
        <v>1987</v>
      </c>
      <c r="J1744" t="s">
        <v>31</v>
      </c>
      <c r="K1744" t="s">
        <v>38</v>
      </c>
      <c r="L1744" t="s">
        <v>1146</v>
      </c>
      <c r="M1744" t="s">
        <v>1147</v>
      </c>
      <c r="N1744" t="s">
        <v>1144</v>
      </c>
      <c r="O1744" t="s">
        <v>1969</v>
      </c>
      <c r="P1744" t="s">
        <v>1970</v>
      </c>
      <c r="T1744">
        <v>32.437326538000001</v>
      </c>
      <c r="U1744">
        <v>-90.147241514000001</v>
      </c>
      <c r="V1744">
        <f>SUM(W1744:X1744)+(Y1744*0.8)+(Z1744*0.4)</f>
        <v>0.5</v>
      </c>
      <c r="W1744">
        <v>0.5</v>
      </c>
      <c r="X1744">
        <v>0</v>
      </c>
      <c r="Y1744">
        <v>0</v>
      </c>
      <c r="Z1744">
        <v>0</v>
      </c>
      <c r="AA1744" t="s">
        <v>43</v>
      </c>
      <c r="AB1744">
        <v>0.1</v>
      </c>
      <c r="AD1744" t="s">
        <v>1988</v>
      </c>
      <c r="AE1744" t="s">
        <v>1989</v>
      </c>
    </row>
    <row r="1745" spans="1:31" x14ac:dyDescent="0.25">
      <c r="A1745" t="s">
        <v>31</v>
      </c>
      <c r="C1745" t="s">
        <v>5765</v>
      </c>
      <c r="D1745" t="s">
        <v>5922</v>
      </c>
      <c r="E1745" t="s">
        <v>34</v>
      </c>
      <c r="F1745" t="s">
        <v>35</v>
      </c>
      <c r="G1745">
        <v>2007</v>
      </c>
      <c r="H1745" t="s">
        <v>36</v>
      </c>
      <c r="I1745" t="s">
        <v>5923</v>
      </c>
      <c r="J1745" t="s">
        <v>31</v>
      </c>
      <c r="K1745" t="s">
        <v>38</v>
      </c>
      <c r="L1745" t="s">
        <v>620</v>
      </c>
      <c r="M1745" t="s">
        <v>621</v>
      </c>
      <c r="N1745" t="s">
        <v>622</v>
      </c>
      <c r="O1745" t="s">
        <v>5924</v>
      </c>
      <c r="P1745" t="s">
        <v>5925</v>
      </c>
      <c r="S1745" t="s">
        <v>5926</v>
      </c>
      <c r="T1745">
        <v>40.685499342</v>
      </c>
      <c r="U1745">
        <v>-111.885037952</v>
      </c>
      <c r="V1745">
        <f>SUM(W1745:X1745)+(Y1745*0.8)+(Z1745*0.4)</f>
        <v>0.5</v>
      </c>
      <c r="W1745">
        <v>0.5</v>
      </c>
      <c r="X1745">
        <v>0</v>
      </c>
      <c r="Y1745">
        <v>0</v>
      </c>
      <c r="Z1745">
        <v>0</v>
      </c>
      <c r="AA1745" t="s">
        <v>43</v>
      </c>
      <c r="AB1745">
        <v>0.25</v>
      </c>
      <c r="AC1745">
        <v>1.4</v>
      </c>
      <c r="AD1745" t="s">
        <v>5927</v>
      </c>
      <c r="AE1745" t="s">
        <v>5928</v>
      </c>
    </row>
    <row r="1746" spans="1:31" x14ac:dyDescent="0.25">
      <c r="A1746" t="s">
        <v>31</v>
      </c>
      <c r="C1746" t="s">
        <v>4736</v>
      </c>
      <c r="D1746" t="s">
        <v>2396</v>
      </c>
      <c r="E1746" t="s">
        <v>362</v>
      </c>
      <c r="F1746" t="s">
        <v>381</v>
      </c>
      <c r="G1746">
        <v>2007</v>
      </c>
      <c r="H1746" t="s">
        <v>36</v>
      </c>
      <c r="I1746" t="s">
        <v>4737</v>
      </c>
      <c r="J1746" t="s">
        <v>31</v>
      </c>
      <c r="K1746" t="s">
        <v>38</v>
      </c>
      <c r="L1746" t="s">
        <v>383</v>
      </c>
      <c r="M1746" t="s">
        <v>384</v>
      </c>
      <c r="N1746" t="s">
        <v>1319</v>
      </c>
      <c r="O1746" t="s">
        <v>2396</v>
      </c>
      <c r="P1746" t="s">
        <v>4738</v>
      </c>
      <c r="T1746">
        <v>36.049748850999997</v>
      </c>
      <c r="U1746">
        <v>-79.881598049999994</v>
      </c>
      <c r="V1746">
        <f>SUM(W1746:X1746)+(Y1746*0.8)+(Z1746*0.4)</f>
        <v>0.5</v>
      </c>
      <c r="W1746">
        <v>0.5</v>
      </c>
      <c r="X1746">
        <v>0</v>
      </c>
      <c r="Y1746">
        <v>0</v>
      </c>
      <c r="Z1746">
        <v>0</v>
      </c>
      <c r="AA1746" t="s">
        <v>43</v>
      </c>
      <c r="AB1746">
        <v>0.5</v>
      </c>
      <c r="AD1746" t="s">
        <v>4739</v>
      </c>
      <c r="AE1746" t="s">
        <v>4740</v>
      </c>
    </row>
    <row r="1747" spans="1:31" x14ac:dyDescent="0.25">
      <c r="A1747" t="s">
        <v>31</v>
      </c>
      <c r="C1747" t="s">
        <v>3710</v>
      </c>
      <c r="D1747" t="s">
        <v>3711</v>
      </c>
      <c r="E1747" t="s">
        <v>34</v>
      </c>
      <c r="F1747" t="s">
        <v>35</v>
      </c>
      <c r="G1747">
        <v>2007</v>
      </c>
      <c r="H1747" t="s">
        <v>36</v>
      </c>
      <c r="I1747" t="s">
        <v>3712</v>
      </c>
      <c r="J1747" t="s">
        <v>31</v>
      </c>
      <c r="K1747" t="s">
        <v>38</v>
      </c>
      <c r="L1747" t="s">
        <v>193</v>
      </c>
      <c r="M1747" t="s">
        <v>194</v>
      </c>
      <c r="N1747" t="s">
        <v>195</v>
      </c>
      <c r="O1747" t="s">
        <v>1336</v>
      </c>
      <c r="P1747" t="s">
        <v>1337</v>
      </c>
      <c r="T1747">
        <v>39.884616999999999</v>
      </c>
      <c r="U1747">
        <v>-105.080028</v>
      </c>
      <c r="V1747">
        <f>SUM(W1747:X1747)+(Y1747*0.8)+(Z1747*0.4)</f>
        <v>0.5</v>
      </c>
      <c r="W1747">
        <v>0.5</v>
      </c>
      <c r="X1747">
        <v>0</v>
      </c>
      <c r="Y1747">
        <v>0</v>
      </c>
      <c r="Z1747">
        <v>0</v>
      </c>
      <c r="AA1747" t="s">
        <v>43</v>
      </c>
      <c r="AB1747">
        <v>0.5</v>
      </c>
      <c r="AD1747" t="s">
        <v>3713</v>
      </c>
      <c r="AE1747" t="s">
        <v>3714</v>
      </c>
    </row>
    <row r="1748" spans="1:31" x14ac:dyDescent="0.25">
      <c r="A1748" t="s">
        <v>31</v>
      </c>
      <c r="C1748" t="s">
        <v>2584</v>
      </c>
      <c r="D1748" t="s">
        <v>2639</v>
      </c>
      <c r="E1748" t="s">
        <v>34</v>
      </c>
      <c r="F1748" t="s">
        <v>35</v>
      </c>
      <c r="G1748">
        <v>2007</v>
      </c>
      <c r="H1748" t="s">
        <v>36</v>
      </c>
      <c r="I1748" t="s">
        <v>2640</v>
      </c>
      <c r="J1748" t="s">
        <v>31</v>
      </c>
      <c r="K1748" t="s">
        <v>38</v>
      </c>
      <c r="L1748" t="s">
        <v>172</v>
      </c>
      <c r="M1748" t="s">
        <v>173</v>
      </c>
      <c r="N1748" t="s">
        <v>2023</v>
      </c>
      <c r="O1748" t="s">
        <v>2021</v>
      </c>
      <c r="P1748" t="s">
        <v>2641</v>
      </c>
      <c r="Q1748" t="s">
        <v>2642</v>
      </c>
      <c r="S1748" t="s">
        <v>2643</v>
      </c>
      <c r="T1748">
        <v>32.717717294000003</v>
      </c>
      <c r="U1748">
        <v>-117.15962342900001</v>
      </c>
      <c r="V1748">
        <f>SUM(W1748:X1748)+(Y1748*0.8)+(Z1748*0.4)</f>
        <v>0.5</v>
      </c>
      <c r="W1748">
        <v>0.5</v>
      </c>
      <c r="X1748">
        <v>0</v>
      </c>
      <c r="Y1748">
        <v>0</v>
      </c>
      <c r="Z1748">
        <v>0</v>
      </c>
      <c r="AA1748" t="s">
        <v>43</v>
      </c>
      <c r="AB1748">
        <v>0.49</v>
      </c>
      <c r="AD1748" t="s">
        <v>2644</v>
      </c>
      <c r="AE1748" t="s">
        <v>2645</v>
      </c>
    </row>
    <row r="1749" spans="1:31" x14ac:dyDescent="0.25">
      <c r="A1749" t="s">
        <v>31</v>
      </c>
      <c r="C1749" t="s">
        <v>6556</v>
      </c>
      <c r="D1749" t="s">
        <v>6557</v>
      </c>
      <c r="E1749" t="s">
        <v>34</v>
      </c>
      <c r="F1749" t="s">
        <v>35</v>
      </c>
      <c r="G1749">
        <v>2006</v>
      </c>
      <c r="H1749" t="s">
        <v>36</v>
      </c>
      <c r="I1749" t="s">
        <v>6558</v>
      </c>
      <c r="J1749" t="s">
        <v>31</v>
      </c>
      <c r="K1749" t="s">
        <v>38</v>
      </c>
      <c r="L1749" t="s">
        <v>77</v>
      </c>
      <c r="M1749" t="s">
        <v>78</v>
      </c>
      <c r="N1749" t="s">
        <v>278</v>
      </c>
      <c r="O1749" t="s">
        <v>279</v>
      </c>
      <c r="P1749" t="s">
        <v>280</v>
      </c>
      <c r="Q1749" t="s">
        <v>6559</v>
      </c>
      <c r="S1749" t="s">
        <v>281</v>
      </c>
      <c r="T1749">
        <v>39.950499581000003</v>
      </c>
      <c r="U1749">
        <v>-75.179971971000001</v>
      </c>
      <c r="V1749">
        <f>SUM(W1749:X1749)+(Y1749*0.8)+(Z1749*0.4)</f>
        <v>0.5</v>
      </c>
      <c r="W1749">
        <v>0.5</v>
      </c>
      <c r="X1749">
        <v>0</v>
      </c>
      <c r="Y1749">
        <v>0</v>
      </c>
      <c r="Z1749">
        <v>0</v>
      </c>
      <c r="AA1749" t="s">
        <v>43</v>
      </c>
      <c r="AB1749">
        <v>0.46</v>
      </c>
      <c r="AD1749" t="s">
        <v>6560</v>
      </c>
      <c r="AE1749" t="s">
        <v>6561</v>
      </c>
    </row>
    <row r="1750" spans="1:31" x14ac:dyDescent="0.25">
      <c r="A1750" t="s">
        <v>31</v>
      </c>
      <c r="C1750" t="s">
        <v>5694</v>
      </c>
      <c r="D1750" t="s">
        <v>5722</v>
      </c>
      <c r="E1750" t="s">
        <v>34</v>
      </c>
      <c r="F1750" t="s">
        <v>35</v>
      </c>
      <c r="G1750">
        <v>2006</v>
      </c>
      <c r="H1750" t="s">
        <v>36</v>
      </c>
      <c r="I1750" t="s">
        <v>5723</v>
      </c>
      <c r="J1750" t="s">
        <v>31</v>
      </c>
      <c r="K1750" t="s">
        <v>38</v>
      </c>
      <c r="L1750" t="s">
        <v>2951</v>
      </c>
      <c r="M1750" t="s">
        <v>2952</v>
      </c>
      <c r="N1750" t="s">
        <v>5724</v>
      </c>
      <c r="O1750" t="s">
        <v>3389</v>
      </c>
      <c r="P1750" t="s">
        <v>5725</v>
      </c>
      <c r="S1750" t="s">
        <v>5726</v>
      </c>
      <c r="T1750">
        <v>43.678966521</v>
      </c>
      <c r="U1750">
        <v>-72.256045650000004</v>
      </c>
      <c r="V1750">
        <f>SUM(W1750:X1750)+(Y1750*0.8)+(Z1750*0.4)</f>
        <v>0.5</v>
      </c>
      <c r="W1750">
        <v>0.5</v>
      </c>
      <c r="X1750">
        <v>0</v>
      </c>
      <c r="Y1750">
        <v>0</v>
      </c>
      <c r="Z1750">
        <v>0</v>
      </c>
      <c r="AA1750" t="s">
        <v>43</v>
      </c>
      <c r="AB1750">
        <v>0.46</v>
      </c>
      <c r="AD1750" t="s">
        <v>5727</v>
      </c>
      <c r="AE1750" t="s">
        <v>5728</v>
      </c>
    </row>
    <row r="1751" spans="1:31" x14ac:dyDescent="0.25">
      <c r="A1751" t="s">
        <v>31</v>
      </c>
      <c r="C1751" t="s">
        <v>5694</v>
      </c>
      <c r="D1751" t="s">
        <v>5740</v>
      </c>
      <c r="E1751" t="s">
        <v>34</v>
      </c>
      <c r="F1751" t="s">
        <v>35</v>
      </c>
      <c r="G1751">
        <v>2006</v>
      </c>
      <c r="H1751" t="s">
        <v>36</v>
      </c>
      <c r="I1751" t="s">
        <v>5741</v>
      </c>
      <c r="J1751" t="s">
        <v>31</v>
      </c>
      <c r="K1751" t="s">
        <v>38</v>
      </c>
      <c r="L1751" t="s">
        <v>251</v>
      </c>
      <c r="M1751" t="s">
        <v>252</v>
      </c>
      <c r="N1751" t="s">
        <v>5742</v>
      </c>
      <c r="O1751" t="s">
        <v>5743</v>
      </c>
      <c r="P1751" t="s">
        <v>5744</v>
      </c>
      <c r="T1751">
        <v>42.166310525999997</v>
      </c>
      <c r="U1751">
        <v>-70.898283871000004</v>
      </c>
      <c r="V1751">
        <f>SUM(W1751:X1751)+(Y1751*0.8)+(Z1751*0.4)</f>
        <v>0.5</v>
      </c>
      <c r="W1751">
        <v>0.5</v>
      </c>
      <c r="X1751">
        <v>0</v>
      </c>
      <c r="Y1751">
        <v>0</v>
      </c>
      <c r="Z1751">
        <v>0</v>
      </c>
      <c r="AA1751" t="s">
        <v>43</v>
      </c>
      <c r="AB1751">
        <v>0.48</v>
      </c>
      <c r="AD1751" t="s">
        <v>5745</v>
      </c>
      <c r="AE1751" t="s">
        <v>5746</v>
      </c>
    </row>
    <row r="1752" spans="1:31" x14ac:dyDescent="0.25">
      <c r="A1752" t="s">
        <v>31</v>
      </c>
      <c r="C1752" t="s">
        <v>3710</v>
      </c>
      <c r="D1752" t="s">
        <v>3957</v>
      </c>
      <c r="E1752" t="s">
        <v>34</v>
      </c>
      <c r="F1752" t="s">
        <v>35</v>
      </c>
      <c r="G1752">
        <v>2006</v>
      </c>
      <c r="H1752" t="s">
        <v>36</v>
      </c>
      <c r="I1752" t="s">
        <v>3958</v>
      </c>
      <c r="J1752" t="s">
        <v>31</v>
      </c>
      <c r="K1752" t="s">
        <v>38</v>
      </c>
      <c r="L1752" t="s">
        <v>620</v>
      </c>
      <c r="M1752" t="s">
        <v>621</v>
      </c>
      <c r="N1752" t="s">
        <v>622</v>
      </c>
      <c r="O1752" t="s">
        <v>3959</v>
      </c>
      <c r="P1752" t="s">
        <v>3960</v>
      </c>
      <c r="T1752">
        <v>40.768526876999999</v>
      </c>
      <c r="U1752">
        <v>-111.885842377</v>
      </c>
      <c r="V1752">
        <f>SUM(W1752:X1752)+(Y1752*0.8)+(Z1752*0.4)</f>
        <v>0.5</v>
      </c>
      <c r="W1752">
        <v>0.5</v>
      </c>
      <c r="X1752">
        <v>0</v>
      </c>
      <c r="Y1752">
        <v>0</v>
      </c>
      <c r="Z1752">
        <v>0</v>
      </c>
      <c r="AA1752" t="s">
        <v>43</v>
      </c>
      <c r="AB1752">
        <v>0.25</v>
      </c>
      <c r="AD1752" t="s">
        <v>3961</v>
      </c>
      <c r="AE1752" t="s">
        <v>3962</v>
      </c>
    </row>
    <row r="1753" spans="1:31" x14ac:dyDescent="0.25">
      <c r="A1753" t="s">
        <v>31</v>
      </c>
      <c r="C1753" t="s">
        <v>7850</v>
      </c>
      <c r="D1753" t="s">
        <v>7851</v>
      </c>
      <c r="E1753" t="s">
        <v>362</v>
      </c>
      <c r="F1753" t="s">
        <v>1611</v>
      </c>
      <c r="G1753">
        <v>2005</v>
      </c>
      <c r="H1753" t="s">
        <v>36</v>
      </c>
      <c r="I1753" t="s">
        <v>7852</v>
      </c>
      <c r="J1753" t="s">
        <v>31</v>
      </c>
      <c r="K1753" t="s">
        <v>38</v>
      </c>
      <c r="L1753" t="s">
        <v>143</v>
      </c>
      <c r="M1753" t="s">
        <v>144</v>
      </c>
      <c r="N1753" t="s">
        <v>7853</v>
      </c>
      <c r="O1753" t="s">
        <v>7851</v>
      </c>
      <c r="Q1753" t="s">
        <v>7854</v>
      </c>
      <c r="T1753">
        <v>38.011874986999999</v>
      </c>
      <c r="U1753">
        <v>-87.483719602999997</v>
      </c>
      <c r="V1753">
        <f>SUM(W1753:X1753)+(Y1753*0.8)+(Z1753*0.4)</f>
        <v>0.5</v>
      </c>
      <c r="W1753">
        <v>0.5</v>
      </c>
      <c r="X1753">
        <v>0</v>
      </c>
      <c r="Y1753">
        <v>0</v>
      </c>
      <c r="Z1753">
        <v>0</v>
      </c>
      <c r="AA1753" t="s">
        <v>43</v>
      </c>
      <c r="AB1753">
        <v>0.5</v>
      </c>
      <c r="AD1753" t="s">
        <v>7855</v>
      </c>
      <c r="AE1753" t="s">
        <v>7856</v>
      </c>
    </row>
    <row r="1754" spans="1:31" x14ac:dyDescent="0.25">
      <c r="A1754" t="s">
        <v>31</v>
      </c>
      <c r="C1754" t="s">
        <v>2046</v>
      </c>
      <c r="D1754" t="s">
        <v>2047</v>
      </c>
      <c r="E1754" t="s">
        <v>34</v>
      </c>
      <c r="F1754" t="s">
        <v>35</v>
      </c>
      <c r="G1754">
        <v>2005</v>
      </c>
      <c r="H1754" t="s">
        <v>36</v>
      </c>
      <c r="I1754" t="s">
        <v>2048</v>
      </c>
      <c r="J1754" t="s">
        <v>31</v>
      </c>
      <c r="K1754" t="s">
        <v>38</v>
      </c>
      <c r="L1754" t="s">
        <v>383</v>
      </c>
      <c r="M1754" t="s">
        <v>384</v>
      </c>
      <c r="N1754" t="s">
        <v>1372</v>
      </c>
      <c r="O1754" t="s">
        <v>1373</v>
      </c>
      <c r="P1754" t="s">
        <v>1374</v>
      </c>
      <c r="S1754" t="s">
        <v>2049</v>
      </c>
      <c r="T1754">
        <v>35.798468837999998</v>
      </c>
      <c r="U1754">
        <v>-78.731140557000003</v>
      </c>
      <c r="V1754">
        <f>SUM(W1754:X1754)+(Y1754*0.8)+(Z1754*0.4)</f>
        <v>0.5</v>
      </c>
      <c r="W1754">
        <v>0.5</v>
      </c>
      <c r="X1754">
        <v>0</v>
      </c>
      <c r="Y1754">
        <v>0</v>
      </c>
      <c r="Z1754">
        <v>0</v>
      </c>
      <c r="AA1754" t="s">
        <v>43</v>
      </c>
      <c r="AB1754">
        <v>0.5</v>
      </c>
      <c r="AD1754" t="s">
        <v>2050</v>
      </c>
      <c r="AE1754" t="s">
        <v>2051</v>
      </c>
    </row>
    <row r="1755" spans="1:31" x14ac:dyDescent="0.25">
      <c r="A1755" t="s">
        <v>31</v>
      </c>
      <c r="C1755" t="s">
        <v>9643</v>
      </c>
      <c r="D1755" t="s">
        <v>9644</v>
      </c>
      <c r="E1755" t="s">
        <v>362</v>
      </c>
      <c r="F1755" t="s">
        <v>1611</v>
      </c>
      <c r="G1755">
        <v>2004</v>
      </c>
      <c r="H1755" t="s">
        <v>36</v>
      </c>
      <c r="I1755" t="s">
        <v>9645</v>
      </c>
      <c r="J1755" t="s">
        <v>31</v>
      </c>
      <c r="K1755" t="s">
        <v>38</v>
      </c>
      <c r="L1755" t="s">
        <v>1465</v>
      </c>
      <c r="M1755" t="s">
        <v>1466</v>
      </c>
      <c r="N1755" t="s">
        <v>8190</v>
      </c>
      <c r="O1755" t="s">
        <v>8191</v>
      </c>
      <c r="P1755" t="s">
        <v>9646</v>
      </c>
      <c r="Q1755" t="s">
        <v>8191</v>
      </c>
      <c r="T1755">
        <v>43.546703817000001</v>
      </c>
      <c r="U1755">
        <v>-96.764125280000002</v>
      </c>
      <c r="V1755">
        <f>SUM(W1755:X1755)+(Y1755*0.8)+(Z1755*0.4)</f>
        <v>0.5</v>
      </c>
      <c r="W1755">
        <v>0.5</v>
      </c>
      <c r="X1755">
        <v>0</v>
      </c>
      <c r="Y1755">
        <v>0</v>
      </c>
      <c r="Z1755">
        <v>0</v>
      </c>
      <c r="AA1755" t="s">
        <v>43</v>
      </c>
      <c r="AB1755">
        <v>0.5</v>
      </c>
      <c r="AD1755" t="s">
        <v>9647</v>
      </c>
      <c r="AE1755" t="s">
        <v>9648</v>
      </c>
    </row>
    <row r="1756" spans="1:31" x14ac:dyDescent="0.25">
      <c r="A1756" t="s">
        <v>31</v>
      </c>
      <c r="C1756" t="s">
        <v>7218</v>
      </c>
      <c r="D1756" t="s">
        <v>7379</v>
      </c>
      <c r="E1756" t="s">
        <v>34</v>
      </c>
      <c r="F1756" t="s">
        <v>35</v>
      </c>
      <c r="G1756">
        <v>2004</v>
      </c>
      <c r="H1756" t="s">
        <v>36</v>
      </c>
      <c r="I1756" t="s">
        <v>3232</v>
      </c>
      <c r="J1756" t="s">
        <v>31</v>
      </c>
      <c r="K1756" t="s">
        <v>38</v>
      </c>
      <c r="L1756" t="s">
        <v>251</v>
      </c>
      <c r="M1756" t="s">
        <v>252</v>
      </c>
      <c r="N1756" t="s">
        <v>3233</v>
      </c>
      <c r="O1756" t="s">
        <v>320</v>
      </c>
      <c r="P1756" t="s">
        <v>3234</v>
      </c>
      <c r="Q1756" t="s">
        <v>320</v>
      </c>
      <c r="T1756">
        <v>42.109783041999997</v>
      </c>
      <c r="U1756">
        <v>-72.576516662000003</v>
      </c>
      <c r="V1756">
        <f>SUM(W1756:X1756)+(Y1756*0.8)+(Z1756*0.4)</f>
        <v>0.5</v>
      </c>
      <c r="W1756">
        <v>0.5</v>
      </c>
      <c r="X1756">
        <v>0</v>
      </c>
      <c r="Y1756">
        <v>0</v>
      </c>
      <c r="Z1756">
        <v>0</v>
      </c>
      <c r="AA1756" t="s">
        <v>43</v>
      </c>
      <c r="AB1756">
        <v>0.36</v>
      </c>
      <c r="AD1756" t="s">
        <v>7380</v>
      </c>
      <c r="AE1756" t="s">
        <v>7381</v>
      </c>
    </row>
    <row r="1757" spans="1:31" x14ac:dyDescent="0.25">
      <c r="A1757" t="s">
        <v>31</v>
      </c>
      <c r="C1757" t="s">
        <v>2706</v>
      </c>
      <c r="D1757" t="s">
        <v>2711</v>
      </c>
      <c r="E1757" t="s">
        <v>34</v>
      </c>
      <c r="F1757" t="s">
        <v>35</v>
      </c>
      <c r="G1757">
        <v>2004</v>
      </c>
      <c r="H1757" t="s">
        <v>36</v>
      </c>
      <c r="I1757" t="s">
        <v>2712</v>
      </c>
      <c r="J1757" t="s">
        <v>31</v>
      </c>
      <c r="K1757" t="s">
        <v>38</v>
      </c>
      <c r="L1757" t="s">
        <v>317</v>
      </c>
      <c r="M1757" t="s">
        <v>318</v>
      </c>
      <c r="N1757" t="s">
        <v>665</v>
      </c>
      <c r="O1757" t="s">
        <v>2713</v>
      </c>
      <c r="P1757" t="s">
        <v>2714</v>
      </c>
      <c r="Q1757" t="s">
        <v>668</v>
      </c>
      <c r="T1757">
        <v>40.115943000000001</v>
      </c>
      <c r="U1757">
        <v>-83.001611999999994</v>
      </c>
      <c r="V1757">
        <f>SUM(W1757:X1757)+(Y1757*0.8)+(Z1757*0.4)</f>
        <v>0.5</v>
      </c>
      <c r="W1757">
        <v>0.5</v>
      </c>
      <c r="X1757">
        <v>0</v>
      </c>
      <c r="Y1757">
        <v>0</v>
      </c>
      <c r="Z1757">
        <v>0</v>
      </c>
      <c r="AA1757" t="s">
        <v>43</v>
      </c>
      <c r="AB1757">
        <v>0.49</v>
      </c>
      <c r="AC1757">
        <v>1.3</v>
      </c>
      <c r="AD1757" t="s">
        <v>2715</v>
      </c>
      <c r="AE1757" t="s">
        <v>2716</v>
      </c>
    </row>
    <row r="1758" spans="1:31" x14ac:dyDescent="0.25">
      <c r="A1758" t="s">
        <v>31</v>
      </c>
      <c r="C1758" t="s">
        <v>430</v>
      </c>
      <c r="D1758" t="s">
        <v>431</v>
      </c>
      <c r="E1758" t="s">
        <v>34</v>
      </c>
      <c r="F1758" t="s">
        <v>35</v>
      </c>
      <c r="G1758">
        <v>2003</v>
      </c>
      <c r="H1758" t="s">
        <v>36</v>
      </c>
      <c r="I1758" t="s">
        <v>432</v>
      </c>
      <c r="J1758" t="s">
        <v>31</v>
      </c>
      <c r="K1758" t="s">
        <v>38</v>
      </c>
      <c r="L1758" t="s">
        <v>172</v>
      </c>
      <c r="M1758" t="s">
        <v>173</v>
      </c>
      <c r="N1758" t="s">
        <v>433</v>
      </c>
      <c r="O1758" t="s">
        <v>434</v>
      </c>
      <c r="P1758" t="s">
        <v>435</v>
      </c>
      <c r="T1758">
        <v>33.848900819000001</v>
      </c>
      <c r="U1758">
        <v>-117.970830186</v>
      </c>
      <c r="V1758">
        <f>SUM(W1758:X1758)+(Y1758*0.8)+(Z1758*0.4)</f>
        <v>0.5</v>
      </c>
      <c r="W1758">
        <v>0.5</v>
      </c>
      <c r="X1758">
        <v>0</v>
      </c>
      <c r="Y1758">
        <v>0</v>
      </c>
      <c r="Z1758">
        <v>0</v>
      </c>
      <c r="AA1758" t="s">
        <v>43</v>
      </c>
      <c r="AB1758">
        <v>0.36</v>
      </c>
      <c r="AD1758" t="s">
        <v>436</v>
      </c>
      <c r="AE1758" t="s">
        <v>437</v>
      </c>
    </row>
    <row r="1759" spans="1:31" x14ac:dyDescent="0.25">
      <c r="A1759" t="s">
        <v>31</v>
      </c>
      <c r="C1759" t="s">
        <v>7218</v>
      </c>
      <c r="D1759" t="s">
        <v>7252</v>
      </c>
      <c r="E1759" t="s">
        <v>34</v>
      </c>
      <c r="F1759" t="s">
        <v>35</v>
      </c>
      <c r="G1759">
        <v>2002</v>
      </c>
      <c r="H1759" t="s">
        <v>36</v>
      </c>
      <c r="I1759" t="s">
        <v>7253</v>
      </c>
      <c r="J1759" t="s">
        <v>31</v>
      </c>
      <c r="K1759" t="s">
        <v>38</v>
      </c>
      <c r="L1759" t="s">
        <v>383</v>
      </c>
      <c r="M1759" t="s">
        <v>384</v>
      </c>
      <c r="N1759" t="s">
        <v>1372</v>
      </c>
      <c r="O1759" t="s">
        <v>1373</v>
      </c>
      <c r="P1759" t="s">
        <v>7254</v>
      </c>
      <c r="T1759">
        <v>35.805852393999999</v>
      </c>
      <c r="U1759">
        <v>-78.624199567000005</v>
      </c>
      <c r="V1759">
        <f>SUM(W1759:X1759)+(Y1759*0.8)+(Z1759*0.4)</f>
        <v>0.5</v>
      </c>
      <c r="W1759">
        <v>0.5</v>
      </c>
      <c r="X1759">
        <v>0</v>
      </c>
      <c r="Y1759">
        <v>0</v>
      </c>
      <c r="Z1759">
        <v>0</v>
      </c>
      <c r="AA1759" t="s">
        <v>43</v>
      </c>
      <c r="AB1759">
        <v>0.2</v>
      </c>
      <c r="AD1759" t="s">
        <v>7255</v>
      </c>
      <c r="AE1759" t="s">
        <v>7256</v>
      </c>
    </row>
    <row r="1760" spans="1:31" x14ac:dyDescent="0.25">
      <c r="A1760" t="s">
        <v>31</v>
      </c>
      <c r="C1760" t="s">
        <v>7218</v>
      </c>
      <c r="D1760" t="s">
        <v>7359</v>
      </c>
      <c r="E1760" t="s">
        <v>34</v>
      </c>
      <c r="F1760" t="s">
        <v>35</v>
      </c>
      <c r="G1760">
        <v>2002</v>
      </c>
      <c r="H1760" t="s">
        <v>36</v>
      </c>
      <c r="I1760" t="s">
        <v>7360</v>
      </c>
      <c r="J1760" t="s">
        <v>31</v>
      </c>
      <c r="K1760" t="s">
        <v>38</v>
      </c>
      <c r="L1760" t="s">
        <v>68</v>
      </c>
      <c r="M1760" t="s">
        <v>69</v>
      </c>
      <c r="N1760" t="s">
        <v>1951</v>
      </c>
      <c r="O1760" t="s">
        <v>1952</v>
      </c>
      <c r="P1760" t="s">
        <v>7352</v>
      </c>
      <c r="S1760" t="s">
        <v>138</v>
      </c>
      <c r="T1760">
        <v>29.771350271999999</v>
      </c>
      <c r="U1760">
        <v>-95.351013692999999</v>
      </c>
      <c r="V1760">
        <f>SUM(W1760:X1760)+(Y1760*0.8)+(Z1760*0.4)</f>
        <v>0.5</v>
      </c>
      <c r="W1760">
        <v>0.5</v>
      </c>
      <c r="X1760">
        <v>0</v>
      </c>
      <c r="Y1760">
        <v>0</v>
      </c>
      <c r="Z1760">
        <v>0</v>
      </c>
      <c r="AA1760" t="s">
        <v>43</v>
      </c>
      <c r="AB1760">
        <v>0.4</v>
      </c>
      <c r="AD1760" t="s">
        <v>7361</v>
      </c>
      <c r="AE1760" t="s">
        <v>7362</v>
      </c>
    </row>
    <row r="1761" spans="1:31" x14ac:dyDescent="0.25">
      <c r="A1761" t="s">
        <v>31</v>
      </c>
      <c r="C1761" t="s">
        <v>7218</v>
      </c>
      <c r="D1761" t="s">
        <v>7450</v>
      </c>
      <c r="E1761" t="s">
        <v>34</v>
      </c>
      <c r="F1761" t="s">
        <v>35</v>
      </c>
      <c r="G1761">
        <v>2002</v>
      </c>
      <c r="H1761" t="s">
        <v>36</v>
      </c>
      <c r="I1761" t="s">
        <v>7451</v>
      </c>
      <c r="J1761" t="s">
        <v>31</v>
      </c>
      <c r="K1761" t="s">
        <v>38</v>
      </c>
      <c r="L1761" t="s">
        <v>326</v>
      </c>
      <c r="M1761" t="s">
        <v>327</v>
      </c>
      <c r="N1761" t="s">
        <v>1426</v>
      </c>
      <c r="O1761" t="s">
        <v>1424</v>
      </c>
      <c r="P1761" t="s">
        <v>7452</v>
      </c>
      <c r="T1761">
        <v>32.224277284000003</v>
      </c>
      <c r="U1761">
        <v>-110.968945152</v>
      </c>
      <c r="V1761">
        <f>SUM(W1761:X1761)+(Y1761*0.8)+(Z1761*0.4)</f>
        <v>0.5</v>
      </c>
      <c r="W1761">
        <v>0.5</v>
      </c>
      <c r="X1761">
        <v>0</v>
      </c>
      <c r="Y1761">
        <v>0</v>
      </c>
      <c r="Z1761">
        <v>0</v>
      </c>
      <c r="AA1761" t="s">
        <v>43</v>
      </c>
      <c r="AB1761">
        <v>0.5</v>
      </c>
      <c r="AD1761" t="s">
        <v>7453</v>
      </c>
      <c r="AE1761" t="s">
        <v>7454</v>
      </c>
    </row>
    <row r="1762" spans="1:31" x14ac:dyDescent="0.25">
      <c r="A1762" t="s">
        <v>31</v>
      </c>
      <c r="C1762" t="s">
        <v>4730</v>
      </c>
      <c r="D1762" t="s">
        <v>4731</v>
      </c>
      <c r="E1762" t="s">
        <v>34</v>
      </c>
      <c r="F1762" t="s">
        <v>35</v>
      </c>
      <c r="G1762">
        <v>2002</v>
      </c>
      <c r="H1762" t="s">
        <v>36</v>
      </c>
      <c r="I1762" t="s">
        <v>4732</v>
      </c>
      <c r="J1762" t="s">
        <v>31</v>
      </c>
      <c r="K1762" t="s">
        <v>38</v>
      </c>
      <c r="L1762" t="s">
        <v>2951</v>
      </c>
      <c r="M1762" t="s">
        <v>2952</v>
      </c>
      <c r="N1762" t="s">
        <v>1855</v>
      </c>
      <c r="O1762" t="s">
        <v>818</v>
      </c>
      <c r="P1762" t="s">
        <v>4733</v>
      </c>
      <c r="Q1762" t="s">
        <v>818</v>
      </c>
      <c r="T1762">
        <v>42.763071424000003</v>
      </c>
      <c r="U1762">
        <v>-71.241751668999996</v>
      </c>
      <c r="V1762">
        <f>SUM(W1762:X1762)+(Y1762*0.8)+(Z1762*0.4)</f>
        <v>0.5</v>
      </c>
      <c r="W1762">
        <v>0.5</v>
      </c>
      <c r="X1762">
        <v>0</v>
      </c>
      <c r="Y1762">
        <v>0</v>
      </c>
      <c r="Z1762">
        <v>0</v>
      </c>
      <c r="AA1762" t="s">
        <v>43</v>
      </c>
      <c r="AB1762">
        <v>0.44500000000000001</v>
      </c>
      <c r="AD1762" t="s">
        <v>4734</v>
      </c>
      <c r="AE1762" t="s">
        <v>4735</v>
      </c>
    </row>
    <row r="1763" spans="1:31" x14ac:dyDescent="0.25">
      <c r="A1763" t="s">
        <v>31</v>
      </c>
      <c r="C1763" t="s">
        <v>10977</v>
      </c>
      <c r="D1763" t="s">
        <v>10978</v>
      </c>
      <c r="E1763" t="s">
        <v>362</v>
      </c>
      <c r="F1763" t="s">
        <v>1611</v>
      </c>
      <c r="G1763">
        <v>2001</v>
      </c>
      <c r="H1763" t="s">
        <v>36</v>
      </c>
      <c r="I1763" t="s">
        <v>10979</v>
      </c>
      <c r="J1763" t="s">
        <v>31</v>
      </c>
      <c r="K1763" t="s">
        <v>38</v>
      </c>
      <c r="L1763" t="s">
        <v>448</v>
      </c>
      <c r="M1763" t="s">
        <v>449</v>
      </c>
      <c r="N1763" t="s">
        <v>10980</v>
      </c>
      <c r="O1763" t="s">
        <v>470</v>
      </c>
      <c r="P1763" t="s">
        <v>10981</v>
      </c>
      <c r="Q1763" t="s">
        <v>10982</v>
      </c>
      <c r="S1763" t="s">
        <v>10982</v>
      </c>
      <c r="T1763">
        <v>39.287263510999999</v>
      </c>
      <c r="U1763">
        <v>-76.615489355999998</v>
      </c>
      <c r="V1763">
        <f>SUM(W1763:X1763)+(Y1763*0.8)+(Z1763*0.4)</f>
        <v>0.5</v>
      </c>
      <c r="W1763">
        <v>0.5</v>
      </c>
      <c r="X1763">
        <v>0</v>
      </c>
      <c r="Y1763">
        <v>0</v>
      </c>
      <c r="Z1763">
        <v>0</v>
      </c>
      <c r="AA1763" t="s">
        <v>43</v>
      </c>
      <c r="AB1763">
        <v>0.5</v>
      </c>
      <c r="AD1763" t="s">
        <v>10983</v>
      </c>
      <c r="AE1763" t="s">
        <v>10984</v>
      </c>
    </row>
    <row r="1764" spans="1:31" x14ac:dyDescent="0.25">
      <c r="A1764" t="s">
        <v>31</v>
      </c>
      <c r="C1764" t="s">
        <v>8175</v>
      </c>
      <c r="D1764" t="s">
        <v>8176</v>
      </c>
      <c r="E1764" t="s">
        <v>34</v>
      </c>
      <c r="F1764" t="s">
        <v>35</v>
      </c>
      <c r="G1764">
        <v>2001</v>
      </c>
      <c r="H1764" t="s">
        <v>36</v>
      </c>
      <c r="I1764" t="s">
        <v>8177</v>
      </c>
      <c r="J1764" t="s">
        <v>31</v>
      </c>
      <c r="K1764" t="s">
        <v>38</v>
      </c>
      <c r="L1764" t="s">
        <v>143</v>
      </c>
      <c r="M1764" t="s">
        <v>144</v>
      </c>
      <c r="N1764" t="s">
        <v>906</v>
      </c>
      <c r="O1764" t="s">
        <v>146</v>
      </c>
      <c r="P1764" t="s">
        <v>147</v>
      </c>
      <c r="Q1764" t="s">
        <v>897</v>
      </c>
      <c r="T1764">
        <v>41.670743000000002</v>
      </c>
      <c r="U1764">
        <v>-86.246279999999999</v>
      </c>
      <c r="V1764">
        <f>SUM(W1764:X1764)+(Y1764*0.8)+(Z1764*0.4)</f>
        <v>0.5</v>
      </c>
      <c r="W1764">
        <v>0.5</v>
      </c>
      <c r="X1764">
        <v>0</v>
      </c>
      <c r="Y1764">
        <v>0</v>
      </c>
      <c r="Z1764">
        <v>0</v>
      </c>
      <c r="AA1764" t="s">
        <v>43</v>
      </c>
      <c r="AB1764">
        <v>0.5</v>
      </c>
      <c r="AD1764" t="s">
        <v>8178</v>
      </c>
      <c r="AE1764" t="s">
        <v>8179</v>
      </c>
    </row>
    <row r="1765" spans="1:31" x14ac:dyDescent="0.25">
      <c r="A1765" t="s">
        <v>31</v>
      </c>
      <c r="C1765" t="s">
        <v>6674</v>
      </c>
      <c r="D1765" t="s">
        <v>6675</v>
      </c>
      <c r="E1765" t="s">
        <v>34</v>
      </c>
      <c r="F1765" t="s">
        <v>35</v>
      </c>
      <c r="G1765">
        <v>2001</v>
      </c>
      <c r="H1765" t="s">
        <v>36</v>
      </c>
      <c r="I1765" t="s">
        <v>6676</v>
      </c>
      <c r="J1765" t="s">
        <v>31</v>
      </c>
      <c r="K1765" t="s">
        <v>38</v>
      </c>
      <c r="L1765" t="s">
        <v>172</v>
      </c>
      <c r="M1765" t="s">
        <v>173</v>
      </c>
      <c r="N1765" t="s">
        <v>433</v>
      </c>
      <c r="O1765" t="s">
        <v>6677</v>
      </c>
      <c r="P1765" t="s">
        <v>6678</v>
      </c>
      <c r="S1765" t="s">
        <v>6679</v>
      </c>
      <c r="T1765">
        <v>33.717331096999999</v>
      </c>
      <c r="U1765">
        <v>-117.803262389</v>
      </c>
      <c r="V1765">
        <f>SUM(W1765:X1765)+(Y1765*0.8)+(Z1765*0.4)</f>
        <v>0.5</v>
      </c>
      <c r="W1765">
        <v>0.5</v>
      </c>
      <c r="X1765">
        <v>0</v>
      </c>
      <c r="Y1765">
        <v>0</v>
      </c>
      <c r="Z1765">
        <v>0</v>
      </c>
      <c r="AA1765" t="s">
        <v>43</v>
      </c>
      <c r="AB1765">
        <v>0.48</v>
      </c>
      <c r="AD1765" t="s">
        <v>6680</v>
      </c>
      <c r="AE1765" t="s">
        <v>6681</v>
      </c>
    </row>
    <row r="1766" spans="1:31" x14ac:dyDescent="0.25">
      <c r="A1766" t="s">
        <v>31</v>
      </c>
      <c r="C1766" t="s">
        <v>3230</v>
      </c>
      <c r="D1766" t="s">
        <v>3242</v>
      </c>
      <c r="E1766" t="s">
        <v>34</v>
      </c>
      <c r="F1766" t="s">
        <v>35</v>
      </c>
      <c r="G1766">
        <v>2001</v>
      </c>
      <c r="H1766" t="s">
        <v>36</v>
      </c>
      <c r="I1766" t="s">
        <v>3243</v>
      </c>
      <c r="J1766" t="s">
        <v>31</v>
      </c>
      <c r="K1766" t="s">
        <v>38</v>
      </c>
      <c r="L1766" t="s">
        <v>3244</v>
      </c>
      <c r="M1766" t="s">
        <v>3245</v>
      </c>
      <c r="N1766" t="s">
        <v>3246</v>
      </c>
      <c r="O1766" t="s">
        <v>3247</v>
      </c>
      <c r="P1766" t="s">
        <v>3248</v>
      </c>
      <c r="Q1766" t="s">
        <v>3247</v>
      </c>
      <c r="S1766" t="s">
        <v>3249</v>
      </c>
      <c r="T1766">
        <v>41.817910586000004</v>
      </c>
      <c r="U1766">
        <v>-71.428852436</v>
      </c>
      <c r="V1766">
        <f>SUM(W1766:X1766)+(Y1766*0.8)+(Z1766*0.4)</f>
        <v>0.5</v>
      </c>
      <c r="W1766">
        <v>0.5</v>
      </c>
      <c r="X1766">
        <v>0</v>
      </c>
      <c r="Y1766">
        <v>0</v>
      </c>
      <c r="Z1766">
        <v>0</v>
      </c>
      <c r="AA1766" t="s">
        <v>43</v>
      </c>
      <c r="AB1766">
        <v>0.47499999999999998</v>
      </c>
      <c r="AD1766" t="s">
        <v>3250</v>
      </c>
      <c r="AE1766" t="s">
        <v>3251</v>
      </c>
    </row>
    <row r="1767" spans="1:31" x14ac:dyDescent="0.25">
      <c r="A1767" t="s">
        <v>31</v>
      </c>
      <c r="C1767" t="s">
        <v>10685</v>
      </c>
      <c r="D1767" t="s">
        <v>10686</v>
      </c>
      <c r="E1767" t="s">
        <v>362</v>
      </c>
      <c r="F1767" t="s">
        <v>1611</v>
      </c>
      <c r="G1767">
        <v>2000</v>
      </c>
      <c r="H1767" t="s">
        <v>36</v>
      </c>
      <c r="I1767" t="s">
        <v>10687</v>
      </c>
      <c r="J1767" t="s">
        <v>31</v>
      </c>
      <c r="K1767" t="s">
        <v>38</v>
      </c>
      <c r="L1767" t="s">
        <v>383</v>
      </c>
      <c r="M1767" t="s">
        <v>384</v>
      </c>
      <c r="N1767" t="s">
        <v>385</v>
      </c>
      <c r="O1767" t="s">
        <v>386</v>
      </c>
      <c r="P1767" t="s">
        <v>387</v>
      </c>
      <c r="T1767">
        <v>35.962022697000002</v>
      </c>
      <c r="U1767">
        <v>-78.870981987999997</v>
      </c>
      <c r="V1767">
        <f>SUM(W1767:X1767)+(Y1767*0.8)+(Z1767*0.4)</f>
        <v>0.5</v>
      </c>
      <c r="W1767">
        <v>0.5</v>
      </c>
      <c r="X1767">
        <v>0</v>
      </c>
      <c r="Y1767">
        <v>0</v>
      </c>
      <c r="Z1767">
        <v>0</v>
      </c>
      <c r="AA1767" t="s">
        <v>43</v>
      </c>
      <c r="AB1767">
        <v>0.5</v>
      </c>
      <c r="AD1767" t="s">
        <v>10688</v>
      </c>
      <c r="AE1767" t="s">
        <v>10689</v>
      </c>
    </row>
    <row r="1768" spans="1:31" x14ac:dyDescent="0.25">
      <c r="A1768" t="s">
        <v>31</v>
      </c>
      <c r="C1768" t="s">
        <v>7218</v>
      </c>
      <c r="D1768" t="s">
        <v>7369</v>
      </c>
      <c r="E1768" t="s">
        <v>34</v>
      </c>
      <c r="F1768" t="s">
        <v>35</v>
      </c>
      <c r="G1768">
        <v>2000</v>
      </c>
      <c r="H1768" t="s">
        <v>36</v>
      </c>
      <c r="I1768" t="s">
        <v>7370</v>
      </c>
      <c r="J1768" t="s">
        <v>31</v>
      </c>
      <c r="K1768" t="s">
        <v>38</v>
      </c>
      <c r="L1768" t="s">
        <v>172</v>
      </c>
      <c r="M1768" t="s">
        <v>173</v>
      </c>
      <c r="N1768" t="s">
        <v>174</v>
      </c>
      <c r="O1768" t="s">
        <v>7371</v>
      </c>
      <c r="P1768" t="s">
        <v>7372</v>
      </c>
      <c r="T1768">
        <v>38.591844874000003</v>
      </c>
      <c r="U1768">
        <v>-121.48803766</v>
      </c>
      <c r="V1768">
        <f>SUM(W1768:X1768)+(Y1768*0.8)+(Z1768*0.4)</f>
        <v>0.5</v>
      </c>
      <c r="W1768">
        <v>0.5</v>
      </c>
      <c r="X1768">
        <v>0</v>
      </c>
      <c r="Y1768">
        <v>0</v>
      </c>
      <c r="Z1768">
        <v>0</v>
      </c>
      <c r="AA1768" t="s">
        <v>43</v>
      </c>
      <c r="AB1768">
        <v>0.49</v>
      </c>
      <c r="AD1768" t="s">
        <v>7373</v>
      </c>
      <c r="AE1768" t="s">
        <v>7374</v>
      </c>
    </row>
    <row r="1769" spans="1:31" x14ac:dyDescent="0.25">
      <c r="A1769" t="s">
        <v>31</v>
      </c>
      <c r="C1769" t="s">
        <v>7218</v>
      </c>
      <c r="D1769" t="s">
        <v>7391</v>
      </c>
      <c r="E1769" t="s">
        <v>362</v>
      </c>
      <c r="F1769" t="s">
        <v>1611</v>
      </c>
      <c r="G1769">
        <v>2000</v>
      </c>
      <c r="H1769" t="s">
        <v>36</v>
      </c>
      <c r="I1769" t="s">
        <v>7392</v>
      </c>
      <c r="J1769" t="s">
        <v>31</v>
      </c>
      <c r="K1769" t="s">
        <v>38</v>
      </c>
      <c r="L1769" t="s">
        <v>2620</v>
      </c>
      <c r="M1769" t="s">
        <v>2621</v>
      </c>
      <c r="N1769" t="s">
        <v>7393</v>
      </c>
      <c r="O1769" t="s">
        <v>7391</v>
      </c>
      <c r="P1769" t="s">
        <v>7394</v>
      </c>
      <c r="T1769">
        <v>29.972233769999999</v>
      </c>
      <c r="U1769">
        <v>-90.157814661000003</v>
      </c>
      <c r="V1769">
        <f>SUM(W1769:X1769)+(Y1769*0.8)+(Z1769*0.4)</f>
        <v>0.5</v>
      </c>
      <c r="W1769">
        <v>0.5</v>
      </c>
      <c r="X1769">
        <v>0</v>
      </c>
      <c r="Y1769">
        <v>0</v>
      </c>
      <c r="Z1769">
        <v>0</v>
      </c>
      <c r="AA1769" t="s">
        <v>43</v>
      </c>
      <c r="AB1769">
        <v>0.5</v>
      </c>
      <c r="AD1769" t="s">
        <v>7395</v>
      </c>
      <c r="AE1769" t="s">
        <v>7396</v>
      </c>
    </row>
    <row r="1770" spans="1:31" x14ac:dyDescent="0.25">
      <c r="A1770" t="s">
        <v>31</v>
      </c>
      <c r="C1770" t="s">
        <v>7218</v>
      </c>
      <c r="D1770" t="s">
        <v>2892</v>
      </c>
      <c r="E1770" t="s">
        <v>34</v>
      </c>
      <c r="F1770" t="s">
        <v>35</v>
      </c>
      <c r="G1770">
        <v>2000</v>
      </c>
      <c r="H1770" t="s">
        <v>36</v>
      </c>
      <c r="I1770" t="s">
        <v>7404</v>
      </c>
      <c r="J1770" t="s">
        <v>31</v>
      </c>
      <c r="K1770" t="s">
        <v>38</v>
      </c>
      <c r="L1770" t="s">
        <v>260</v>
      </c>
      <c r="M1770" t="s">
        <v>261</v>
      </c>
      <c r="N1770" t="s">
        <v>262</v>
      </c>
      <c r="O1770" t="s">
        <v>263</v>
      </c>
      <c r="P1770" t="s">
        <v>7405</v>
      </c>
      <c r="S1770" t="s">
        <v>7406</v>
      </c>
      <c r="T1770">
        <v>36.188857274</v>
      </c>
      <c r="U1770">
        <v>-86.803566156000002</v>
      </c>
      <c r="V1770">
        <f>SUM(W1770:X1770)+(Y1770*0.8)+(Z1770*0.4)</f>
        <v>0.5</v>
      </c>
      <c r="W1770">
        <v>0.5</v>
      </c>
      <c r="X1770">
        <v>0</v>
      </c>
      <c r="Y1770">
        <v>0</v>
      </c>
      <c r="Z1770">
        <v>0</v>
      </c>
      <c r="AA1770" t="s">
        <v>43</v>
      </c>
      <c r="AB1770">
        <v>0.4</v>
      </c>
      <c r="AD1770" t="s">
        <v>7407</v>
      </c>
      <c r="AE1770" t="s">
        <v>7408</v>
      </c>
    </row>
    <row r="1771" spans="1:31" x14ac:dyDescent="0.25">
      <c r="A1771" t="s">
        <v>31</v>
      </c>
      <c r="C1771" t="s">
        <v>7089</v>
      </c>
      <c r="D1771" t="s">
        <v>7090</v>
      </c>
      <c r="E1771" t="s">
        <v>362</v>
      </c>
      <c r="F1771" t="s">
        <v>1302</v>
      </c>
      <c r="G1771">
        <v>2000</v>
      </c>
      <c r="H1771" t="s">
        <v>36</v>
      </c>
      <c r="I1771" t="s">
        <v>7091</v>
      </c>
      <c r="J1771" t="s">
        <v>31</v>
      </c>
      <c r="K1771" t="s">
        <v>38</v>
      </c>
      <c r="L1771" t="s">
        <v>383</v>
      </c>
      <c r="M1771" t="s">
        <v>384</v>
      </c>
      <c r="N1771" t="s">
        <v>1372</v>
      </c>
      <c r="O1771" t="s">
        <v>2467</v>
      </c>
      <c r="P1771" t="s">
        <v>2468</v>
      </c>
      <c r="T1771">
        <v>35.865748066999998</v>
      </c>
      <c r="U1771">
        <v>-78.873849679000003</v>
      </c>
      <c r="V1771">
        <f>SUM(W1771:X1771)+(Y1771*0.8)+(Z1771*0.4)</f>
        <v>0.5</v>
      </c>
      <c r="W1771">
        <v>0.5</v>
      </c>
      <c r="X1771">
        <v>0</v>
      </c>
      <c r="Y1771">
        <v>0</v>
      </c>
      <c r="Z1771">
        <v>0</v>
      </c>
      <c r="AA1771" t="s">
        <v>43</v>
      </c>
      <c r="AB1771">
        <v>0.5</v>
      </c>
      <c r="AD1771" t="s">
        <v>7092</v>
      </c>
      <c r="AE1771" t="s">
        <v>7093</v>
      </c>
    </row>
    <row r="1772" spans="1:31" x14ac:dyDescent="0.25">
      <c r="A1772" t="s">
        <v>31</v>
      </c>
      <c r="C1772" t="s">
        <v>2936</v>
      </c>
      <c r="D1772" t="s">
        <v>2964</v>
      </c>
      <c r="E1772" t="s">
        <v>34</v>
      </c>
      <c r="F1772" t="s">
        <v>35</v>
      </c>
      <c r="G1772">
        <v>2000</v>
      </c>
      <c r="H1772" t="s">
        <v>36</v>
      </c>
      <c r="I1772" t="s">
        <v>2965</v>
      </c>
      <c r="J1772" t="s">
        <v>31</v>
      </c>
      <c r="K1772" t="s">
        <v>38</v>
      </c>
      <c r="L1772" t="s">
        <v>172</v>
      </c>
      <c r="M1772" t="s">
        <v>173</v>
      </c>
      <c r="N1772" t="s">
        <v>174</v>
      </c>
      <c r="P1772" t="s">
        <v>2966</v>
      </c>
      <c r="T1772">
        <v>38.660101922999999</v>
      </c>
      <c r="U1772">
        <v>-121.385390406</v>
      </c>
      <c r="V1772">
        <f>SUM(W1772:X1772)+(Y1772*0.8)+(Z1772*0.4)</f>
        <v>0.5</v>
      </c>
      <c r="W1772">
        <v>0.5</v>
      </c>
      <c r="X1772">
        <v>0</v>
      </c>
      <c r="Y1772">
        <v>0</v>
      </c>
      <c r="Z1772">
        <v>0</v>
      </c>
      <c r="AA1772" t="s">
        <v>43</v>
      </c>
      <c r="AB1772">
        <v>0.49</v>
      </c>
      <c r="AD1772" t="s">
        <v>2967</v>
      </c>
      <c r="AE1772" t="s">
        <v>2968</v>
      </c>
    </row>
    <row r="1773" spans="1:31" x14ac:dyDescent="0.25">
      <c r="A1773" t="s">
        <v>31</v>
      </c>
      <c r="C1773" t="s">
        <v>2033</v>
      </c>
      <c r="D1773" t="s">
        <v>2034</v>
      </c>
      <c r="E1773" t="s">
        <v>362</v>
      </c>
      <c r="F1773" t="s">
        <v>381</v>
      </c>
      <c r="G1773">
        <v>2000</v>
      </c>
      <c r="H1773" t="s">
        <v>36</v>
      </c>
      <c r="I1773" t="s">
        <v>2035</v>
      </c>
      <c r="J1773" t="s">
        <v>31</v>
      </c>
      <c r="K1773" t="s">
        <v>38</v>
      </c>
      <c r="L1773" t="s">
        <v>143</v>
      </c>
      <c r="M1773" t="s">
        <v>144</v>
      </c>
      <c r="N1773" t="s">
        <v>2036</v>
      </c>
      <c r="O1773" t="s">
        <v>2037</v>
      </c>
      <c r="P1773" t="s">
        <v>2038</v>
      </c>
      <c r="T1773">
        <v>39.929607912000002</v>
      </c>
      <c r="U1773">
        <v>-86.149087983000001</v>
      </c>
      <c r="V1773">
        <f>SUM(W1773:X1773)+(Y1773*0.8)+(Z1773*0.4)</f>
        <v>0.5</v>
      </c>
      <c r="W1773">
        <v>0.5</v>
      </c>
      <c r="X1773">
        <v>0</v>
      </c>
      <c r="Y1773">
        <v>0</v>
      </c>
      <c r="Z1773">
        <v>0</v>
      </c>
      <c r="AA1773" t="s">
        <v>43</v>
      </c>
      <c r="AB1773">
        <v>0.5</v>
      </c>
      <c r="AD1773" t="s">
        <v>2039</v>
      </c>
      <c r="AE1773" t="s">
        <v>2040</v>
      </c>
    </row>
    <row r="1774" spans="1:31" x14ac:dyDescent="0.25">
      <c r="A1774" t="s">
        <v>31</v>
      </c>
      <c r="C1774" t="s">
        <v>2020</v>
      </c>
      <c r="D1774" t="s">
        <v>2021</v>
      </c>
      <c r="E1774" t="s">
        <v>34</v>
      </c>
      <c r="F1774" t="s">
        <v>35</v>
      </c>
      <c r="G1774">
        <v>2000</v>
      </c>
      <c r="H1774" t="s">
        <v>36</v>
      </c>
      <c r="I1774" t="s">
        <v>2022</v>
      </c>
      <c r="J1774" t="s">
        <v>31</v>
      </c>
      <c r="K1774" t="s">
        <v>38</v>
      </c>
      <c r="L1774" t="s">
        <v>172</v>
      </c>
      <c r="M1774" t="s">
        <v>173</v>
      </c>
      <c r="N1774" t="s">
        <v>2023</v>
      </c>
      <c r="O1774" t="s">
        <v>2021</v>
      </c>
      <c r="P1774" t="s">
        <v>2024</v>
      </c>
      <c r="S1774" t="s">
        <v>2025</v>
      </c>
      <c r="T1774">
        <v>32.829513519999999</v>
      </c>
      <c r="U1774">
        <v>-117.133680822</v>
      </c>
      <c r="V1774">
        <f>SUM(W1774:X1774)+(Y1774*0.8)+(Z1774*0.4)</f>
        <v>0.5</v>
      </c>
      <c r="W1774">
        <v>0.5</v>
      </c>
      <c r="X1774">
        <v>0</v>
      </c>
      <c r="Y1774">
        <v>0</v>
      </c>
      <c r="Z1774">
        <v>0</v>
      </c>
      <c r="AA1774" t="s">
        <v>43</v>
      </c>
      <c r="AB1774">
        <v>0.5</v>
      </c>
      <c r="AD1774" t="s">
        <v>2026</v>
      </c>
      <c r="AE1774" t="s">
        <v>2027</v>
      </c>
    </row>
    <row r="1775" spans="1:31" x14ac:dyDescent="0.25">
      <c r="A1775" t="s">
        <v>31</v>
      </c>
      <c r="C1775" t="s">
        <v>8365</v>
      </c>
      <c r="D1775" t="s">
        <v>8398</v>
      </c>
      <c r="E1775" t="s">
        <v>34</v>
      </c>
      <c r="F1775" t="s">
        <v>35</v>
      </c>
      <c r="G1775">
        <v>1999</v>
      </c>
      <c r="H1775" t="s">
        <v>36</v>
      </c>
      <c r="I1775" t="s">
        <v>8399</v>
      </c>
      <c r="J1775" t="s">
        <v>31</v>
      </c>
      <c r="K1775" t="s">
        <v>38</v>
      </c>
      <c r="L1775" t="s">
        <v>1900</v>
      </c>
      <c r="M1775" t="s">
        <v>1901</v>
      </c>
      <c r="O1775" t="s">
        <v>4786</v>
      </c>
      <c r="P1775" t="s">
        <v>4787</v>
      </c>
      <c r="Q1775" t="s">
        <v>138</v>
      </c>
      <c r="T1775">
        <v>38.625485605999998</v>
      </c>
      <c r="U1775">
        <v>-90.195200542999999</v>
      </c>
      <c r="V1775">
        <f>SUM(W1775:X1775)+(Y1775*0.8)+(Z1775*0.4)</f>
        <v>0.5</v>
      </c>
      <c r="W1775">
        <v>0.5</v>
      </c>
      <c r="X1775">
        <v>0</v>
      </c>
      <c r="Y1775">
        <v>0</v>
      </c>
      <c r="Z1775">
        <v>0</v>
      </c>
      <c r="AA1775" t="s">
        <v>43</v>
      </c>
      <c r="AB1775">
        <v>0.47</v>
      </c>
      <c r="AD1775" t="s">
        <v>8400</v>
      </c>
      <c r="AE1775" t="s">
        <v>8401</v>
      </c>
    </row>
    <row r="1776" spans="1:31" x14ac:dyDescent="0.25">
      <c r="A1776" t="s">
        <v>31</v>
      </c>
      <c r="C1776" t="s">
        <v>7500</v>
      </c>
      <c r="D1776" t="s">
        <v>7501</v>
      </c>
      <c r="E1776" t="s">
        <v>34</v>
      </c>
      <c r="F1776" t="s">
        <v>35</v>
      </c>
      <c r="G1776">
        <v>1999</v>
      </c>
      <c r="H1776" t="s">
        <v>36</v>
      </c>
      <c r="I1776" t="s">
        <v>7502</v>
      </c>
      <c r="J1776" t="s">
        <v>31</v>
      </c>
      <c r="K1776" t="s">
        <v>38</v>
      </c>
      <c r="L1776" t="s">
        <v>49</v>
      </c>
      <c r="M1776" t="s">
        <v>50</v>
      </c>
      <c r="N1776" t="s">
        <v>51</v>
      </c>
      <c r="O1776" t="s">
        <v>7503</v>
      </c>
      <c r="P1776" t="s">
        <v>7504</v>
      </c>
      <c r="Q1776" t="s">
        <v>7503</v>
      </c>
      <c r="T1776">
        <v>42.537241946999998</v>
      </c>
      <c r="U1776">
        <v>-83.099880819000006</v>
      </c>
      <c r="V1776">
        <f>SUM(W1776:X1776)+(Y1776*0.8)+(Z1776*0.4)</f>
        <v>0.5</v>
      </c>
      <c r="W1776">
        <v>0.5</v>
      </c>
      <c r="X1776">
        <v>0</v>
      </c>
      <c r="Y1776">
        <v>0</v>
      </c>
      <c r="Z1776">
        <v>0</v>
      </c>
      <c r="AA1776" t="s">
        <v>43</v>
      </c>
      <c r="AB1776">
        <v>0.25</v>
      </c>
      <c r="AD1776" t="s">
        <v>7505</v>
      </c>
      <c r="AE1776" t="s">
        <v>7506</v>
      </c>
    </row>
    <row r="1777" spans="1:31" x14ac:dyDescent="0.25">
      <c r="A1777" t="s">
        <v>31</v>
      </c>
      <c r="C1777" t="s">
        <v>7218</v>
      </c>
      <c r="D1777" t="s">
        <v>7228</v>
      </c>
      <c r="E1777" t="s">
        <v>34</v>
      </c>
      <c r="F1777" t="s">
        <v>35</v>
      </c>
      <c r="G1777">
        <v>1999</v>
      </c>
      <c r="H1777" t="s">
        <v>36</v>
      </c>
      <c r="I1777" t="s">
        <v>7229</v>
      </c>
      <c r="J1777" t="s">
        <v>31</v>
      </c>
      <c r="K1777" t="s">
        <v>38</v>
      </c>
      <c r="L1777" t="s">
        <v>68</v>
      </c>
      <c r="M1777" t="s">
        <v>69</v>
      </c>
      <c r="N1777" t="s">
        <v>297</v>
      </c>
      <c r="O1777" t="s">
        <v>2116</v>
      </c>
      <c r="P1777" t="s">
        <v>3176</v>
      </c>
      <c r="T1777">
        <v>32.828135785999997</v>
      </c>
      <c r="U1777">
        <v>-96.884407128999996</v>
      </c>
      <c r="V1777">
        <f>SUM(W1777:X1777)+(Y1777*0.8)+(Z1777*0.4)</f>
        <v>0.5</v>
      </c>
      <c r="W1777">
        <v>0.5</v>
      </c>
      <c r="X1777">
        <v>0</v>
      </c>
      <c r="Y1777">
        <v>0</v>
      </c>
      <c r="Z1777">
        <v>0</v>
      </c>
      <c r="AA1777" t="s">
        <v>43</v>
      </c>
      <c r="AB1777">
        <v>0.47</v>
      </c>
      <c r="AD1777" t="s">
        <v>7230</v>
      </c>
      <c r="AE1777" t="s">
        <v>7231</v>
      </c>
    </row>
    <row r="1778" spans="1:31" x14ac:dyDescent="0.25">
      <c r="A1778" t="s">
        <v>31</v>
      </c>
      <c r="C1778" t="s">
        <v>7218</v>
      </c>
      <c r="D1778" t="s">
        <v>7290</v>
      </c>
      <c r="E1778" t="s">
        <v>362</v>
      </c>
      <c r="F1778" t="s">
        <v>1611</v>
      </c>
      <c r="G1778">
        <v>1999</v>
      </c>
      <c r="H1778" t="s">
        <v>36</v>
      </c>
      <c r="I1778" t="s">
        <v>7291</v>
      </c>
      <c r="J1778" t="s">
        <v>31</v>
      </c>
      <c r="K1778" t="s">
        <v>38</v>
      </c>
      <c r="L1778" t="s">
        <v>123</v>
      </c>
      <c r="M1778" t="s">
        <v>124</v>
      </c>
      <c r="N1778" t="s">
        <v>2304</v>
      </c>
      <c r="O1778" t="s">
        <v>5697</v>
      </c>
      <c r="P1778" t="s">
        <v>5698</v>
      </c>
      <c r="Q1778" t="s">
        <v>7292</v>
      </c>
      <c r="T1778">
        <v>42.661453700999999</v>
      </c>
      <c r="U1778">
        <v>-73.747612477999994</v>
      </c>
      <c r="V1778">
        <f>SUM(W1778:X1778)+(Y1778*0.8)+(Z1778*0.4)</f>
        <v>0.5</v>
      </c>
      <c r="W1778">
        <v>0.5</v>
      </c>
      <c r="X1778">
        <v>0</v>
      </c>
      <c r="Y1778">
        <v>0</v>
      </c>
      <c r="Z1778">
        <v>0</v>
      </c>
      <c r="AA1778" t="s">
        <v>43</v>
      </c>
      <c r="AB1778">
        <v>0.5</v>
      </c>
      <c r="AD1778" t="s">
        <v>7293</v>
      </c>
      <c r="AE1778" t="s">
        <v>7294</v>
      </c>
    </row>
    <row r="1779" spans="1:31" x14ac:dyDescent="0.25">
      <c r="A1779" t="s">
        <v>31</v>
      </c>
      <c r="C1779" t="s">
        <v>11306</v>
      </c>
      <c r="D1779" t="s">
        <v>11307</v>
      </c>
      <c r="E1779" t="s">
        <v>34</v>
      </c>
      <c r="F1779" t="s">
        <v>35</v>
      </c>
      <c r="G1779">
        <v>1998</v>
      </c>
      <c r="H1779" t="s">
        <v>36</v>
      </c>
      <c r="I1779" t="s">
        <v>11308</v>
      </c>
      <c r="J1779" t="s">
        <v>31</v>
      </c>
      <c r="K1779" t="s">
        <v>38</v>
      </c>
      <c r="L1779" t="s">
        <v>172</v>
      </c>
      <c r="M1779" t="s">
        <v>173</v>
      </c>
      <c r="N1779" t="s">
        <v>493</v>
      </c>
      <c r="O1779" t="s">
        <v>494</v>
      </c>
      <c r="P1779" t="s">
        <v>11309</v>
      </c>
      <c r="S1779" t="s">
        <v>6578</v>
      </c>
      <c r="T1779">
        <v>34.061507874</v>
      </c>
      <c r="U1779">
        <v>-118.293301614</v>
      </c>
      <c r="V1779">
        <f>SUM(W1779:X1779)+(Y1779*0.8)+(Z1779*0.4)</f>
        <v>0.5</v>
      </c>
      <c r="W1779">
        <v>0.5</v>
      </c>
      <c r="X1779">
        <v>0</v>
      </c>
      <c r="Y1779">
        <v>0</v>
      </c>
      <c r="Z1779">
        <v>0</v>
      </c>
      <c r="AA1779" t="s">
        <v>43</v>
      </c>
      <c r="AB1779">
        <v>0.49</v>
      </c>
      <c r="AD1779" t="s">
        <v>11310</v>
      </c>
      <c r="AE1779" t="s">
        <v>11311</v>
      </c>
    </row>
    <row r="1780" spans="1:31" x14ac:dyDescent="0.25">
      <c r="A1780" t="s">
        <v>31</v>
      </c>
      <c r="C1780" t="s">
        <v>2936</v>
      </c>
      <c r="D1780" t="s">
        <v>2943</v>
      </c>
      <c r="E1780" t="s">
        <v>34</v>
      </c>
      <c r="F1780" t="s">
        <v>35</v>
      </c>
      <c r="G1780">
        <v>1998</v>
      </c>
      <c r="H1780" t="s">
        <v>36</v>
      </c>
      <c r="I1780" t="s">
        <v>2944</v>
      </c>
      <c r="J1780" t="s">
        <v>31</v>
      </c>
      <c r="K1780" t="s">
        <v>38</v>
      </c>
      <c r="L1780" t="s">
        <v>172</v>
      </c>
      <c r="M1780" t="s">
        <v>173</v>
      </c>
      <c r="N1780" t="s">
        <v>174</v>
      </c>
      <c r="O1780" t="s">
        <v>2945</v>
      </c>
      <c r="P1780" t="s">
        <v>2946</v>
      </c>
      <c r="T1780">
        <v>38.697436240999998</v>
      </c>
      <c r="U1780">
        <v>-121.283023716</v>
      </c>
      <c r="V1780">
        <f>SUM(W1780:X1780)+(Y1780*0.8)+(Z1780*0.4)</f>
        <v>0.5</v>
      </c>
      <c r="W1780">
        <v>0.5</v>
      </c>
      <c r="X1780">
        <v>0</v>
      </c>
      <c r="Y1780">
        <v>0</v>
      </c>
      <c r="Z1780">
        <v>0</v>
      </c>
      <c r="AA1780" t="s">
        <v>43</v>
      </c>
      <c r="AB1780">
        <v>0.49</v>
      </c>
      <c r="AD1780" t="s">
        <v>2947</v>
      </c>
      <c r="AE1780" t="s">
        <v>2948</v>
      </c>
    </row>
    <row r="1781" spans="1:31" x14ac:dyDescent="0.25">
      <c r="A1781" t="s">
        <v>31</v>
      </c>
      <c r="C1781" t="s">
        <v>1973</v>
      </c>
      <c r="D1781" t="s">
        <v>1974</v>
      </c>
      <c r="E1781" t="s">
        <v>362</v>
      </c>
      <c r="F1781" t="s">
        <v>1611</v>
      </c>
      <c r="G1781">
        <v>1998</v>
      </c>
      <c r="H1781" t="s">
        <v>36</v>
      </c>
      <c r="I1781" t="s">
        <v>1975</v>
      </c>
      <c r="J1781" t="s">
        <v>31</v>
      </c>
      <c r="K1781" t="s">
        <v>38</v>
      </c>
      <c r="L1781" t="s">
        <v>1146</v>
      </c>
      <c r="M1781" t="s">
        <v>1147</v>
      </c>
      <c r="N1781" t="s">
        <v>1976</v>
      </c>
      <c r="O1781" t="s">
        <v>1974</v>
      </c>
      <c r="P1781" t="s">
        <v>1977</v>
      </c>
      <c r="T1781">
        <v>31.319607272999999</v>
      </c>
      <c r="U1781">
        <v>-89.389293175000006</v>
      </c>
      <c r="V1781">
        <f>SUM(W1781:X1781)+(Y1781*0.8)+(Z1781*0.4)</f>
        <v>0.5</v>
      </c>
      <c r="W1781">
        <v>0.5</v>
      </c>
      <c r="X1781">
        <v>0</v>
      </c>
      <c r="Y1781">
        <v>0</v>
      </c>
      <c r="Z1781">
        <v>0</v>
      </c>
      <c r="AA1781" t="s">
        <v>43</v>
      </c>
      <c r="AB1781">
        <v>0.5</v>
      </c>
      <c r="AD1781" t="s">
        <v>1978</v>
      </c>
      <c r="AE1781" t="s">
        <v>1979</v>
      </c>
    </row>
    <row r="1782" spans="1:31" x14ac:dyDescent="0.25">
      <c r="A1782" t="s">
        <v>31</v>
      </c>
      <c r="C1782" t="s">
        <v>10977</v>
      </c>
      <c r="D1782" t="s">
        <v>337</v>
      </c>
      <c r="E1782" t="s">
        <v>362</v>
      </c>
      <c r="F1782" t="s">
        <v>1611</v>
      </c>
      <c r="G1782">
        <v>1996</v>
      </c>
      <c r="H1782" t="s">
        <v>36</v>
      </c>
      <c r="I1782" t="s">
        <v>11038</v>
      </c>
      <c r="J1782" t="s">
        <v>31</v>
      </c>
      <c r="K1782" t="s">
        <v>38</v>
      </c>
      <c r="L1782" t="s">
        <v>260</v>
      </c>
      <c r="M1782" t="s">
        <v>261</v>
      </c>
      <c r="N1782" t="s">
        <v>336</v>
      </c>
      <c r="O1782" t="s">
        <v>337</v>
      </c>
      <c r="P1782" t="s">
        <v>11039</v>
      </c>
      <c r="S1782" t="s">
        <v>11040</v>
      </c>
      <c r="T1782">
        <v>35.108628527999997</v>
      </c>
      <c r="U1782">
        <v>-89.890965127000001</v>
      </c>
      <c r="V1782">
        <f>SUM(W1782:X1782)+(Y1782*0.8)+(Z1782*0.4)</f>
        <v>0.5</v>
      </c>
      <c r="W1782">
        <v>0.5</v>
      </c>
      <c r="X1782">
        <v>0</v>
      </c>
      <c r="Y1782">
        <v>0</v>
      </c>
      <c r="Z1782">
        <v>0</v>
      </c>
      <c r="AA1782" t="s">
        <v>43</v>
      </c>
      <c r="AB1782">
        <v>0.5</v>
      </c>
      <c r="AD1782" t="s">
        <v>11041</v>
      </c>
      <c r="AE1782" t="s">
        <v>11042</v>
      </c>
    </row>
    <row r="1783" spans="1:31" x14ac:dyDescent="0.25">
      <c r="A1783" t="s">
        <v>31</v>
      </c>
      <c r="C1783" t="s">
        <v>10977</v>
      </c>
      <c r="D1783" t="s">
        <v>11083</v>
      </c>
      <c r="E1783" t="s">
        <v>362</v>
      </c>
      <c r="F1783" t="s">
        <v>43</v>
      </c>
      <c r="G1783">
        <v>1995</v>
      </c>
      <c r="H1783" t="s">
        <v>36</v>
      </c>
      <c r="I1783" t="s">
        <v>11084</v>
      </c>
      <c r="J1783" t="s">
        <v>31</v>
      </c>
      <c r="K1783" t="s">
        <v>38</v>
      </c>
      <c r="L1783" t="s">
        <v>251</v>
      </c>
      <c r="M1783" t="s">
        <v>252</v>
      </c>
      <c r="N1783" t="s">
        <v>253</v>
      </c>
      <c r="O1783" t="s">
        <v>2095</v>
      </c>
      <c r="P1783" t="s">
        <v>11079</v>
      </c>
      <c r="Q1783" t="s">
        <v>11080</v>
      </c>
      <c r="T1783">
        <v>42.377651440000001</v>
      </c>
      <c r="U1783">
        <v>-71.239071977999998</v>
      </c>
      <c r="V1783">
        <f>SUM(W1783:X1783)+(Y1783*0.8)+(Z1783*0.4)</f>
        <v>0.5</v>
      </c>
      <c r="W1783">
        <v>0.5</v>
      </c>
      <c r="X1783">
        <v>0</v>
      </c>
      <c r="Y1783">
        <v>0</v>
      </c>
      <c r="Z1783">
        <v>0</v>
      </c>
      <c r="AA1783" t="s">
        <v>43</v>
      </c>
      <c r="AB1783">
        <v>0.5</v>
      </c>
      <c r="AD1783" t="s">
        <v>11085</v>
      </c>
      <c r="AE1783" t="s">
        <v>11086</v>
      </c>
    </row>
    <row r="1784" spans="1:31" x14ac:dyDescent="0.25">
      <c r="A1784" t="s">
        <v>31</v>
      </c>
      <c r="C1784" t="s">
        <v>4772</v>
      </c>
      <c r="D1784" t="s">
        <v>4772</v>
      </c>
      <c r="E1784" t="s">
        <v>34</v>
      </c>
      <c r="F1784" t="s">
        <v>35</v>
      </c>
      <c r="G1784">
        <v>1994</v>
      </c>
      <c r="H1784" t="s">
        <v>36</v>
      </c>
      <c r="I1784" t="s">
        <v>4773</v>
      </c>
      <c r="J1784" t="s">
        <v>31</v>
      </c>
      <c r="K1784" t="s">
        <v>38</v>
      </c>
      <c r="L1784" t="s">
        <v>2437</v>
      </c>
      <c r="M1784" t="s">
        <v>2438</v>
      </c>
      <c r="N1784" t="s">
        <v>3606</v>
      </c>
      <c r="O1784" t="s">
        <v>2508</v>
      </c>
      <c r="P1784" t="s">
        <v>4774</v>
      </c>
      <c r="S1784" t="s">
        <v>4775</v>
      </c>
      <c r="T1784">
        <v>32.779227698</v>
      </c>
      <c r="U1784">
        <v>-79.926747286999998</v>
      </c>
      <c r="V1784">
        <f>SUM(W1784:X1784)+(Y1784*0.8)+(Z1784*0.4)</f>
        <v>0.5</v>
      </c>
      <c r="W1784">
        <v>0.5</v>
      </c>
      <c r="X1784">
        <v>0</v>
      </c>
      <c r="Y1784">
        <v>0</v>
      </c>
      <c r="Z1784">
        <v>0</v>
      </c>
      <c r="AA1784" t="s">
        <v>43</v>
      </c>
      <c r="AB1784">
        <v>0.45</v>
      </c>
      <c r="AD1784" t="s">
        <v>4776</v>
      </c>
      <c r="AE1784" t="s">
        <v>4777</v>
      </c>
    </row>
    <row r="1785" spans="1:31" x14ac:dyDescent="0.25">
      <c r="A1785" t="s">
        <v>31</v>
      </c>
      <c r="C1785" t="s">
        <v>2387</v>
      </c>
      <c r="D1785" t="s">
        <v>2388</v>
      </c>
      <c r="E1785" t="s">
        <v>362</v>
      </c>
      <c r="F1785" t="s">
        <v>1611</v>
      </c>
      <c r="G1785">
        <v>1994</v>
      </c>
      <c r="H1785" t="s">
        <v>36</v>
      </c>
      <c r="I1785" t="s">
        <v>2389</v>
      </c>
      <c r="J1785" t="s">
        <v>31</v>
      </c>
      <c r="K1785" t="s">
        <v>38</v>
      </c>
      <c r="L1785" t="s">
        <v>383</v>
      </c>
      <c r="M1785" t="s">
        <v>384</v>
      </c>
      <c r="N1785" t="s">
        <v>1372</v>
      </c>
      <c r="O1785" t="s">
        <v>1373</v>
      </c>
      <c r="P1785" t="s">
        <v>2390</v>
      </c>
      <c r="S1785" t="s">
        <v>2391</v>
      </c>
      <c r="T1785">
        <v>35.783480353999998</v>
      </c>
      <c r="U1785">
        <v>-78.645194394000001</v>
      </c>
      <c r="V1785">
        <f>SUM(W1785:X1785)+(Y1785*0.8)+(Z1785*0.4)</f>
        <v>0.5</v>
      </c>
      <c r="W1785">
        <v>0.5</v>
      </c>
      <c r="X1785">
        <v>0</v>
      </c>
      <c r="Y1785">
        <v>0</v>
      </c>
      <c r="Z1785">
        <v>0</v>
      </c>
      <c r="AA1785" t="s">
        <v>43</v>
      </c>
      <c r="AB1785">
        <v>0.5</v>
      </c>
      <c r="AD1785" t="s">
        <v>2392</v>
      </c>
      <c r="AE1785" t="s">
        <v>2393</v>
      </c>
    </row>
    <row r="1786" spans="1:31" x14ac:dyDescent="0.25">
      <c r="A1786" t="s">
        <v>31</v>
      </c>
      <c r="C1786" t="s">
        <v>11183</v>
      </c>
      <c r="D1786" t="s">
        <v>11197</v>
      </c>
      <c r="E1786" t="s">
        <v>362</v>
      </c>
      <c r="F1786" t="s">
        <v>1611</v>
      </c>
      <c r="G1786">
        <v>1990</v>
      </c>
      <c r="H1786" t="s">
        <v>36</v>
      </c>
      <c r="I1786" t="s">
        <v>11198</v>
      </c>
      <c r="J1786" t="s">
        <v>31</v>
      </c>
      <c r="K1786" t="s">
        <v>38</v>
      </c>
      <c r="L1786" t="s">
        <v>123</v>
      </c>
      <c r="M1786" t="s">
        <v>124</v>
      </c>
      <c r="N1786" t="s">
        <v>1885</v>
      </c>
      <c r="O1786" t="s">
        <v>11199</v>
      </c>
      <c r="P1786" t="s">
        <v>11200</v>
      </c>
      <c r="T1786">
        <v>43.974749858999999</v>
      </c>
      <c r="U1786">
        <v>-75.913558940000001</v>
      </c>
      <c r="V1786">
        <f>SUM(W1786:X1786)+(Y1786*0.8)+(Z1786*0.4)</f>
        <v>0.5</v>
      </c>
      <c r="W1786">
        <v>0.5</v>
      </c>
      <c r="X1786">
        <v>0</v>
      </c>
      <c r="Y1786">
        <v>0</v>
      </c>
      <c r="Z1786">
        <v>0</v>
      </c>
      <c r="AA1786" t="s">
        <v>43</v>
      </c>
      <c r="AB1786">
        <v>0.5</v>
      </c>
      <c r="AD1786" t="s">
        <v>11201</v>
      </c>
      <c r="AE1786" t="s">
        <v>11202</v>
      </c>
    </row>
    <row r="1787" spans="1:31" x14ac:dyDescent="0.25">
      <c r="A1787" t="s">
        <v>31</v>
      </c>
      <c r="C1787" t="s">
        <v>7605</v>
      </c>
      <c r="D1787" t="s">
        <v>7606</v>
      </c>
      <c r="E1787" t="s">
        <v>34</v>
      </c>
      <c r="F1787" t="s">
        <v>35</v>
      </c>
      <c r="G1787">
        <v>1990</v>
      </c>
      <c r="H1787" t="s">
        <v>36</v>
      </c>
      <c r="I1787" t="s">
        <v>7607</v>
      </c>
      <c r="J1787" t="s">
        <v>31</v>
      </c>
      <c r="K1787" t="s">
        <v>38</v>
      </c>
      <c r="L1787" t="s">
        <v>68</v>
      </c>
      <c r="M1787" t="s">
        <v>69</v>
      </c>
      <c r="N1787" t="s">
        <v>5949</v>
      </c>
      <c r="O1787" t="s">
        <v>5950</v>
      </c>
      <c r="P1787" t="s">
        <v>7608</v>
      </c>
      <c r="T1787">
        <v>31.750004029999999</v>
      </c>
      <c r="U1787">
        <v>-106.30994744100001</v>
      </c>
      <c r="V1787">
        <f>SUM(W1787:X1787)+(Y1787*0.8)+(Z1787*0.4)</f>
        <v>0.5</v>
      </c>
      <c r="W1787">
        <v>0.5</v>
      </c>
      <c r="X1787">
        <v>0</v>
      </c>
      <c r="Y1787">
        <v>0</v>
      </c>
      <c r="Z1787">
        <v>0</v>
      </c>
      <c r="AA1787" t="s">
        <v>43</v>
      </c>
      <c r="AB1787">
        <v>0.4</v>
      </c>
      <c r="AD1787" t="s">
        <v>7609</v>
      </c>
      <c r="AE1787" t="s">
        <v>7610</v>
      </c>
    </row>
    <row r="1788" spans="1:31" x14ac:dyDescent="0.25">
      <c r="A1788" t="s">
        <v>31</v>
      </c>
      <c r="C1788" t="s">
        <v>7218</v>
      </c>
      <c r="D1788" t="s">
        <v>7363</v>
      </c>
      <c r="E1788" t="s">
        <v>34</v>
      </c>
      <c r="F1788" t="s">
        <v>35</v>
      </c>
      <c r="G1788">
        <v>1990</v>
      </c>
      <c r="H1788" t="s">
        <v>36</v>
      </c>
      <c r="I1788" t="s">
        <v>7364</v>
      </c>
      <c r="J1788" t="s">
        <v>31</v>
      </c>
      <c r="K1788" t="s">
        <v>38</v>
      </c>
      <c r="L1788" t="s">
        <v>77</v>
      </c>
      <c r="M1788" t="s">
        <v>78</v>
      </c>
      <c r="N1788" t="s">
        <v>1358</v>
      </c>
      <c r="O1788" t="s">
        <v>1518</v>
      </c>
      <c r="P1788" t="s">
        <v>7365</v>
      </c>
      <c r="Q1788" t="s">
        <v>1518</v>
      </c>
      <c r="S1788" t="s">
        <v>7366</v>
      </c>
      <c r="T1788">
        <v>40.425411338000004</v>
      </c>
      <c r="U1788">
        <v>-79.970356038999995</v>
      </c>
      <c r="V1788">
        <f>SUM(W1788:X1788)+(Y1788*0.8)+(Z1788*0.4)</f>
        <v>0.5</v>
      </c>
      <c r="W1788">
        <v>0.5</v>
      </c>
      <c r="X1788">
        <v>0</v>
      </c>
      <c r="Y1788">
        <v>0</v>
      </c>
      <c r="Z1788">
        <v>0</v>
      </c>
      <c r="AA1788" t="s">
        <v>43</v>
      </c>
      <c r="AB1788">
        <v>0.495</v>
      </c>
      <c r="AD1788" t="s">
        <v>7367</v>
      </c>
      <c r="AE1788" t="s">
        <v>7368</v>
      </c>
    </row>
    <row r="1789" spans="1:31" x14ac:dyDescent="0.25">
      <c r="A1789" t="s">
        <v>31</v>
      </c>
      <c r="C1789" t="s">
        <v>7190</v>
      </c>
      <c r="D1789" t="s">
        <v>1351</v>
      </c>
      <c r="E1789" t="s">
        <v>34</v>
      </c>
      <c r="F1789" t="s">
        <v>35</v>
      </c>
      <c r="G1789">
        <v>1990</v>
      </c>
      <c r="H1789" t="s">
        <v>36</v>
      </c>
      <c r="I1789" t="s">
        <v>7196</v>
      </c>
      <c r="J1789" t="s">
        <v>31</v>
      </c>
      <c r="K1789" t="s">
        <v>38</v>
      </c>
      <c r="L1789" t="s">
        <v>68</v>
      </c>
      <c r="M1789" t="s">
        <v>69</v>
      </c>
      <c r="N1789" t="s">
        <v>1350</v>
      </c>
      <c r="O1789" t="s">
        <v>1351</v>
      </c>
      <c r="P1789" t="s">
        <v>7197</v>
      </c>
      <c r="Q1789" t="s">
        <v>7198</v>
      </c>
      <c r="T1789">
        <v>30.261245339999999</v>
      </c>
      <c r="U1789">
        <v>-97.722081299999999</v>
      </c>
      <c r="V1789">
        <f>SUM(W1789:X1789)+(Y1789*0.8)+(Z1789*0.4)</f>
        <v>0.5</v>
      </c>
      <c r="W1789">
        <v>0.5</v>
      </c>
      <c r="X1789">
        <v>0</v>
      </c>
      <c r="Y1789">
        <v>0</v>
      </c>
      <c r="Z1789">
        <v>0</v>
      </c>
      <c r="AA1789" t="s">
        <v>43</v>
      </c>
      <c r="AB1789">
        <v>0.5</v>
      </c>
      <c r="AC1789">
        <v>2.7</v>
      </c>
      <c r="AD1789" t="s">
        <v>7199</v>
      </c>
      <c r="AE1789" t="s">
        <v>7200</v>
      </c>
    </row>
    <row r="1790" spans="1:31" x14ac:dyDescent="0.25">
      <c r="A1790" t="s">
        <v>31</v>
      </c>
      <c r="C1790" t="s">
        <v>4801</v>
      </c>
      <c r="D1790" t="s">
        <v>4959</v>
      </c>
      <c r="E1790" t="s">
        <v>34</v>
      </c>
      <c r="F1790" t="s">
        <v>66</v>
      </c>
      <c r="G1790">
        <v>2015</v>
      </c>
      <c r="H1790" t="s">
        <v>36</v>
      </c>
      <c r="I1790" t="s">
        <v>4960</v>
      </c>
      <c r="J1790" t="s">
        <v>31</v>
      </c>
      <c r="K1790" t="s">
        <v>38</v>
      </c>
      <c r="L1790" t="s">
        <v>202</v>
      </c>
      <c r="M1790" t="s">
        <v>203</v>
      </c>
      <c r="N1790" t="s">
        <v>4961</v>
      </c>
      <c r="O1790" t="s">
        <v>4962</v>
      </c>
      <c r="P1790" t="s">
        <v>4963</v>
      </c>
      <c r="T1790">
        <v>30.472079999999998</v>
      </c>
      <c r="U1790">
        <v>-84.353205000000003</v>
      </c>
      <c r="V1790">
        <f>SUM(W1790:X1790)+(Y1790*0.8)+(Z1790*0.4)</f>
        <v>0.45</v>
      </c>
      <c r="W1790">
        <v>0.25</v>
      </c>
      <c r="X1790">
        <v>0</v>
      </c>
      <c r="Y1790">
        <v>0.25</v>
      </c>
      <c r="Z1790">
        <v>0</v>
      </c>
      <c r="AA1790" t="s">
        <v>43</v>
      </c>
      <c r="AB1790">
        <v>0.24</v>
      </c>
      <c r="AD1790" t="s">
        <v>4964</v>
      </c>
      <c r="AE1790" t="s">
        <v>4965</v>
      </c>
    </row>
    <row r="1791" spans="1:31" x14ac:dyDescent="0.25">
      <c r="A1791" t="s">
        <v>31</v>
      </c>
      <c r="C1791" t="s">
        <v>8784</v>
      </c>
      <c r="D1791" t="s">
        <v>8785</v>
      </c>
      <c r="E1791" t="s">
        <v>34</v>
      </c>
      <c r="F1791" t="s">
        <v>35</v>
      </c>
      <c r="G1791">
        <v>2009</v>
      </c>
      <c r="H1791" t="s">
        <v>36</v>
      </c>
      <c r="I1791" t="s">
        <v>8786</v>
      </c>
      <c r="J1791" t="s">
        <v>31</v>
      </c>
      <c r="K1791" t="s">
        <v>38</v>
      </c>
      <c r="L1791" t="s">
        <v>1833</v>
      </c>
      <c r="M1791" t="s">
        <v>1834</v>
      </c>
      <c r="N1791" t="s">
        <v>1835</v>
      </c>
      <c r="O1791" t="s">
        <v>8787</v>
      </c>
      <c r="P1791" t="s">
        <v>8788</v>
      </c>
      <c r="T1791">
        <v>45.742714200999998</v>
      </c>
      <c r="U1791">
        <v>-108.603111395</v>
      </c>
      <c r="V1791">
        <f>SUM(W1791:X1791)+(Y1791*0.8)+(Z1791*0.4)</f>
        <v>0.45</v>
      </c>
      <c r="W1791">
        <v>0.45</v>
      </c>
      <c r="X1791">
        <v>0</v>
      </c>
      <c r="Y1791">
        <v>0</v>
      </c>
      <c r="Z1791">
        <v>0</v>
      </c>
      <c r="AA1791" t="s">
        <v>43</v>
      </c>
      <c r="AB1791">
        <v>0.45</v>
      </c>
      <c r="AD1791" t="s">
        <v>8789</v>
      </c>
      <c r="AE1791" t="s">
        <v>8790</v>
      </c>
    </row>
    <row r="1792" spans="1:31" x14ac:dyDescent="0.25">
      <c r="A1792" t="s">
        <v>31</v>
      </c>
      <c r="C1792" t="s">
        <v>2301</v>
      </c>
      <c r="D1792" t="s">
        <v>2329</v>
      </c>
      <c r="E1792" t="s">
        <v>362</v>
      </c>
      <c r="F1792" t="s">
        <v>1611</v>
      </c>
      <c r="G1792">
        <v>2004</v>
      </c>
      <c r="H1792" t="s">
        <v>36</v>
      </c>
      <c r="I1792" t="s">
        <v>2330</v>
      </c>
      <c r="J1792" t="s">
        <v>31</v>
      </c>
      <c r="K1792" t="s">
        <v>38</v>
      </c>
      <c r="L1792" t="s">
        <v>1457</v>
      </c>
      <c r="M1792" t="s">
        <v>1458</v>
      </c>
      <c r="N1792" t="s">
        <v>319</v>
      </c>
      <c r="O1792" t="s">
        <v>2331</v>
      </c>
      <c r="P1792" t="s">
        <v>2332</v>
      </c>
      <c r="T1792">
        <v>36.077080004999999</v>
      </c>
      <c r="U1792">
        <v>-115.08821901100001</v>
      </c>
      <c r="V1792">
        <f>SUM(W1792:X1792)+(Y1792*0.8)+(Z1792*0.4)</f>
        <v>0.45</v>
      </c>
      <c r="W1792">
        <v>0.45</v>
      </c>
      <c r="X1792">
        <v>0</v>
      </c>
      <c r="Y1792">
        <v>0</v>
      </c>
      <c r="Z1792">
        <v>0</v>
      </c>
      <c r="AA1792" t="s">
        <v>43</v>
      </c>
      <c r="AB1792">
        <v>0.45</v>
      </c>
      <c r="AD1792" t="s">
        <v>2333</v>
      </c>
      <c r="AE1792" t="s">
        <v>2334</v>
      </c>
    </row>
    <row r="1793" spans="1:31" x14ac:dyDescent="0.25">
      <c r="A1793" t="s">
        <v>31</v>
      </c>
      <c r="C1793" t="s">
        <v>5176</v>
      </c>
      <c r="D1793" t="s">
        <v>5177</v>
      </c>
      <c r="E1793" t="s">
        <v>34</v>
      </c>
      <c r="F1793" t="s">
        <v>35</v>
      </c>
      <c r="G1793">
        <v>1990</v>
      </c>
      <c r="H1793" t="s">
        <v>36</v>
      </c>
      <c r="I1793" t="s">
        <v>5178</v>
      </c>
      <c r="J1793" t="s">
        <v>31</v>
      </c>
      <c r="K1793" t="s">
        <v>38</v>
      </c>
      <c r="L1793" t="s">
        <v>123</v>
      </c>
      <c r="M1793" t="s">
        <v>124</v>
      </c>
      <c r="N1793" t="s">
        <v>270</v>
      </c>
      <c r="O1793" t="s">
        <v>123</v>
      </c>
      <c r="P1793" t="s">
        <v>2675</v>
      </c>
      <c r="Q1793" t="s">
        <v>272</v>
      </c>
      <c r="S1793" t="s">
        <v>273</v>
      </c>
      <c r="T1793">
        <v>40.717879437000001</v>
      </c>
      <c r="U1793">
        <v>-74.008316629000007</v>
      </c>
      <c r="V1793">
        <f>SUM(W1793:X1793)+(Y1793*0.8)+(Z1793*0.4)</f>
        <v>0.45</v>
      </c>
      <c r="W1793">
        <v>0.45</v>
      </c>
      <c r="X1793">
        <v>0</v>
      </c>
      <c r="Y1793">
        <v>0</v>
      </c>
      <c r="Z1793">
        <v>0</v>
      </c>
      <c r="AA1793" t="s">
        <v>43</v>
      </c>
      <c r="AB1793">
        <v>0.43</v>
      </c>
      <c r="AD1793" t="s">
        <v>5179</v>
      </c>
      <c r="AE1793" t="s">
        <v>5180</v>
      </c>
    </row>
    <row r="1794" spans="1:31" x14ac:dyDescent="0.25">
      <c r="A1794" t="s">
        <v>31</v>
      </c>
      <c r="C1794" t="s">
        <v>10977</v>
      </c>
      <c r="D1794" t="s">
        <v>11025</v>
      </c>
      <c r="E1794" t="s">
        <v>362</v>
      </c>
      <c r="F1794" t="s">
        <v>1611</v>
      </c>
      <c r="G1794">
        <v>2004</v>
      </c>
      <c r="H1794" t="s">
        <v>36</v>
      </c>
      <c r="I1794" t="s">
        <v>11026</v>
      </c>
      <c r="J1794" t="s">
        <v>31</v>
      </c>
      <c r="K1794" t="s">
        <v>38</v>
      </c>
      <c r="L1794" t="s">
        <v>1457</v>
      </c>
      <c r="M1794" t="s">
        <v>1458</v>
      </c>
      <c r="N1794" t="s">
        <v>319</v>
      </c>
      <c r="O1794" t="s">
        <v>6189</v>
      </c>
      <c r="P1794" t="s">
        <v>11027</v>
      </c>
      <c r="T1794">
        <v>36.028133838999999</v>
      </c>
      <c r="U1794">
        <v>-115.08895175000001</v>
      </c>
      <c r="V1794">
        <f>SUM(W1794:X1794)+(Y1794*0.8)+(Z1794*0.4)</f>
        <v>0.439</v>
      </c>
      <c r="W1794">
        <v>0.439</v>
      </c>
      <c r="X1794">
        <v>0</v>
      </c>
      <c r="Y1794">
        <v>0</v>
      </c>
      <c r="Z1794">
        <v>0</v>
      </c>
      <c r="AA1794" t="s">
        <v>43</v>
      </c>
      <c r="AB1794">
        <v>0.439</v>
      </c>
      <c r="AD1794" t="s">
        <v>11028</v>
      </c>
      <c r="AE1794" t="s">
        <v>11029</v>
      </c>
    </row>
    <row r="1795" spans="1:31" x14ac:dyDescent="0.25">
      <c r="A1795" t="s">
        <v>31</v>
      </c>
      <c r="C1795" t="s">
        <v>1840</v>
      </c>
      <c r="D1795" t="s">
        <v>1841</v>
      </c>
      <c r="E1795" t="s">
        <v>34</v>
      </c>
      <c r="F1795" t="s">
        <v>35</v>
      </c>
      <c r="G1795">
        <v>1999</v>
      </c>
      <c r="H1795" t="s">
        <v>36</v>
      </c>
      <c r="I1795" t="s">
        <v>1842</v>
      </c>
      <c r="J1795" t="s">
        <v>31</v>
      </c>
      <c r="K1795" t="s">
        <v>38</v>
      </c>
      <c r="L1795" t="s">
        <v>153</v>
      </c>
      <c r="M1795" t="s">
        <v>154</v>
      </c>
      <c r="N1795" t="s">
        <v>1843</v>
      </c>
      <c r="O1795" t="s">
        <v>1844</v>
      </c>
      <c r="P1795" t="s">
        <v>1845</v>
      </c>
      <c r="Q1795" t="s">
        <v>138</v>
      </c>
      <c r="S1795" t="s">
        <v>1846</v>
      </c>
      <c r="T1795">
        <v>40.812078667999998</v>
      </c>
      <c r="U1795">
        <v>-96.702295559000007</v>
      </c>
      <c r="V1795">
        <f>SUM(W1795:X1795)+(Y1795*0.8)+(Z1795*0.4)</f>
        <v>0.43</v>
      </c>
      <c r="W1795">
        <v>0.43</v>
      </c>
      <c r="X1795">
        <v>0</v>
      </c>
      <c r="Y1795">
        <v>0</v>
      </c>
      <c r="Z1795">
        <v>0</v>
      </c>
      <c r="AA1795" t="s">
        <v>43</v>
      </c>
      <c r="AB1795">
        <v>0.34499999999999997</v>
      </c>
      <c r="AD1795" t="s">
        <v>1847</v>
      </c>
      <c r="AE1795" t="s">
        <v>1848</v>
      </c>
    </row>
    <row r="1796" spans="1:31" x14ac:dyDescent="0.25">
      <c r="A1796" t="s">
        <v>31</v>
      </c>
      <c r="C1796" t="s">
        <v>3710</v>
      </c>
      <c r="D1796" t="s">
        <v>3775</v>
      </c>
      <c r="E1796" t="s">
        <v>34</v>
      </c>
      <c r="F1796" t="s">
        <v>35</v>
      </c>
      <c r="G1796">
        <v>2007</v>
      </c>
      <c r="H1796" t="s">
        <v>36</v>
      </c>
      <c r="I1796" t="s">
        <v>3776</v>
      </c>
      <c r="J1796" t="s">
        <v>31</v>
      </c>
      <c r="K1796" t="s">
        <v>38</v>
      </c>
      <c r="L1796" t="s">
        <v>68</v>
      </c>
      <c r="M1796" t="s">
        <v>69</v>
      </c>
      <c r="N1796" t="s">
        <v>1350</v>
      </c>
      <c r="O1796" t="s">
        <v>1351</v>
      </c>
      <c r="P1796" t="s">
        <v>3777</v>
      </c>
      <c r="T1796">
        <v>30.436079921000001</v>
      </c>
      <c r="U1796">
        <v>-97.766071355999998</v>
      </c>
      <c r="V1796">
        <f>SUM(W1796:X1796)+(Y1796*0.8)+(Z1796*0.4)</f>
        <v>0.40500000000000003</v>
      </c>
      <c r="W1796">
        <v>0.40500000000000003</v>
      </c>
      <c r="X1796">
        <v>0</v>
      </c>
      <c r="Y1796">
        <v>0</v>
      </c>
      <c r="Z1796">
        <v>0</v>
      </c>
      <c r="AA1796" t="s">
        <v>43</v>
      </c>
      <c r="AB1796">
        <v>0.35</v>
      </c>
      <c r="AD1796" t="s">
        <v>3778</v>
      </c>
      <c r="AE1796" t="s">
        <v>3779</v>
      </c>
    </row>
    <row r="1797" spans="1:31" x14ac:dyDescent="0.25">
      <c r="A1797" t="s">
        <v>31</v>
      </c>
      <c r="C1797" t="s">
        <v>9505</v>
      </c>
      <c r="D1797" t="s">
        <v>9506</v>
      </c>
      <c r="E1797" t="s">
        <v>34</v>
      </c>
      <c r="F1797" t="s">
        <v>35</v>
      </c>
      <c r="G1797">
        <v>2020</v>
      </c>
      <c r="H1797" t="s">
        <v>36</v>
      </c>
      <c r="I1797" t="s">
        <v>9507</v>
      </c>
      <c r="J1797" t="s">
        <v>31</v>
      </c>
      <c r="K1797" t="s">
        <v>38</v>
      </c>
      <c r="L1797" t="s">
        <v>1733</v>
      </c>
      <c r="M1797" t="s">
        <v>1734</v>
      </c>
      <c r="N1797" t="s">
        <v>9508</v>
      </c>
      <c r="O1797" t="s">
        <v>9509</v>
      </c>
      <c r="P1797" t="s">
        <v>9510</v>
      </c>
      <c r="T1797">
        <v>35.815429762999997</v>
      </c>
      <c r="U1797">
        <v>-90.689368961</v>
      </c>
      <c r="V1797">
        <f>SUM(W1797:X1797)+(Y1797*0.8)+(Z1797*0.4)</f>
        <v>0.4</v>
      </c>
      <c r="W1797">
        <v>0.4</v>
      </c>
      <c r="X1797">
        <v>0</v>
      </c>
      <c r="Y1797">
        <v>0</v>
      </c>
      <c r="Z1797">
        <v>0</v>
      </c>
      <c r="AA1797" t="s">
        <v>43</v>
      </c>
      <c r="AB1797">
        <v>0.15</v>
      </c>
      <c r="AD1797" t="s">
        <v>9511</v>
      </c>
      <c r="AE1797" t="s">
        <v>9512</v>
      </c>
    </row>
    <row r="1798" spans="1:31" x14ac:dyDescent="0.25">
      <c r="A1798" t="s">
        <v>31</v>
      </c>
      <c r="C1798" t="s">
        <v>8180</v>
      </c>
      <c r="D1798" t="s">
        <v>8184</v>
      </c>
      <c r="E1798" t="s">
        <v>34</v>
      </c>
      <c r="F1798" t="s">
        <v>35</v>
      </c>
      <c r="G1798">
        <v>2018</v>
      </c>
      <c r="H1798" t="s">
        <v>36</v>
      </c>
      <c r="I1798" t="s">
        <v>8185</v>
      </c>
      <c r="J1798" t="s">
        <v>31</v>
      </c>
      <c r="K1798" t="s">
        <v>38</v>
      </c>
      <c r="L1798" t="s">
        <v>353</v>
      </c>
      <c r="M1798" t="s">
        <v>354</v>
      </c>
      <c r="N1798" t="s">
        <v>3036</v>
      </c>
      <c r="O1798" t="s">
        <v>3037</v>
      </c>
      <c r="P1798" t="s">
        <v>3038</v>
      </c>
      <c r="Q1798" t="s">
        <v>3037</v>
      </c>
      <c r="T1798">
        <v>47.888873785000001</v>
      </c>
      <c r="U1798">
        <v>-97.076150889999994</v>
      </c>
      <c r="V1798">
        <f>SUM(W1798:X1798)+(Y1798*0.8)+(Z1798*0.4)</f>
        <v>0.4</v>
      </c>
      <c r="W1798">
        <v>0.4</v>
      </c>
      <c r="X1798">
        <v>0</v>
      </c>
      <c r="Y1798">
        <v>0</v>
      </c>
      <c r="Z1798">
        <v>0</v>
      </c>
      <c r="AA1798" t="s">
        <v>43</v>
      </c>
      <c r="AB1798">
        <v>0.1</v>
      </c>
      <c r="AD1798" t="s">
        <v>8186</v>
      </c>
      <c r="AE1798" t="s">
        <v>8187</v>
      </c>
    </row>
    <row r="1799" spans="1:31" x14ac:dyDescent="0.25">
      <c r="A1799" t="s">
        <v>31</v>
      </c>
      <c r="C1799" t="s">
        <v>3710</v>
      </c>
      <c r="D1799" t="s">
        <v>3784</v>
      </c>
      <c r="E1799" t="s">
        <v>34</v>
      </c>
      <c r="F1799" t="s">
        <v>35</v>
      </c>
      <c r="G1799">
        <v>2017</v>
      </c>
      <c r="H1799" t="s">
        <v>36</v>
      </c>
      <c r="I1799" t="s">
        <v>1909</v>
      </c>
      <c r="J1799" t="s">
        <v>31</v>
      </c>
      <c r="K1799" t="s">
        <v>38</v>
      </c>
      <c r="L1799" t="s">
        <v>317</v>
      </c>
      <c r="M1799" t="s">
        <v>318</v>
      </c>
      <c r="N1799" t="s">
        <v>1576</v>
      </c>
      <c r="O1799" t="s">
        <v>1910</v>
      </c>
      <c r="P1799" t="s">
        <v>1911</v>
      </c>
      <c r="Q1799" t="s">
        <v>1912</v>
      </c>
      <c r="T1799">
        <v>41.501168313999997</v>
      </c>
      <c r="U1799">
        <v>-81.683470642000003</v>
      </c>
      <c r="V1799">
        <f>SUM(W1799:X1799)+(Y1799*0.8)+(Z1799*0.4)</f>
        <v>0.4</v>
      </c>
      <c r="W1799">
        <v>0.4</v>
      </c>
      <c r="X1799">
        <v>0</v>
      </c>
      <c r="Y1799">
        <v>0</v>
      </c>
      <c r="Z1799">
        <v>0</v>
      </c>
      <c r="AA1799" t="s">
        <v>43</v>
      </c>
      <c r="AB1799">
        <v>0.2</v>
      </c>
      <c r="AD1799" t="s">
        <v>3785</v>
      </c>
      <c r="AE1799" t="s">
        <v>3786</v>
      </c>
    </row>
    <row r="1800" spans="1:31" x14ac:dyDescent="0.25">
      <c r="A1800" t="s">
        <v>31</v>
      </c>
      <c r="C1800" t="s">
        <v>7116</v>
      </c>
      <c r="D1800" t="s">
        <v>2047</v>
      </c>
      <c r="E1800" t="s">
        <v>34</v>
      </c>
      <c r="F1800" t="s">
        <v>35</v>
      </c>
      <c r="G1800">
        <v>2013</v>
      </c>
      <c r="H1800" t="s">
        <v>36</v>
      </c>
      <c r="I1800" t="s">
        <v>7151</v>
      </c>
      <c r="J1800" t="s">
        <v>31</v>
      </c>
      <c r="K1800" t="s">
        <v>38</v>
      </c>
      <c r="L1800" t="s">
        <v>383</v>
      </c>
      <c r="M1800" t="s">
        <v>384</v>
      </c>
      <c r="N1800" t="s">
        <v>1372</v>
      </c>
      <c r="O1800" t="s">
        <v>1373</v>
      </c>
      <c r="P1800" t="s">
        <v>7152</v>
      </c>
      <c r="S1800" t="s">
        <v>7153</v>
      </c>
      <c r="T1800">
        <v>35.907487177</v>
      </c>
      <c r="U1800">
        <v>-78.778683586</v>
      </c>
      <c r="V1800">
        <f>SUM(W1800:X1800)+(Y1800*0.8)+(Z1800*0.4)</f>
        <v>0.4</v>
      </c>
      <c r="W1800">
        <v>0.4</v>
      </c>
      <c r="X1800">
        <v>0</v>
      </c>
      <c r="Y1800">
        <v>0</v>
      </c>
      <c r="Z1800">
        <v>0</v>
      </c>
      <c r="AA1800" t="s">
        <v>43</v>
      </c>
      <c r="AB1800">
        <v>0.39</v>
      </c>
      <c r="AD1800" t="s">
        <v>7154</v>
      </c>
      <c r="AE1800" t="s">
        <v>7155</v>
      </c>
    </row>
    <row r="1801" spans="1:31" x14ac:dyDescent="0.25">
      <c r="A1801" t="s">
        <v>31</v>
      </c>
      <c r="C1801" t="s">
        <v>10963</v>
      </c>
      <c r="D1801" t="s">
        <v>10964</v>
      </c>
      <c r="E1801" t="s">
        <v>34</v>
      </c>
      <c r="F1801" t="s">
        <v>35</v>
      </c>
      <c r="G1801">
        <v>2011</v>
      </c>
      <c r="H1801" t="s">
        <v>36</v>
      </c>
      <c r="I1801" t="s">
        <v>10965</v>
      </c>
      <c r="J1801" t="s">
        <v>31</v>
      </c>
      <c r="K1801" t="s">
        <v>38</v>
      </c>
      <c r="L1801" t="s">
        <v>828</v>
      </c>
      <c r="M1801" t="s">
        <v>829</v>
      </c>
      <c r="N1801" t="s">
        <v>155</v>
      </c>
      <c r="O1801" t="s">
        <v>10966</v>
      </c>
      <c r="P1801" t="s">
        <v>10967</v>
      </c>
      <c r="Q1801" t="s">
        <v>10966</v>
      </c>
      <c r="T1801">
        <v>45.883818630999997</v>
      </c>
      <c r="U1801">
        <v>-95.376469098000001</v>
      </c>
      <c r="V1801">
        <f>SUM(W1801:X1801)+(Y1801*0.8)+(Z1801*0.4)</f>
        <v>0.4</v>
      </c>
      <c r="W1801">
        <v>0.4</v>
      </c>
      <c r="X1801">
        <v>0</v>
      </c>
      <c r="Y1801">
        <v>0</v>
      </c>
      <c r="Z1801">
        <v>0</v>
      </c>
      <c r="AA1801" t="s">
        <v>43</v>
      </c>
      <c r="AB1801">
        <v>0.2</v>
      </c>
      <c r="AD1801" t="s">
        <v>10968</v>
      </c>
      <c r="AE1801" t="s">
        <v>10969</v>
      </c>
    </row>
    <row r="1802" spans="1:31" x14ac:dyDescent="0.25">
      <c r="A1802" t="s">
        <v>31</v>
      </c>
      <c r="C1802" t="s">
        <v>7605</v>
      </c>
      <c r="D1802" t="s">
        <v>7618</v>
      </c>
      <c r="E1802" t="s">
        <v>34</v>
      </c>
      <c r="F1802" t="s">
        <v>35</v>
      </c>
      <c r="G1802">
        <v>2011</v>
      </c>
      <c r="H1802" t="s">
        <v>36</v>
      </c>
      <c r="I1802" t="s">
        <v>7619</v>
      </c>
      <c r="J1802" t="s">
        <v>31</v>
      </c>
      <c r="K1802" t="s">
        <v>38</v>
      </c>
      <c r="L1802" t="s">
        <v>68</v>
      </c>
      <c r="M1802" t="s">
        <v>69</v>
      </c>
      <c r="N1802" t="s">
        <v>70</v>
      </c>
      <c r="O1802" t="s">
        <v>71</v>
      </c>
      <c r="P1802" t="s">
        <v>72</v>
      </c>
      <c r="T1802">
        <v>26.201969741999999</v>
      </c>
      <c r="U1802">
        <v>-98.231645911000001</v>
      </c>
      <c r="V1802">
        <f>SUM(W1802:X1802)+(Y1802*0.8)+(Z1802*0.4)</f>
        <v>0.4</v>
      </c>
      <c r="W1802">
        <v>0.4</v>
      </c>
      <c r="X1802">
        <v>0</v>
      </c>
      <c r="Y1802">
        <v>0</v>
      </c>
      <c r="Z1802">
        <v>0</v>
      </c>
      <c r="AA1802" t="s">
        <v>43</v>
      </c>
      <c r="AB1802">
        <v>0.36</v>
      </c>
      <c r="AD1802" t="s">
        <v>7620</v>
      </c>
      <c r="AE1802" t="s">
        <v>7621</v>
      </c>
    </row>
    <row r="1803" spans="1:31" x14ac:dyDescent="0.25">
      <c r="A1803" t="s">
        <v>31</v>
      </c>
      <c r="C1803" t="s">
        <v>3551</v>
      </c>
      <c r="D1803" t="s">
        <v>3586</v>
      </c>
      <c r="E1803" t="s">
        <v>34</v>
      </c>
      <c r="F1803" t="s">
        <v>35</v>
      </c>
      <c r="G1803">
        <v>2011</v>
      </c>
      <c r="H1803" t="s">
        <v>36</v>
      </c>
      <c r="I1803" t="s">
        <v>3587</v>
      </c>
      <c r="J1803" t="s">
        <v>31</v>
      </c>
      <c r="K1803" t="s">
        <v>38</v>
      </c>
      <c r="L1803" t="s">
        <v>317</v>
      </c>
      <c r="M1803" t="s">
        <v>318</v>
      </c>
      <c r="N1803" t="s">
        <v>665</v>
      </c>
      <c r="O1803" t="s">
        <v>841</v>
      </c>
      <c r="P1803" t="s">
        <v>3588</v>
      </c>
      <c r="Q1803" t="s">
        <v>843</v>
      </c>
      <c r="T1803">
        <v>40.093157009000002</v>
      </c>
      <c r="U1803">
        <v>-83.133698146</v>
      </c>
      <c r="V1803">
        <f>SUM(W1803:X1803)+(Y1803*0.8)+(Z1803*0.4)</f>
        <v>0.4</v>
      </c>
      <c r="W1803">
        <v>0.4</v>
      </c>
      <c r="X1803">
        <v>0</v>
      </c>
      <c r="Y1803">
        <v>0</v>
      </c>
      <c r="Z1803">
        <v>0</v>
      </c>
      <c r="AA1803" t="s">
        <v>43</v>
      </c>
      <c r="AB1803">
        <v>0.24</v>
      </c>
      <c r="AD1803" t="s">
        <v>3589</v>
      </c>
      <c r="AE1803" t="s">
        <v>3590</v>
      </c>
    </row>
    <row r="1804" spans="1:31" x14ac:dyDescent="0.25">
      <c r="A1804" t="s">
        <v>31</v>
      </c>
      <c r="C1804" t="s">
        <v>1907</v>
      </c>
      <c r="D1804" t="s">
        <v>1908</v>
      </c>
      <c r="E1804" t="s">
        <v>362</v>
      </c>
      <c r="F1804" t="s">
        <v>381</v>
      </c>
      <c r="G1804">
        <v>2004</v>
      </c>
      <c r="H1804" t="s">
        <v>36</v>
      </c>
      <c r="I1804" t="s">
        <v>1909</v>
      </c>
      <c r="J1804" t="s">
        <v>31</v>
      </c>
      <c r="K1804" t="s">
        <v>38</v>
      </c>
      <c r="L1804" t="s">
        <v>317</v>
      </c>
      <c r="M1804" t="s">
        <v>318</v>
      </c>
      <c r="N1804" t="s">
        <v>1576</v>
      </c>
      <c r="O1804" t="s">
        <v>1910</v>
      </c>
      <c r="P1804" t="s">
        <v>1911</v>
      </c>
      <c r="Q1804" t="s">
        <v>1912</v>
      </c>
      <c r="T1804">
        <v>41.501168313999997</v>
      </c>
      <c r="U1804">
        <v>-81.683470642000003</v>
      </c>
      <c r="V1804">
        <f>SUM(W1804:X1804)+(Y1804*0.8)+(Z1804*0.4)</f>
        <v>0.4</v>
      </c>
      <c r="W1804">
        <v>0.4</v>
      </c>
      <c r="X1804">
        <v>0</v>
      </c>
      <c r="Y1804">
        <v>0</v>
      </c>
      <c r="Z1804">
        <v>0</v>
      </c>
      <c r="AA1804" t="s">
        <v>43</v>
      </c>
      <c r="AB1804">
        <v>0.4</v>
      </c>
      <c r="AD1804" t="s">
        <v>1913</v>
      </c>
      <c r="AE1804" t="s">
        <v>1914</v>
      </c>
    </row>
    <row r="1805" spans="1:31" x14ac:dyDescent="0.25">
      <c r="A1805" t="s">
        <v>31</v>
      </c>
      <c r="C1805" t="s">
        <v>10406</v>
      </c>
      <c r="D1805" t="s">
        <v>10532</v>
      </c>
      <c r="E1805" t="s">
        <v>34</v>
      </c>
      <c r="F1805" t="s">
        <v>35</v>
      </c>
      <c r="G1805">
        <v>2000</v>
      </c>
      <c r="H1805" t="s">
        <v>36</v>
      </c>
      <c r="I1805" t="s">
        <v>10533</v>
      </c>
      <c r="J1805" t="s">
        <v>31</v>
      </c>
      <c r="K1805" t="s">
        <v>38</v>
      </c>
      <c r="L1805" t="s">
        <v>1465</v>
      </c>
      <c r="M1805" t="s">
        <v>1466</v>
      </c>
      <c r="N1805" t="s">
        <v>8190</v>
      </c>
      <c r="O1805" t="s">
        <v>8191</v>
      </c>
      <c r="P1805" t="s">
        <v>9646</v>
      </c>
      <c r="Q1805" t="s">
        <v>8191</v>
      </c>
      <c r="T1805">
        <v>43.595898366</v>
      </c>
      <c r="U1805">
        <v>-96.717211700999997</v>
      </c>
      <c r="V1805">
        <f>SUM(W1805:X1805)+(Y1805*0.8)+(Z1805*0.4)</f>
        <v>0.4</v>
      </c>
      <c r="W1805">
        <v>0.4</v>
      </c>
      <c r="X1805">
        <v>0</v>
      </c>
      <c r="Y1805">
        <v>0</v>
      </c>
      <c r="Z1805">
        <v>0</v>
      </c>
      <c r="AA1805" t="s">
        <v>43</v>
      </c>
      <c r="AB1805">
        <v>0.32</v>
      </c>
      <c r="AD1805" t="s">
        <v>10534</v>
      </c>
      <c r="AE1805" t="s">
        <v>10535</v>
      </c>
    </row>
    <row r="1806" spans="1:31" x14ac:dyDescent="0.25">
      <c r="A1806" t="s">
        <v>31</v>
      </c>
      <c r="C1806" t="s">
        <v>5181</v>
      </c>
      <c r="D1806" t="s">
        <v>3083</v>
      </c>
      <c r="E1806" t="s">
        <v>34</v>
      </c>
      <c r="F1806" t="s">
        <v>35</v>
      </c>
      <c r="G1806">
        <v>2000</v>
      </c>
      <c r="H1806" t="s">
        <v>36</v>
      </c>
      <c r="I1806" t="s">
        <v>5328</v>
      </c>
      <c r="J1806" t="s">
        <v>31</v>
      </c>
      <c r="K1806" t="s">
        <v>38</v>
      </c>
      <c r="L1806" t="s">
        <v>193</v>
      </c>
      <c r="M1806" t="s">
        <v>194</v>
      </c>
      <c r="N1806" t="s">
        <v>2858</v>
      </c>
      <c r="O1806" t="s">
        <v>2859</v>
      </c>
      <c r="P1806" t="s">
        <v>2129</v>
      </c>
      <c r="T1806">
        <v>39.587339999999998</v>
      </c>
      <c r="U1806">
        <v>-104.876513</v>
      </c>
      <c r="V1806">
        <f>SUM(W1806:X1806)+(Y1806*0.8)+(Z1806*0.4)</f>
        <v>0.4</v>
      </c>
      <c r="W1806">
        <v>0.4</v>
      </c>
      <c r="X1806">
        <v>0</v>
      </c>
      <c r="Y1806">
        <v>0</v>
      </c>
      <c r="Z1806">
        <v>0</v>
      </c>
      <c r="AA1806" t="s">
        <v>43</v>
      </c>
      <c r="AB1806">
        <v>0.4</v>
      </c>
      <c r="AC1806">
        <v>1.5</v>
      </c>
      <c r="AD1806" t="s">
        <v>5329</v>
      </c>
      <c r="AE1806" t="s">
        <v>5330</v>
      </c>
    </row>
    <row r="1807" spans="1:31" x14ac:dyDescent="0.25">
      <c r="A1807" t="s">
        <v>31</v>
      </c>
      <c r="C1807" t="s">
        <v>2667</v>
      </c>
      <c r="D1807" t="s">
        <v>2668</v>
      </c>
      <c r="E1807" t="s">
        <v>34</v>
      </c>
      <c r="F1807" t="s">
        <v>35</v>
      </c>
      <c r="G1807">
        <v>2000</v>
      </c>
      <c r="H1807" t="s">
        <v>36</v>
      </c>
      <c r="I1807" t="s">
        <v>2669</v>
      </c>
      <c r="J1807" t="s">
        <v>31</v>
      </c>
      <c r="K1807" t="s">
        <v>38</v>
      </c>
      <c r="L1807" t="s">
        <v>172</v>
      </c>
      <c r="M1807" t="s">
        <v>173</v>
      </c>
      <c r="N1807" t="s">
        <v>493</v>
      </c>
      <c r="O1807" t="s">
        <v>494</v>
      </c>
      <c r="P1807" t="s">
        <v>495</v>
      </c>
      <c r="S1807" t="s">
        <v>2670</v>
      </c>
      <c r="T1807">
        <v>34.048664250000002</v>
      </c>
      <c r="U1807">
        <v>-118.255578202</v>
      </c>
      <c r="V1807">
        <f>SUM(W1807:X1807)+(Y1807*0.8)+(Z1807*0.4)</f>
        <v>0.4</v>
      </c>
      <c r="W1807">
        <v>0.4</v>
      </c>
      <c r="X1807">
        <v>0</v>
      </c>
      <c r="Y1807">
        <v>0</v>
      </c>
      <c r="Z1807">
        <v>0</v>
      </c>
      <c r="AA1807" t="s">
        <v>43</v>
      </c>
      <c r="AB1807">
        <v>0.39</v>
      </c>
      <c r="AD1807" t="s">
        <v>2671</v>
      </c>
      <c r="AE1807" t="s">
        <v>2672</v>
      </c>
    </row>
    <row r="1808" spans="1:31" x14ac:dyDescent="0.25">
      <c r="A1808" t="s">
        <v>31</v>
      </c>
      <c r="C1808" t="s">
        <v>2584</v>
      </c>
      <c r="D1808" t="s">
        <v>2095</v>
      </c>
      <c r="E1808" t="s">
        <v>34</v>
      </c>
      <c r="F1808" t="s">
        <v>35</v>
      </c>
      <c r="G1808">
        <v>1999</v>
      </c>
      <c r="H1808" t="s">
        <v>36</v>
      </c>
      <c r="I1808" t="s">
        <v>2658</v>
      </c>
      <c r="J1808" t="s">
        <v>31</v>
      </c>
      <c r="K1808" t="s">
        <v>38</v>
      </c>
      <c r="L1808" t="s">
        <v>251</v>
      </c>
      <c r="M1808" t="s">
        <v>252</v>
      </c>
      <c r="N1808" t="s">
        <v>253</v>
      </c>
      <c r="O1808" t="s">
        <v>2095</v>
      </c>
      <c r="P1808" t="s">
        <v>2096</v>
      </c>
      <c r="Q1808" t="s">
        <v>2659</v>
      </c>
      <c r="T1808">
        <v>42.393349258000001</v>
      </c>
      <c r="U1808">
        <v>-71.255704342000001</v>
      </c>
      <c r="V1808">
        <f>SUM(W1808:X1808)+(Y1808*0.8)+(Z1808*0.4)</f>
        <v>0.4</v>
      </c>
      <c r="W1808">
        <v>0.4</v>
      </c>
      <c r="X1808">
        <v>0</v>
      </c>
      <c r="Y1808">
        <v>0</v>
      </c>
      <c r="Z1808">
        <v>0</v>
      </c>
      <c r="AA1808" t="s">
        <v>43</v>
      </c>
      <c r="AB1808">
        <v>0.36</v>
      </c>
      <c r="AD1808" t="s">
        <v>2660</v>
      </c>
      <c r="AE1808" t="s">
        <v>2661</v>
      </c>
    </row>
    <row r="1809" spans="1:31" x14ac:dyDescent="0.25">
      <c r="A1809" t="s">
        <v>31</v>
      </c>
      <c r="C1809" t="s">
        <v>5139</v>
      </c>
      <c r="D1809" t="s">
        <v>5140</v>
      </c>
      <c r="E1809" t="s">
        <v>34</v>
      </c>
      <c r="F1809" t="s">
        <v>35</v>
      </c>
      <c r="G1809">
        <v>1995</v>
      </c>
      <c r="H1809" t="s">
        <v>36</v>
      </c>
      <c r="I1809" t="s">
        <v>5141</v>
      </c>
      <c r="J1809" t="s">
        <v>31</v>
      </c>
      <c r="K1809" t="s">
        <v>38</v>
      </c>
      <c r="L1809" t="s">
        <v>317</v>
      </c>
      <c r="M1809" t="s">
        <v>318</v>
      </c>
      <c r="N1809" t="s">
        <v>665</v>
      </c>
      <c r="O1809" t="s">
        <v>668</v>
      </c>
      <c r="P1809" t="s">
        <v>5142</v>
      </c>
      <c r="Q1809" t="s">
        <v>668</v>
      </c>
      <c r="S1809" t="s">
        <v>5143</v>
      </c>
      <c r="T1809">
        <v>40.083084376999999</v>
      </c>
      <c r="U1809">
        <v>-82.938481029000002</v>
      </c>
      <c r="V1809">
        <f>SUM(W1809:X1809)+(Y1809*0.8)+(Z1809*0.4)</f>
        <v>0.4</v>
      </c>
      <c r="W1809">
        <v>0.4</v>
      </c>
      <c r="X1809">
        <v>0</v>
      </c>
      <c r="Y1809">
        <v>0</v>
      </c>
      <c r="Z1809">
        <v>0</v>
      </c>
      <c r="AA1809" t="s">
        <v>43</v>
      </c>
      <c r="AB1809">
        <v>0.2</v>
      </c>
      <c r="AD1809" t="s">
        <v>5144</v>
      </c>
      <c r="AE1809" t="s">
        <v>5145</v>
      </c>
    </row>
    <row r="1810" spans="1:31" x14ac:dyDescent="0.25">
      <c r="A1810" t="s">
        <v>31</v>
      </c>
      <c r="C1810" t="s">
        <v>6682</v>
      </c>
      <c r="D1810" t="s">
        <v>6683</v>
      </c>
      <c r="E1810" t="s">
        <v>362</v>
      </c>
      <c r="F1810" t="s">
        <v>1611</v>
      </c>
      <c r="G1810">
        <v>1990</v>
      </c>
      <c r="H1810" t="s">
        <v>36</v>
      </c>
      <c r="I1810" t="s">
        <v>6684</v>
      </c>
      <c r="J1810" t="s">
        <v>31</v>
      </c>
      <c r="K1810" t="s">
        <v>38</v>
      </c>
      <c r="L1810" t="s">
        <v>317</v>
      </c>
      <c r="M1810" t="s">
        <v>318</v>
      </c>
      <c r="N1810" t="s">
        <v>665</v>
      </c>
      <c r="O1810" t="s">
        <v>668</v>
      </c>
      <c r="P1810" t="s">
        <v>2602</v>
      </c>
      <c r="S1810" t="s">
        <v>138</v>
      </c>
      <c r="T1810">
        <v>39.958777638999997</v>
      </c>
      <c r="U1810">
        <v>-82.997643647999993</v>
      </c>
      <c r="V1810">
        <f>SUM(W1810:X1810)+(Y1810*0.8)+(Z1810*0.4)</f>
        <v>0.4</v>
      </c>
      <c r="W1810">
        <v>0.4</v>
      </c>
      <c r="X1810">
        <v>0</v>
      </c>
      <c r="Y1810">
        <v>0</v>
      </c>
      <c r="Z1810">
        <v>0</v>
      </c>
      <c r="AA1810" t="s">
        <v>43</v>
      </c>
      <c r="AB1810">
        <v>0.4</v>
      </c>
      <c r="AD1810" t="s">
        <v>6685</v>
      </c>
      <c r="AE1810" t="s">
        <v>6686</v>
      </c>
    </row>
    <row r="1811" spans="1:31" x14ac:dyDescent="0.25">
      <c r="A1811" t="s">
        <v>31</v>
      </c>
      <c r="C1811" t="s">
        <v>1826</v>
      </c>
      <c r="D1811" t="s">
        <v>1351</v>
      </c>
      <c r="E1811" t="s">
        <v>362</v>
      </c>
      <c r="F1811" t="s">
        <v>1611</v>
      </c>
      <c r="G1811">
        <v>1990</v>
      </c>
      <c r="H1811" t="s">
        <v>36</v>
      </c>
      <c r="I1811" t="s">
        <v>1827</v>
      </c>
      <c r="J1811" t="s">
        <v>31</v>
      </c>
      <c r="K1811" t="s">
        <v>38</v>
      </c>
      <c r="L1811" t="s">
        <v>68</v>
      </c>
      <c r="M1811" t="s">
        <v>69</v>
      </c>
      <c r="N1811" t="s">
        <v>1350</v>
      </c>
      <c r="O1811" t="s">
        <v>1351</v>
      </c>
      <c r="P1811" t="s">
        <v>1828</v>
      </c>
      <c r="Q1811" t="s">
        <v>138</v>
      </c>
      <c r="S1811" t="s">
        <v>138</v>
      </c>
      <c r="T1811">
        <v>30.274274164000001</v>
      </c>
      <c r="U1811">
        <v>-97.742901259999996</v>
      </c>
      <c r="V1811">
        <f>SUM(W1811:X1811)+(Y1811*0.8)+(Z1811*0.4)</f>
        <v>0.4</v>
      </c>
      <c r="W1811">
        <v>0.4</v>
      </c>
      <c r="X1811">
        <v>0</v>
      </c>
      <c r="Y1811">
        <v>0</v>
      </c>
      <c r="Z1811">
        <v>0</v>
      </c>
      <c r="AA1811" t="s">
        <v>43</v>
      </c>
      <c r="AB1811">
        <v>0.4</v>
      </c>
      <c r="AD1811" t="s">
        <v>1829</v>
      </c>
      <c r="AE1811" t="s">
        <v>1830</v>
      </c>
    </row>
    <row r="1812" spans="1:31" x14ac:dyDescent="0.25">
      <c r="A1812" t="s">
        <v>31</v>
      </c>
      <c r="C1812" t="s">
        <v>169</v>
      </c>
      <c r="D1812" t="s">
        <v>179</v>
      </c>
      <c r="E1812" t="s">
        <v>34</v>
      </c>
      <c r="F1812" t="s">
        <v>35</v>
      </c>
      <c r="G1812">
        <v>1990</v>
      </c>
      <c r="H1812" t="s">
        <v>36</v>
      </c>
      <c r="I1812" t="s">
        <v>180</v>
      </c>
      <c r="J1812" t="s">
        <v>31</v>
      </c>
      <c r="K1812" t="s">
        <v>38</v>
      </c>
      <c r="L1812" t="s">
        <v>49</v>
      </c>
      <c r="M1812" t="s">
        <v>50</v>
      </c>
      <c r="N1812" t="s">
        <v>51</v>
      </c>
      <c r="O1812" t="s">
        <v>52</v>
      </c>
      <c r="P1812" t="s">
        <v>53</v>
      </c>
      <c r="Q1812" t="s">
        <v>52</v>
      </c>
      <c r="S1812" t="s">
        <v>54</v>
      </c>
      <c r="T1812">
        <v>42.469860550999996</v>
      </c>
      <c r="U1812">
        <v>-83.259874397000004</v>
      </c>
      <c r="V1812">
        <f>SUM(W1812:X1812)+(Y1812*0.8)+(Z1812*0.4)</f>
        <v>0.4</v>
      </c>
      <c r="W1812">
        <v>0.4</v>
      </c>
      <c r="X1812">
        <v>0</v>
      </c>
      <c r="Y1812">
        <v>0</v>
      </c>
      <c r="Z1812">
        <v>0</v>
      </c>
      <c r="AA1812" t="s">
        <v>43</v>
      </c>
      <c r="AB1812">
        <v>0.2</v>
      </c>
      <c r="AD1812" t="s">
        <v>181</v>
      </c>
      <c r="AE1812" t="s">
        <v>182</v>
      </c>
    </row>
    <row r="1813" spans="1:31" x14ac:dyDescent="0.25">
      <c r="A1813" t="s">
        <v>31</v>
      </c>
      <c r="C1813" t="s">
        <v>6007</v>
      </c>
      <c r="D1813" t="s">
        <v>6008</v>
      </c>
      <c r="E1813" t="s">
        <v>34</v>
      </c>
      <c r="F1813" t="s">
        <v>35</v>
      </c>
      <c r="H1813" t="s">
        <v>36</v>
      </c>
      <c r="I1813" t="s">
        <v>6009</v>
      </c>
      <c r="J1813" t="s">
        <v>31</v>
      </c>
      <c r="K1813" t="s">
        <v>38</v>
      </c>
      <c r="L1813" t="s">
        <v>1380</v>
      </c>
      <c r="M1813" t="s">
        <v>1381</v>
      </c>
      <c r="N1813" t="s">
        <v>6010</v>
      </c>
      <c r="O1813" t="s">
        <v>6011</v>
      </c>
      <c r="P1813" t="s">
        <v>6012</v>
      </c>
      <c r="Q1813" t="s">
        <v>6011</v>
      </c>
      <c r="T1813">
        <v>41.333114588999997</v>
      </c>
      <c r="U1813">
        <v>-73.073324357999994</v>
      </c>
      <c r="V1813">
        <f>SUM(W1813:X1813)+(Y1813*0.8)+(Z1813*0.4)</f>
        <v>0.4</v>
      </c>
      <c r="W1813">
        <v>0</v>
      </c>
      <c r="X1813">
        <v>0</v>
      </c>
      <c r="Y1813">
        <v>0</v>
      </c>
      <c r="Z1813">
        <v>1</v>
      </c>
      <c r="AA1813" t="s">
        <v>43</v>
      </c>
      <c r="AB1813">
        <v>0</v>
      </c>
      <c r="AD1813" t="s">
        <v>6013</v>
      </c>
      <c r="AE1813" t="s">
        <v>6014</v>
      </c>
    </row>
    <row r="1814" spans="1:31" x14ac:dyDescent="0.25">
      <c r="A1814" t="s">
        <v>31</v>
      </c>
      <c r="C1814" t="s">
        <v>1840</v>
      </c>
      <c r="D1814" t="s">
        <v>1849</v>
      </c>
      <c r="E1814" t="s">
        <v>34</v>
      </c>
      <c r="F1814" t="s">
        <v>35</v>
      </c>
      <c r="G1814">
        <v>1996</v>
      </c>
      <c r="H1814" t="s">
        <v>36</v>
      </c>
      <c r="I1814" t="s">
        <v>1850</v>
      </c>
      <c r="J1814" t="s">
        <v>31</v>
      </c>
      <c r="K1814" t="s">
        <v>38</v>
      </c>
      <c r="L1814" t="s">
        <v>153</v>
      </c>
      <c r="M1814" t="s">
        <v>154</v>
      </c>
      <c r="N1814" t="s">
        <v>1843</v>
      </c>
      <c r="O1814" t="s">
        <v>1844</v>
      </c>
      <c r="P1814" t="s">
        <v>1845</v>
      </c>
      <c r="Q1814" t="s">
        <v>138</v>
      </c>
      <c r="S1814" t="s">
        <v>1846</v>
      </c>
      <c r="T1814">
        <v>40.812791914999998</v>
      </c>
      <c r="U1814">
        <v>-96.702318110999997</v>
      </c>
      <c r="V1814">
        <f>SUM(W1814:X1814)+(Y1814*0.8)+(Z1814*0.4)</f>
        <v>0.38</v>
      </c>
      <c r="W1814">
        <v>0.38</v>
      </c>
      <c r="X1814">
        <v>0</v>
      </c>
      <c r="Y1814">
        <v>0</v>
      </c>
      <c r="Z1814">
        <v>0</v>
      </c>
      <c r="AA1814" t="s">
        <v>43</v>
      </c>
      <c r="AB1814">
        <v>0.34200000000000003</v>
      </c>
      <c r="AD1814" t="s">
        <v>1851</v>
      </c>
      <c r="AE1814" t="s">
        <v>1852</v>
      </c>
    </row>
    <row r="1815" spans="1:31" x14ac:dyDescent="0.25">
      <c r="A1815" t="s">
        <v>31</v>
      </c>
      <c r="C1815" t="s">
        <v>1530</v>
      </c>
      <c r="D1815" t="s">
        <v>1596</v>
      </c>
      <c r="E1815" t="s">
        <v>34</v>
      </c>
      <c r="F1815" t="s">
        <v>35</v>
      </c>
      <c r="G1815">
        <v>2010</v>
      </c>
      <c r="H1815" t="s">
        <v>36</v>
      </c>
      <c r="I1815" t="s">
        <v>1597</v>
      </c>
      <c r="J1815" t="s">
        <v>31</v>
      </c>
      <c r="K1815" t="s">
        <v>38</v>
      </c>
      <c r="L1815" t="s">
        <v>317</v>
      </c>
      <c r="M1815" t="s">
        <v>318</v>
      </c>
      <c r="N1815" t="s">
        <v>1598</v>
      </c>
      <c r="O1815" t="s">
        <v>1599</v>
      </c>
      <c r="P1815" t="s">
        <v>1600</v>
      </c>
      <c r="Q1815" t="s">
        <v>1599</v>
      </c>
      <c r="T1815">
        <v>41.118389477000001</v>
      </c>
      <c r="U1815">
        <v>-80.657026294999994</v>
      </c>
      <c r="V1815">
        <f>SUM(W1815:X1815)+(Y1815*0.8)+(Z1815*0.4)</f>
        <v>0.37</v>
      </c>
      <c r="W1815">
        <v>0.37</v>
      </c>
      <c r="X1815">
        <v>0</v>
      </c>
      <c r="Y1815">
        <v>0</v>
      </c>
      <c r="Z1815">
        <v>0</v>
      </c>
      <c r="AA1815" t="s">
        <v>43</v>
      </c>
      <c r="AB1815">
        <v>0.3</v>
      </c>
      <c r="AD1815" t="s">
        <v>1601</v>
      </c>
      <c r="AE1815" t="s">
        <v>1602</v>
      </c>
    </row>
    <row r="1816" spans="1:31" x14ac:dyDescent="0.25">
      <c r="A1816" t="s">
        <v>31</v>
      </c>
      <c r="C1816" t="s">
        <v>9519</v>
      </c>
      <c r="D1816" t="s">
        <v>9520</v>
      </c>
      <c r="E1816" t="s">
        <v>362</v>
      </c>
      <c r="F1816" t="s">
        <v>43</v>
      </c>
      <c r="G1816">
        <v>2015</v>
      </c>
      <c r="H1816" t="s">
        <v>36</v>
      </c>
      <c r="I1816" t="s">
        <v>9521</v>
      </c>
      <c r="J1816" t="s">
        <v>31</v>
      </c>
      <c r="K1816" t="s">
        <v>38</v>
      </c>
      <c r="L1816" t="s">
        <v>2437</v>
      </c>
      <c r="M1816" t="s">
        <v>2438</v>
      </c>
      <c r="N1816" t="s">
        <v>3606</v>
      </c>
      <c r="O1816" t="s">
        <v>3604</v>
      </c>
      <c r="P1816" t="s">
        <v>3607</v>
      </c>
      <c r="T1816">
        <v>32.967717428999997</v>
      </c>
      <c r="U1816">
        <v>-80.108945958000007</v>
      </c>
      <c r="V1816">
        <f>SUM(W1816:X1816)+(Y1816*0.8)+(Z1816*0.4)</f>
        <v>0.36</v>
      </c>
      <c r="W1816">
        <v>0.36</v>
      </c>
      <c r="X1816">
        <v>0</v>
      </c>
      <c r="Y1816">
        <v>0</v>
      </c>
      <c r="Z1816">
        <v>0</v>
      </c>
      <c r="AA1816" t="s">
        <v>43</v>
      </c>
      <c r="AB1816">
        <v>0.36</v>
      </c>
      <c r="AD1816" t="s">
        <v>9522</v>
      </c>
      <c r="AE1816" t="s">
        <v>9523</v>
      </c>
    </row>
    <row r="1817" spans="1:31" x14ac:dyDescent="0.25">
      <c r="A1817" t="s">
        <v>31</v>
      </c>
      <c r="C1817" t="s">
        <v>2584</v>
      </c>
      <c r="D1817" t="s">
        <v>2651</v>
      </c>
      <c r="E1817" t="s">
        <v>34</v>
      </c>
      <c r="F1817" t="s">
        <v>35</v>
      </c>
      <c r="G1817">
        <v>2001</v>
      </c>
      <c r="H1817" t="s">
        <v>36</v>
      </c>
      <c r="I1817" t="s">
        <v>2652</v>
      </c>
      <c r="J1817" t="s">
        <v>31</v>
      </c>
      <c r="K1817" t="s">
        <v>38</v>
      </c>
      <c r="L1817" t="s">
        <v>242</v>
      </c>
      <c r="M1817" t="s">
        <v>243</v>
      </c>
      <c r="N1817" t="s">
        <v>244</v>
      </c>
      <c r="O1817" t="s">
        <v>2653</v>
      </c>
      <c r="P1817" t="s">
        <v>2654</v>
      </c>
      <c r="Q1817" t="s">
        <v>2655</v>
      </c>
      <c r="T1817">
        <v>38.913079074999999</v>
      </c>
      <c r="U1817">
        <v>-77.227354731000005</v>
      </c>
      <c r="V1817">
        <f>SUM(W1817:X1817)+(Y1817*0.8)+(Z1817*0.4)</f>
        <v>0.36</v>
      </c>
      <c r="W1817">
        <v>0.36</v>
      </c>
      <c r="X1817">
        <v>0</v>
      </c>
      <c r="Y1817">
        <v>0</v>
      </c>
      <c r="Z1817">
        <v>0</v>
      </c>
      <c r="AA1817" t="s">
        <v>43</v>
      </c>
      <c r="AB1817">
        <v>0.34499999999999997</v>
      </c>
      <c r="AD1817" t="s">
        <v>2656</v>
      </c>
      <c r="AE1817" t="s">
        <v>2657</v>
      </c>
    </row>
    <row r="1818" spans="1:31" x14ac:dyDescent="0.25">
      <c r="A1818" t="s">
        <v>31</v>
      </c>
      <c r="C1818" t="s">
        <v>9655</v>
      </c>
      <c r="D1818" t="s">
        <v>9660</v>
      </c>
      <c r="E1818" t="s">
        <v>34</v>
      </c>
      <c r="F1818" t="s">
        <v>35</v>
      </c>
      <c r="G1818">
        <v>2011</v>
      </c>
      <c r="H1818" t="s">
        <v>36</v>
      </c>
      <c r="I1818" t="s">
        <v>9661</v>
      </c>
      <c r="J1818" t="s">
        <v>31</v>
      </c>
      <c r="K1818" t="s">
        <v>38</v>
      </c>
      <c r="L1818" t="s">
        <v>383</v>
      </c>
      <c r="M1818" t="s">
        <v>384</v>
      </c>
      <c r="N1818" t="s">
        <v>2270</v>
      </c>
      <c r="O1818" t="s">
        <v>2271</v>
      </c>
      <c r="P1818" t="s">
        <v>9662</v>
      </c>
      <c r="S1818" t="s">
        <v>7534</v>
      </c>
      <c r="T1818">
        <v>35.19391461</v>
      </c>
      <c r="U1818">
        <v>-80.936764248000003</v>
      </c>
      <c r="V1818">
        <f>SUM(W1818:X1818)+(Y1818*0.8)+(Z1818*0.4)</f>
        <v>0.35</v>
      </c>
      <c r="W1818">
        <v>0.35</v>
      </c>
      <c r="X1818">
        <v>0</v>
      </c>
      <c r="Y1818">
        <v>0</v>
      </c>
      <c r="Z1818">
        <v>0</v>
      </c>
      <c r="AA1818" t="s">
        <v>43</v>
      </c>
      <c r="AB1818">
        <v>0.3</v>
      </c>
      <c r="AD1818" t="s">
        <v>9663</v>
      </c>
      <c r="AE1818" t="s">
        <v>9664</v>
      </c>
    </row>
    <row r="1819" spans="1:31" x14ac:dyDescent="0.25">
      <c r="A1819" t="s">
        <v>31</v>
      </c>
      <c r="C1819" t="s">
        <v>10369</v>
      </c>
      <c r="D1819" t="s">
        <v>1733</v>
      </c>
      <c r="E1819" t="s">
        <v>362</v>
      </c>
      <c r="F1819" t="s">
        <v>630</v>
      </c>
      <c r="G1819">
        <v>2000</v>
      </c>
      <c r="H1819" t="s">
        <v>36</v>
      </c>
      <c r="I1819" t="s">
        <v>10370</v>
      </c>
      <c r="J1819" t="s">
        <v>31</v>
      </c>
      <c r="K1819" t="s">
        <v>38</v>
      </c>
      <c r="L1819" t="s">
        <v>1733</v>
      </c>
      <c r="M1819" t="s">
        <v>1734</v>
      </c>
      <c r="N1819" t="s">
        <v>1735</v>
      </c>
      <c r="O1819" t="s">
        <v>10371</v>
      </c>
      <c r="P1819" t="s">
        <v>10372</v>
      </c>
      <c r="T1819">
        <v>34.747557764</v>
      </c>
      <c r="U1819">
        <v>-92.290983733000004</v>
      </c>
      <c r="V1819">
        <f>SUM(W1819:X1819)+(Y1819*0.8)+(Z1819*0.4)</f>
        <v>0.35</v>
      </c>
      <c r="W1819">
        <v>0.35</v>
      </c>
      <c r="X1819">
        <v>0</v>
      </c>
      <c r="Y1819">
        <v>0</v>
      </c>
      <c r="Z1819">
        <v>0</v>
      </c>
      <c r="AA1819" t="s">
        <v>43</v>
      </c>
      <c r="AB1819">
        <v>0.35</v>
      </c>
      <c r="AD1819" t="s">
        <v>10373</v>
      </c>
      <c r="AE1819" t="s">
        <v>10374</v>
      </c>
    </row>
    <row r="1820" spans="1:31" x14ac:dyDescent="0.25">
      <c r="A1820" t="s">
        <v>31</v>
      </c>
      <c r="C1820" t="s">
        <v>7218</v>
      </c>
      <c r="D1820" t="s">
        <v>7224</v>
      </c>
      <c r="E1820" t="s">
        <v>362</v>
      </c>
      <c r="F1820" t="s">
        <v>1611</v>
      </c>
      <c r="G1820">
        <v>1999</v>
      </c>
      <c r="H1820" t="s">
        <v>36</v>
      </c>
      <c r="I1820" t="s">
        <v>7225</v>
      </c>
      <c r="J1820" t="s">
        <v>31</v>
      </c>
      <c r="K1820" t="s">
        <v>38</v>
      </c>
      <c r="L1820" t="s">
        <v>383</v>
      </c>
      <c r="M1820" t="s">
        <v>384</v>
      </c>
      <c r="N1820" t="s">
        <v>2270</v>
      </c>
      <c r="O1820" t="s">
        <v>2271</v>
      </c>
      <c r="P1820" t="s">
        <v>2272</v>
      </c>
      <c r="S1820" t="s">
        <v>3677</v>
      </c>
      <c r="T1820">
        <v>35.221557556</v>
      </c>
      <c r="U1820">
        <v>-80.835422897000001</v>
      </c>
      <c r="V1820">
        <f>SUM(W1820:X1820)+(Y1820*0.8)+(Z1820*0.4)</f>
        <v>0.35</v>
      </c>
      <c r="W1820">
        <v>0.35</v>
      </c>
      <c r="X1820">
        <v>0</v>
      </c>
      <c r="Y1820">
        <v>0</v>
      </c>
      <c r="Z1820">
        <v>0</v>
      </c>
      <c r="AA1820" t="s">
        <v>43</v>
      </c>
      <c r="AB1820">
        <v>0.35</v>
      </c>
      <c r="AD1820" t="s">
        <v>7226</v>
      </c>
      <c r="AE1820" t="s">
        <v>7227</v>
      </c>
    </row>
    <row r="1821" spans="1:31" x14ac:dyDescent="0.25">
      <c r="A1821" t="s">
        <v>31</v>
      </c>
      <c r="C1821" t="s">
        <v>2584</v>
      </c>
      <c r="D1821" t="s">
        <v>668</v>
      </c>
      <c r="E1821" t="s">
        <v>34</v>
      </c>
      <c r="F1821" t="s">
        <v>35</v>
      </c>
      <c r="G1821">
        <v>1996</v>
      </c>
      <c r="H1821" t="s">
        <v>36</v>
      </c>
      <c r="I1821" t="s">
        <v>2601</v>
      </c>
      <c r="J1821" t="s">
        <v>31</v>
      </c>
      <c r="K1821" t="s">
        <v>38</v>
      </c>
      <c r="L1821" t="s">
        <v>317</v>
      </c>
      <c r="M1821" t="s">
        <v>318</v>
      </c>
      <c r="N1821" t="s">
        <v>665</v>
      </c>
      <c r="O1821" t="s">
        <v>668</v>
      </c>
      <c r="P1821" t="s">
        <v>2602</v>
      </c>
      <c r="Q1821" t="s">
        <v>668</v>
      </c>
      <c r="S1821" t="s">
        <v>2603</v>
      </c>
      <c r="T1821">
        <v>39.968125847000003</v>
      </c>
      <c r="U1821">
        <v>-82.995553244999996</v>
      </c>
      <c r="V1821">
        <f>SUM(W1821:X1821)+(Y1821*0.8)+(Z1821*0.4)</f>
        <v>0.35</v>
      </c>
      <c r="W1821">
        <v>0.35</v>
      </c>
      <c r="X1821">
        <v>0</v>
      </c>
      <c r="Y1821">
        <v>0</v>
      </c>
      <c r="Z1821">
        <v>0</v>
      </c>
      <c r="AA1821" t="s">
        <v>43</v>
      </c>
      <c r="AB1821">
        <v>0.17</v>
      </c>
      <c r="AD1821" t="s">
        <v>2604</v>
      </c>
      <c r="AE1821" t="s">
        <v>2605</v>
      </c>
    </row>
    <row r="1822" spans="1:31" x14ac:dyDescent="0.25">
      <c r="A1822" t="s">
        <v>31</v>
      </c>
      <c r="C1822" t="s">
        <v>7218</v>
      </c>
      <c r="D1822" t="s">
        <v>7305</v>
      </c>
      <c r="E1822" t="s">
        <v>34</v>
      </c>
      <c r="F1822" t="s">
        <v>35</v>
      </c>
      <c r="G1822">
        <v>1994</v>
      </c>
      <c r="H1822" t="s">
        <v>36</v>
      </c>
      <c r="I1822" t="s">
        <v>7306</v>
      </c>
      <c r="J1822" t="s">
        <v>31</v>
      </c>
      <c r="K1822" t="s">
        <v>38</v>
      </c>
      <c r="L1822" t="s">
        <v>1457</v>
      </c>
      <c r="M1822" t="s">
        <v>1458</v>
      </c>
      <c r="N1822" t="s">
        <v>319</v>
      </c>
      <c r="O1822" t="s">
        <v>7301</v>
      </c>
      <c r="P1822" t="s">
        <v>7307</v>
      </c>
      <c r="Q1822" t="s">
        <v>7308</v>
      </c>
      <c r="S1822" t="s">
        <v>7309</v>
      </c>
      <c r="T1822">
        <v>36.144686198000002</v>
      </c>
      <c r="U1822">
        <v>-115.081490636</v>
      </c>
      <c r="V1822">
        <f>SUM(W1822:X1822)+(Y1822*0.8)+(Z1822*0.4)</f>
        <v>0.33</v>
      </c>
      <c r="W1822">
        <v>0.33</v>
      </c>
      <c r="X1822">
        <v>0</v>
      </c>
      <c r="Y1822">
        <v>0</v>
      </c>
      <c r="Z1822">
        <v>0</v>
      </c>
      <c r="AA1822" t="s">
        <v>43</v>
      </c>
      <c r="AB1822">
        <v>0.33</v>
      </c>
      <c r="AD1822" t="s">
        <v>7310</v>
      </c>
      <c r="AE1822" t="s">
        <v>7311</v>
      </c>
    </row>
    <row r="1823" spans="1:31" x14ac:dyDescent="0.25">
      <c r="A1823" t="s">
        <v>31</v>
      </c>
      <c r="C1823" t="s">
        <v>1332</v>
      </c>
      <c r="D1823" t="s">
        <v>1364</v>
      </c>
      <c r="E1823" t="s">
        <v>34</v>
      </c>
      <c r="F1823" t="s">
        <v>35</v>
      </c>
      <c r="G1823">
        <v>2024</v>
      </c>
      <c r="H1823" t="s">
        <v>36</v>
      </c>
      <c r="I1823" t="s">
        <v>1365</v>
      </c>
      <c r="J1823" t="s">
        <v>31</v>
      </c>
      <c r="K1823" t="s">
        <v>38</v>
      </c>
      <c r="L1823" t="s">
        <v>68</v>
      </c>
      <c r="M1823" t="s">
        <v>69</v>
      </c>
      <c r="N1823" t="s">
        <v>712</v>
      </c>
      <c r="O1823" t="s">
        <v>713</v>
      </c>
      <c r="P1823" t="s">
        <v>1366</v>
      </c>
      <c r="S1823" t="s">
        <v>1367</v>
      </c>
      <c r="T1823">
        <v>29.400496751999999</v>
      </c>
      <c r="U1823">
        <v>-98.640385832999996</v>
      </c>
      <c r="V1823">
        <f>SUM(W1823:X1823)+(Y1823*0.8)+(Z1823*0.4)</f>
        <v>0.3</v>
      </c>
      <c r="W1823">
        <v>0.3</v>
      </c>
      <c r="X1823">
        <v>0</v>
      </c>
      <c r="Y1823">
        <v>0</v>
      </c>
      <c r="Z1823">
        <v>0</v>
      </c>
      <c r="AA1823" t="s">
        <v>43</v>
      </c>
      <c r="AB1823">
        <v>0</v>
      </c>
      <c r="AD1823" t="s">
        <v>1368</v>
      </c>
      <c r="AE1823" t="s">
        <v>1369</v>
      </c>
    </row>
    <row r="1824" spans="1:31" x14ac:dyDescent="0.25">
      <c r="A1824" t="s">
        <v>31</v>
      </c>
      <c r="C1824" t="s">
        <v>10731</v>
      </c>
      <c r="D1824" t="s">
        <v>10737</v>
      </c>
      <c r="E1824" t="s">
        <v>34</v>
      </c>
      <c r="F1824" t="s">
        <v>35</v>
      </c>
      <c r="G1824">
        <v>2015</v>
      </c>
      <c r="H1824" t="s">
        <v>36</v>
      </c>
      <c r="I1824" t="s">
        <v>6558</v>
      </c>
      <c r="J1824" t="s">
        <v>31</v>
      </c>
      <c r="K1824" t="s">
        <v>38</v>
      </c>
      <c r="L1824" t="s">
        <v>77</v>
      </c>
      <c r="M1824" t="s">
        <v>78</v>
      </c>
      <c r="N1824" t="s">
        <v>278</v>
      </c>
      <c r="O1824" t="s">
        <v>279</v>
      </c>
      <c r="P1824" t="s">
        <v>280</v>
      </c>
      <c r="Q1824" t="s">
        <v>6559</v>
      </c>
      <c r="S1824" t="s">
        <v>281</v>
      </c>
      <c r="T1824">
        <v>39.950335086999999</v>
      </c>
      <c r="U1824">
        <v>-75.180036344000001</v>
      </c>
      <c r="V1824">
        <f>SUM(W1824:X1824)+(Y1824*0.8)+(Z1824*0.4)</f>
        <v>0.3</v>
      </c>
      <c r="W1824">
        <v>0.3</v>
      </c>
      <c r="X1824">
        <v>0</v>
      </c>
      <c r="Y1824">
        <v>0</v>
      </c>
      <c r="Z1824">
        <v>0</v>
      </c>
      <c r="AA1824" t="s">
        <v>43</v>
      </c>
      <c r="AB1824">
        <v>0.27</v>
      </c>
      <c r="AD1824" t="s">
        <v>10738</v>
      </c>
      <c r="AE1824" t="s">
        <v>10739</v>
      </c>
    </row>
    <row r="1825" spans="1:31" x14ac:dyDescent="0.25">
      <c r="A1825" t="s">
        <v>31</v>
      </c>
      <c r="C1825" t="s">
        <v>1636</v>
      </c>
      <c r="D1825" t="s">
        <v>1637</v>
      </c>
      <c r="E1825" t="s">
        <v>34</v>
      </c>
      <c r="F1825" t="s">
        <v>35</v>
      </c>
      <c r="G1825">
        <v>2015</v>
      </c>
      <c r="H1825" t="s">
        <v>36</v>
      </c>
      <c r="I1825" t="s">
        <v>1638</v>
      </c>
      <c r="J1825" t="s">
        <v>31</v>
      </c>
      <c r="K1825" t="s">
        <v>38</v>
      </c>
      <c r="L1825" t="s">
        <v>242</v>
      </c>
      <c r="M1825" t="s">
        <v>243</v>
      </c>
      <c r="N1825" t="s">
        <v>244</v>
      </c>
      <c r="O1825" t="s">
        <v>768</v>
      </c>
      <c r="P1825" t="s">
        <v>720</v>
      </c>
      <c r="T1825">
        <v>38.908349870999999</v>
      </c>
      <c r="U1825">
        <v>-77.475293389000001</v>
      </c>
      <c r="V1825">
        <f>SUM(W1825:X1825)+(Y1825*0.8)+(Z1825*0.4)</f>
        <v>0.3</v>
      </c>
      <c r="W1825">
        <v>0.3</v>
      </c>
      <c r="X1825">
        <v>0</v>
      </c>
      <c r="Y1825">
        <v>0</v>
      </c>
      <c r="Z1825">
        <v>0</v>
      </c>
      <c r="AA1825" t="s">
        <v>43</v>
      </c>
      <c r="AB1825">
        <v>0.28999999999999998</v>
      </c>
      <c r="AD1825" t="s">
        <v>1639</v>
      </c>
      <c r="AE1825" t="s">
        <v>1640</v>
      </c>
    </row>
    <row r="1826" spans="1:31" x14ac:dyDescent="0.25">
      <c r="A1826" t="s">
        <v>31</v>
      </c>
      <c r="C1826" t="s">
        <v>46</v>
      </c>
      <c r="D1826" t="s">
        <v>57</v>
      </c>
      <c r="E1826" t="s">
        <v>34</v>
      </c>
      <c r="F1826" t="s">
        <v>35</v>
      </c>
      <c r="G1826">
        <v>2013</v>
      </c>
      <c r="H1826" t="s">
        <v>36</v>
      </c>
      <c r="I1826" t="s">
        <v>58</v>
      </c>
      <c r="J1826" t="s">
        <v>31</v>
      </c>
      <c r="K1826" t="s">
        <v>38</v>
      </c>
      <c r="L1826" t="s">
        <v>49</v>
      </c>
      <c r="M1826" t="s">
        <v>50</v>
      </c>
      <c r="N1826" t="s">
        <v>59</v>
      </c>
      <c r="O1826" t="s">
        <v>60</v>
      </c>
      <c r="Q1826" t="s">
        <v>61</v>
      </c>
      <c r="T1826">
        <v>42.825471018000002</v>
      </c>
      <c r="U1826">
        <v>-85.672621286999998</v>
      </c>
      <c r="V1826">
        <f>SUM(W1826:X1826)+(Y1826*0.8)+(Z1826*0.4)</f>
        <v>0.3</v>
      </c>
      <c r="W1826">
        <v>0.3</v>
      </c>
      <c r="X1826">
        <v>0</v>
      </c>
      <c r="Y1826">
        <v>0</v>
      </c>
      <c r="Z1826">
        <v>0</v>
      </c>
      <c r="AA1826" t="s">
        <v>43</v>
      </c>
      <c r="AB1826">
        <v>0.15</v>
      </c>
      <c r="AD1826" t="s">
        <v>62</v>
      </c>
      <c r="AE1826" t="s">
        <v>63</v>
      </c>
    </row>
    <row r="1827" spans="1:31" x14ac:dyDescent="0.25">
      <c r="A1827" t="s">
        <v>31</v>
      </c>
      <c r="C1827" t="s">
        <v>10095</v>
      </c>
      <c r="D1827" t="s">
        <v>10096</v>
      </c>
      <c r="E1827" t="s">
        <v>362</v>
      </c>
      <c r="F1827" t="s">
        <v>381</v>
      </c>
      <c r="G1827">
        <v>2012</v>
      </c>
      <c r="H1827" t="s">
        <v>36</v>
      </c>
      <c r="I1827" t="s">
        <v>10097</v>
      </c>
      <c r="J1827" t="s">
        <v>31</v>
      </c>
      <c r="K1827" t="s">
        <v>38</v>
      </c>
      <c r="L1827" t="s">
        <v>448</v>
      </c>
      <c r="M1827" t="s">
        <v>449</v>
      </c>
      <c r="N1827" t="s">
        <v>564</v>
      </c>
      <c r="O1827" t="s">
        <v>10098</v>
      </c>
      <c r="P1827" t="s">
        <v>5641</v>
      </c>
      <c r="S1827" t="s">
        <v>10099</v>
      </c>
      <c r="T1827">
        <v>39.368520891999999</v>
      </c>
      <c r="U1827">
        <v>-77.406150831000005</v>
      </c>
      <c r="V1827">
        <f>SUM(W1827:X1827)+(Y1827*0.8)+(Z1827*0.4)</f>
        <v>0.3</v>
      </c>
      <c r="W1827">
        <v>0.3</v>
      </c>
      <c r="X1827">
        <v>0</v>
      </c>
      <c r="Y1827">
        <v>0</v>
      </c>
      <c r="Z1827">
        <v>0</v>
      </c>
      <c r="AA1827" t="s">
        <v>43</v>
      </c>
      <c r="AB1827">
        <v>0.3</v>
      </c>
      <c r="AD1827" t="s">
        <v>10100</v>
      </c>
      <c r="AE1827" t="s">
        <v>10101</v>
      </c>
    </row>
    <row r="1828" spans="1:31" x14ac:dyDescent="0.25">
      <c r="A1828" t="s">
        <v>31</v>
      </c>
      <c r="C1828" t="s">
        <v>10406</v>
      </c>
      <c r="D1828" t="s">
        <v>10416</v>
      </c>
      <c r="E1828" t="s">
        <v>34</v>
      </c>
      <c r="F1828" t="s">
        <v>35</v>
      </c>
      <c r="G1828">
        <v>2011</v>
      </c>
      <c r="H1828" t="s">
        <v>36</v>
      </c>
      <c r="I1828" t="s">
        <v>10417</v>
      </c>
      <c r="J1828" t="s">
        <v>31</v>
      </c>
      <c r="K1828" t="s">
        <v>38</v>
      </c>
      <c r="L1828" t="s">
        <v>1819</v>
      </c>
      <c r="M1828" t="s">
        <v>1820</v>
      </c>
      <c r="N1828" t="s">
        <v>1821</v>
      </c>
      <c r="O1828" t="s">
        <v>1822</v>
      </c>
      <c r="P1828" t="s">
        <v>10418</v>
      </c>
      <c r="T1828">
        <v>36.158696863999999</v>
      </c>
      <c r="U1828">
        <v>-95.988642197999994</v>
      </c>
      <c r="V1828">
        <f>SUM(W1828:X1828)+(Y1828*0.8)+(Z1828*0.4)</f>
        <v>0.3</v>
      </c>
      <c r="W1828">
        <v>0.3</v>
      </c>
      <c r="X1828">
        <v>0</v>
      </c>
      <c r="Y1828">
        <v>0</v>
      </c>
      <c r="Z1828">
        <v>0</v>
      </c>
      <c r="AA1828" t="s">
        <v>43</v>
      </c>
      <c r="AB1828">
        <v>0.25</v>
      </c>
      <c r="AD1828" t="s">
        <v>10419</v>
      </c>
      <c r="AE1828" t="s">
        <v>10420</v>
      </c>
    </row>
    <row r="1829" spans="1:31" x14ac:dyDescent="0.25">
      <c r="A1829" t="s">
        <v>31</v>
      </c>
      <c r="C1829" t="s">
        <v>6521</v>
      </c>
      <c r="D1829" t="s">
        <v>6522</v>
      </c>
      <c r="E1829" t="s">
        <v>34</v>
      </c>
      <c r="F1829" t="s">
        <v>35</v>
      </c>
      <c r="G1829">
        <v>2011</v>
      </c>
      <c r="H1829" t="s">
        <v>36</v>
      </c>
      <c r="I1829" t="s">
        <v>6523</v>
      </c>
      <c r="J1829" t="s">
        <v>31</v>
      </c>
      <c r="K1829" t="s">
        <v>38</v>
      </c>
      <c r="L1829" t="s">
        <v>103</v>
      </c>
      <c r="M1829" t="s">
        <v>104</v>
      </c>
      <c r="N1829" t="s">
        <v>4001</v>
      </c>
      <c r="O1829" t="s">
        <v>105</v>
      </c>
      <c r="P1829" t="s">
        <v>4711</v>
      </c>
      <c r="Q1829" t="s">
        <v>6524</v>
      </c>
      <c r="S1829" t="s">
        <v>6525</v>
      </c>
      <c r="T1829">
        <v>21.331787994999999</v>
      </c>
      <c r="U1829">
        <v>-157.88795799100001</v>
      </c>
      <c r="V1829">
        <f>SUM(W1829:X1829)+(Y1829*0.8)+(Z1829*0.4)</f>
        <v>0.3</v>
      </c>
      <c r="W1829">
        <v>0.3</v>
      </c>
      <c r="X1829">
        <v>0</v>
      </c>
      <c r="Y1829">
        <v>0</v>
      </c>
      <c r="Z1829">
        <v>0</v>
      </c>
      <c r="AA1829" t="s">
        <v>43</v>
      </c>
      <c r="AB1829">
        <v>0.3</v>
      </c>
      <c r="AD1829" t="s">
        <v>6526</v>
      </c>
      <c r="AE1829" t="s">
        <v>6527</v>
      </c>
    </row>
    <row r="1830" spans="1:31" x14ac:dyDescent="0.25">
      <c r="A1830" t="s">
        <v>31</v>
      </c>
      <c r="C1830" t="s">
        <v>3230</v>
      </c>
      <c r="D1830" t="s">
        <v>3273</v>
      </c>
      <c r="E1830" t="s">
        <v>34</v>
      </c>
      <c r="F1830" t="s">
        <v>35</v>
      </c>
      <c r="G1830">
        <v>2011</v>
      </c>
      <c r="H1830" t="s">
        <v>36</v>
      </c>
      <c r="I1830" t="s">
        <v>3274</v>
      </c>
      <c r="J1830" t="s">
        <v>31</v>
      </c>
      <c r="K1830" t="s">
        <v>38</v>
      </c>
      <c r="L1830" t="s">
        <v>1380</v>
      </c>
      <c r="M1830" t="s">
        <v>1381</v>
      </c>
      <c r="N1830" t="s">
        <v>3275</v>
      </c>
      <c r="O1830" t="s">
        <v>3275</v>
      </c>
      <c r="P1830" t="s">
        <v>3276</v>
      </c>
      <c r="Q1830" t="s">
        <v>3277</v>
      </c>
      <c r="S1830" t="s">
        <v>3278</v>
      </c>
      <c r="T1830">
        <v>41.768522918000002</v>
      </c>
      <c r="U1830">
        <v>-72.672207904000004</v>
      </c>
      <c r="V1830">
        <f>SUM(W1830:X1830)+(Y1830*0.8)+(Z1830*0.4)</f>
        <v>0.3</v>
      </c>
      <c r="W1830">
        <v>0.3</v>
      </c>
      <c r="X1830">
        <v>0</v>
      </c>
      <c r="Y1830">
        <v>0</v>
      </c>
      <c r="Z1830">
        <v>0</v>
      </c>
      <c r="AA1830" t="s">
        <v>43</v>
      </c>
      <c r="AB1830">
        <v>0.255</v>
      </c>
      <c r="AD1830" t="s">
        <v>3279</v>
      </c>
      <c r="AE1830" t="s">
        <v>3280</v>
      </c>
    </row>
    <row r="1831" spans="1:31" x14ac:dyDescent="0.25">
      <c r="A1831" t="s">
        <v>31</v>
      </c>
      <c r="C1831" t="s">
        <v>1530</v>
      </c>
      <c r="D1831" t="s">
        <v>1554</v>
      </c>
      <c r="E1831" t="s">
        <v>34</v>
      </c>
      <c r="F1831" t="s">
        <v>35</v>
      </c>
      <c r="G1831">
        <v>2011</v>
      </c>
      <c r="H1831" t="s">
        <v>36</v>
      </c>
      <c r="I1831" t="s">
        <v>1555</v>
      </c>
      <c r="J1831" t="s">
        <v>31</v>
      </c>
      <c r="K1831" t="s">
        <v>38</v>
      </c>
      <c r="L1831" t="s">
        <v>828</v>
      </c>
      <c r="M1831" t="s">
        <v>829</v>
      </c>
      <c r="N1831" t="s">
        <v>1556</v>
      </c>
      <c r="O1831" t="s">
        <v>1557</v>
      </c>
      <c r="P1831" t="s">
        <v>1558</v>
      </c>
      <c r="Q1831" t="s">
        <v>1559</v>
      </c>
      <c r="T1831">
        <v>46.795732815000001</v>
      </c>
      <c r="U1831">
        <v>-92.096088125999998</v>
      </c>
      <c r="V1831">
        <f>SUM(W1831:X1831)+(Y1831*0.8)+(Z1831*0.4)</f>
        <v>0.3</v>
      </c>
      <c r="W1831">
        <v>0.3</v>
      </c>
      <c r="X1831">
        <v>0</v>
      </c>
      <c r="Y1831">
        <v>0</v>
      </c>
      <c r="Z1831">
        <v>0</v>
      </c>
      <c r="AA1831" t="s">
        <v>43</v>
      </c>
      <c r="AB1831">
        <v>0.3</v>
      </c>
      <c r="AD1831" t="s">
        <v>1560</v>
      </c>
      <c r="AE1831" t="s">
        <v>1561</v>
      </c>
    </row>
    <row r="1832" spans="1:31" x14ac:dyDescent="0.25">
      <c r="A1832" t="s">
        <v>31</v>
      </c>
      <c r="C1832" t="s">
        <v>2706</v>
      </c>
      <c r="D1832" t="s">
        <v>2767</v>
      </c>
      <c r="E1832" t="s">
        <v>34</v>
      </c>
      <c r="F1832" t="s">
        <v>35</v>
      </c>
      <c r="G1832">
        <v>2010</v>
      </c>
      <c r="H1832" t="s">
        <v>36</v>
      </c>
      <c r="I1832" t="s">
        <v>2768</v>
      </c>
      <c r="J1832" t="s">
        <v>31</v>
      </c>
      <c r="K1832" t="s">
        <v>38</v>
      </c>
      <c r="L1832" t="s">
        <v>828</v>
      </c>
      <c r="M1832" t="s">
        <v>829</v>
      </c>
      <c r="N1832" t="s">
        <v>2769</v>
      </c>
      <c r="O1832" t="s">
        <v>2770</v>
      </c>
      <c r="P1832" t="s">
        <v>2771</v>
      </c>
      <c r="T1832">
        <v>44.971513000000002</v>
      </c>
      <c r="U1832">
        <v>-93.254739000000001</v>
      </c>
      <c r="V1832">
        <f>SUM(W1832:X1832)+(Y1832*0.8)+(Z1832*0.4)</f>
        <v>0.3</v>
      </c>
      <c r="W1832">
        <v>0.3</v>
      </c>
      <c r="X1832">
        <v>0</v>
      </c>
      <c r="Y1832">
        <v>0</v>
      </c>
      <c r="Z1832">
        <v>0</v>
      </c>
      <c r="AA1832" t="s">
        <v>43</v>
      </c>
      <c r="AB1832">
        <v>0.3</v>
      </c>
      <c r="AC1832">
        <v>1.17</v>
      </c>
      <c r="AD1832" t="s">
        <v>2772</v>
      </c>
      <c r="AE1832" t="s">
        <v>2773</v>
      </c>
    </row>
    <row r="1833" spans="1:31" x14ac:dyDescent="0.25">
      <c r="A1833" t="s">
        <v>31</v>
      </c>
      <c r="C1833" t="s">
        <v>3230</v>
      </c>
      <c r="D1833" t="s">
        <v>3262</v>
      </c>
      <c r="E1833" t="s">
        <v>34</v>
      </c>
      <c r="F1833" t="s">
        <v>35</v>
      </c>
      <c r="G1833">
        <v>2007</v>
      </c>
      <c r="H1833" t="s">
        <v>36</v>
      </c>
      <c r="I1833" t="s">
        <v>3263</v>
      </c>
      <c r="J1833" t="s">
        <v>31</v>
      </c>
      <c r="K1833" t="s">
        <v>38</v>
      </c>
      <c r="L1833" t="s">
        <v>3244</v>
      </c>
      <c r="M1833" t="s">
        <v>3245</v>
      </c>
      <c r="N1833" t="s">
        <v>3246</v>
      </c>
      <c r="O1833" t="s">
        <v>3247</v>
      </c>
      <c r="P1833" t="s">
        <v>3264</v>
      </c>
      <c r="Q1833" t="s">
        <v>3247</v>
      </c>
      <c r="S1833" t="s">
        <v>3265</v>
      </c>
      <c r="T1833">
        <v>41.814942985999998</v>
      </c>
      <c r="U1833">
        <v>-71.421717709000006</v>
      </c>
      <c r="V1833">
        <f>SUM(W1833:X1833)+(Y1833*0.8)+(Z1833*0.4)</f>
        <v>0.3</v>
      </c>
      <c r="W1833">
        <v>0.3</v>
      </c>
      <c r="X1833">
        <v>0</v>
      </c>
      <c r="Y1833">
        <v>0</v>
      </c>
      <c r="Z1833">
        <v>0</v>
      </c>
      <c r="AA1833" t="s">
        <v>43</v>
      </c>
      <c r="AB1833">
        <v>0.28999999999999998</v>
      </c>
      <c r="AD1833" t="s">
        <v>3266</v>
      </c>
      <c r="AE1833" t="s">
        <v>3267</v>
      </c>
    </row>
    <row r="1834" spans="1:31" x14ac:dyDescent="0.25">
      <c r="A1834" t="s">
        <v>31</v>
      </c>
      <c r="C1834" t="s">
        <v>5946</v>
      </c>
      <c r="D1834" t="s">
        <v>5947</v>
      </c>
      <c r="E1834" t="s">
        <v>362</v>
      </c>
      <c r="F1834" t="s">
        <v>1611</v>
      </c>
      <c r="G1834">
        <v>2005</v>
      </c>
      <c r="H1834" t="s">
        <v>36</v>
      </c>
      <c r="I1834" t="s">
        <v>5948</v>
      </c>
      <c r="J1834" t="s">
        <v>31</v>
      </c>
      <c r="K1834" t="s">
        <v>38</v>
      </c>
      <c r="L1834" t="s">
        <v>68</v>
      </c>
      <c r="M1834" t="s">
        <v>69</v>
      </c>
      <c r="N1834" t="s">
        <v>5949</v>
      </c>
      <c r="O1834" t="s">
        <v>5950</v>
      </c>
      <c r="P1834" t="s">
        <v>5951</v>
      </c>
      <c r="T1834">
        <v>31.755379959999999</v>
      </c>
      <c r="U1834">
        <v>-106.493181902</v>
      </c>
      <c r="V1834">
        <f>SUM(W1834:X1834)+(Y1834*0.8)+(Z1834*0.4)</f>
        <v>0.3</v>
      </c>
      <c r="W1834">
        <v>0.3</v>
      </c>
      <c r="X1834">
        <v>0</v>
      </c>
      <c r="Y1834">
        <v>0</v>
      </c>
      <c r="Z1834">
        <v>0</v>
      </c>
      <c r="AA1834" t="s">
        <v>43</v>
      </c>
      <c r="AB1834">
        <v>0.3</v>
      </c>
      <c r="AD1834" t="s">
        <v>5952</v>
      </c>
      <c r="AE1834" t="s">
        <v>5953</v>
      </c>
    </row>
    <row r="1835" spans="1:31" x14ac:dyDescent="0.25">
      <c r="A1835" t="s">
        <v>31</v>
      </c>
      <c r="C1835" t="s">
        <v>7218</v>
      </c>
      <c r="D1835" t="s">
        <v>7329</v>
      </c>
      <c r="E1835" t="s">
        <v>34</v>
      </c>
      <c r="F1835" t="s">
        <v>35</v>
      </c>
      <c r="G1835">
        <v>2003</v>
      </c>
      <c r="H1835" t="s">
        <v>36</v>
      </c>
      <c r="I1835" t="s">
        <v>7330</v>
      </c>
      <c r="J1835" t="s">
        <v>31</v>
      </c>
      <c r="K1835" t="s">
        <v>38</v>
      </c>
      <c r="L1835" t="s">
        <v>317</v>
      </c>
      <c r="M1835" t="s">
        <v>318</v>
      </c>
      <c r="N1835" t="s">
        <v>1576</v>
      </c>
      <c r="O1835" t="s">
        <v>1910</v>
      </c>
      <c r="P1835" t="s">
        <v>7331</v>
      </c>
      <c r="Q1835" t="s">
        <v>7332</v>
      </c>
      <c r="T1835">
        <v>41.505037147000003</v>
      </c>
      <c r="U1835">
        <v>-81.657788788999994</v>
      </c>
      <c r="V1835">
        <f>SUM(W1835:X1835)+(Y1835*0.8)+(Z1835*0.4)</f>
        <v>0.3</v>
      </c>
      <c r="W1835">
        <v>0.3</v>
      </c>
      <c r="X1835">
        <v>0</v>
      </c>
      <c r="Y1835">
        <v>0</v>
      </c>
      <c r="Z1835">
        <v>0</v>
      </c>
      <c r="AA1835" t="s">
        <v>43</v>
      </c>
      <c r="AB1835">
        <v>0.15</v>
      </c>
      <c r="AD1835" t="s">
        <v>7333</v>
      </c>
      <c r="AE1835" t="s">
        <v>7334</v>
      </c>
    </row>
    <row r="1836" spans="1:31" x14ac:dyDescent="0.25">
      <c r="A1836" t="s">
        <v>31</v>
      </c>
      <c r="C1836" t="s">
        <v>10406</v>
      </c>
      <c r="D1836" t="s">
        <v>115</v>
      </c>
      <c r="E1836" t="s">
        <v>34</v>
      </c>
      <c r="F1836" t="s">
        <v>35</v>
      </c>
      <c r="G1836">
        <v>2001</v>
      </c>
      <c r="H1836" t="s">
        <v>36</v>
      </c>
      <c r="I1836" t="s">
        <v>10500</v>
      </c>
      <c r="J1836" t="s">
        <v>31</v>
      </c>
      <c r="K1836" t="s">
        <v>38</v>
      </c>
      <c r="L1836" t="s">
        <v>112</v>
      </c>
      <c r="M1836" t="s">
        <v>113</v>
      </c>
      <c r="N1836" t="s">
        <v>114</v>
      </c>
      <c r="O1836" t="s">
        <v>115</v>
      </c>
      <c r="P1836" t="s">
        <v>10501</v>
      </c>
      <c r="S1836" t="s">
        <v>10502</v>
      </c>
      <c r="T1836">
        <v>43.009620382000001</v>
      </c>
      <c r="U1836">
        <v>-87.961089189000006</v>
      </c>
      <c r="V1836">
        <f>SUM(W1836:X1836)+(Y1836*0.8)+(Z1836*0.4)</f>
        <v>0.3</v>
      </c>
      <c r="W1836">
        <v>0.3</v>
      </c>
      <c r="X1836">
        <v>0</v>
      </c>
      <c r="Y1836">
        <v>0</v>
      </c>
      <c r="Z1836">
        <v>0</v>
      </c>
      <c r="AA1836" t="s">
        <v>43</v>
      </c>
      <c r="AB1836">
        <v>0.15</v>
      </c>
      <c r="AD1836" t="s">
        <v>10503</v>
      </c>
      <c r="AE1836" t="s">
        <v>10504</v>
      </c>
    </row>
    <row r="1837" spans="1:31" x14ac:dyDescent="0.25">
      <c r="A1837" t="s">
        <v>31</v>
      </c>
      <c r="C1837" t="s">
        <v>7218</v>
      </c>
      <c r="D1837" t="s">
        <v>7299</v>
      </c>
      <c r="E1837" t="s">
        <v>34</v>
      </c>
      <c r="F1837" t="s">
        <v>35</v>
      </c>
      <c r="G1837">
        <v>2000</v>
      </c>
      <c r="H1837" t="s">
        <v>36</v>
      </c>
      <c r="I1837" t="s">
        <v>7300</v>
      </c>
      <c r="J1837" t="s">
        <v>31</v>
      </c>
      <c r="K1837" t="s">
        <v>38</v>
      </c>
      <c r="L1837" t="s">
        <v>1457</v>
      </c>
      <c r="M1837" t="s">
        <v>1458</v>
      </c>
      <c r="N1837" t="s">
        <v>319</v>
      </c>
      <c r="O1837" t="s">
        <v>7301</v>
      </c>
      <c r="P1837" t="s">
        <v>7302</v>
      </c>
      <c r="T1837">
        <v>36.143969538</v>
      </c>
      <c r="U1837">
        <v>-115.083290858</v>
      </c>
      <c r="V1837">
        <f>SUM(W1837:X1837)+(Y1837*0.8)+(Z1837*0.4)</f>
        <v>0.3</v>
      </c>
      <c r="W1837">
        <v>0.3</v>
      </c>
      <c r="X1837">
        <v>0</v>
      </c>
      <c r="Y1837">
        <v>0</v>
      </c>
      <c r="Z1837">
        <v>0</v>
      </c>
      <c r="AA1837" t="s">
        <v>43</v>
      </c>
      <c r="AB1837">
        <v>0.3</v>
      </c>
      <c r="AD1837" t="s">
        <v>7303</v>
      </c>
      <c r="AE1837" t="s">
        <v>7304</v>
      </c>
    </row>
    <row r="1838" spans="1:31" x14ac:dyDescent="0.25">
      <c r="A1838" t="s">
        <v>31</v>
      </c>
      <c r="C1838" t="s">
        <v>3551</v>
      </c>
      <c r="D1838" t="s">
        <v>3558</v>
      </c>
      <c r="E1838" t="s">
        <v>34</v>
      </c>
      <c r="F1838" t="s">
        <v>35</v>
      </c>
      <c r="G1838">
        <v>2000</v>
      </c>
      <c r="H1838" t="s">
        <v>36</v>
      </c>
      <c r="I1838" t="s">
        <v>3559</v>
      </c>
      <c r="J1838" t="s">
        <v>31</v>
      </c>
      <c r="K1838" t="s">
        <v>38</v>
      </c>
      <c r="L1838" t="s">
        <v>2620</v>
      </c>
      <c r="M1838" t="s">
        <v>2621</v>
      </c>
      <c r="N1838" t="s">
        <v>3560</v>
      </c>
      <c r="O1838" t="s">
        <v>3561</v>
      </c>
      <c r="P1838" t="s">
        <v>3562</v>
      </c>
      <c r="T1838">
        <v>30.453787914999999</v>
      </c>
      <c r="U1838">
        <v>-91.116319974999996</v>
      </c>
      <c r="V1838">
        <f>SUM(W1838:X1838)+(Y1838*0.8)+(Z1838*0.4)</f>
        <v>0.3</v>
      </c>
      <c r="W1838">
        <v>0.3</v>
      </c>
      <c r="X1838">
        <v>0</v>
      </c>
      <c r="Y1838">
        <v>0</v>
      </c>
      <c r="Z1838">
        <v>0</v>
      </c>
      <c r="AA1838" t="s">
        <v>43</v>
      </c>
      <c r="AB1838">
        <v>0.2</v>
      </c>
      <c r="AD1838" t="s">
        <v>3563</v>
      </c>
      <c r="AE1838" t="s">
        <v>3564</v>
      </c>
    </row>
    <row r="1839" spans="1:31" x14ac:dyDescent="0.25">
      <c r="A1839" t="s">
        <v>31</v>
      </c>
      <c r="C1839" t="s">
        <v>3052</v>
      </c>
      <c r="D1839" t="s">
        <v>3089</v>
      </c>
      <c r="E1839" t="s">
        <v>34</v>
      </c>
      <c r="F1839" t="s">
        <v>35</v>
      </c>
      <c r="G1839">
        <v>2000</v>
      </c>
      <c r="H1839" t="s">
        <v>36</v>
      </c>
      <c r="I1839" t="s">
        <v>3090</v>
      </c>
      <c r="J1839" t="s">
        <v>31</v>
      </c>
      <c r="K1839" t="s">
        <v>38</v>
      </c>
      <c r="L1839" t="s">
        <v>193</v>
      </c>
      <c r="M1839" t="s">
        <v>194</v>
      </c>
      <c r="O1839" t="s">
        <v>1343</v>
      </c>
      <c r="P1839" t="s">
        <v>3091</v>
      </c>
      <c r="Q1839" t="s">
        <v>3092</v>
      </c>
      <c r="T1839">
        <v>39.745240799999998</v>
      </c>
      <c r="U1839">
        <v>-104.97934827</v>
      </c>
      <c r="V1839">
        <f>SUM(W1839:X1839)+(Y1839*0.8)+(Z1839*0.4)</f>
        <v>0.3</v>
      </c>
      <c r="W1839">
        <v>0.3</v>
      </c>
      <c r="X1839">
        <v>0</v>
      </c>
      <c r="Y1839">
        <v>0</v>
      </c>
      <c r="Z1839">
        <v>0</v>
      </c>
      <c r="AA1839" t="s">
        <v>43</v>
      </c>
      <c r="AB1839">
        <v>0.3</v>
      </c>
      <c r="AD1839" t="s">
        <v>3093</v>
      </c>
      <c r="AE1839" t="s">
        <v>3094</v>
      </c>
    </row>
    <row r="1840" spans="1:31" x14ac:dyDescent="0.25">
      <c r="A1840" t="s">
        <v>31</v>
      </c>
      <c r="C1840" t="s">
        <v>11112</v>
      </c>
      <c r="D1840" t="s">
        <v>11118</v>
      </c>
      <c r="E1840" t="s">
        <v>34</v>
      </c>
      <c r="F1840" t="s">
        <v>35</v>
      </c>
      <c r="G1840">
        <v>1999</v>
      </c>
      <c r="H1840" t="s">
        <v>36</v>
      </c>
      <c r="I1840" t="s">
        <v>11119</v>
      </c>
      <c r="J1840" t="s">
        <v>31</v>
      </c>
      <c r="K1840" t="s">
        <v>38</v>
      </c>
      <c r="L1840" t="s">
        <v>1833</v>
      </c>
      <c r="M1840" t="s">
        <v>1834</v>
      </c>
      <c r="N1840" t="s">
        <v>1835</v>
      </c>
      <c r="O1840" t="s">
        <v>8787</v>
      </c>
      <c r="P1840" t="s">
        <v>11115</v>
      </c>
      <c r="Q1840" t="s">
        <v>11120</v>
      </c>
      <c r="T1840">
        <v>45.781065521000002</v>
      </c>
      <c r="U1840">
        <v>-108.51262618600001</v>
      </c>
      <c r="V1840">
        <f>SUM(W1840:X1840)+(Y1840*0.8)+(Z1840*0.4)</f>
        <v>0.3</v>
      </c>
      <c r="W1840">
        <v>0.3</v>
      </c>
      <c r="X1840">
        <v>0</v>
      </c>
      <c r="Y1840">
        <v>0</v>
      </c>
      <c r="Z1840">
        <v>0</v>
      </c>
      <c r="AA1840" t="s">
        <v>43</v>
      </c>
      <c r="AB1840">
        <v>0.29399999999999998</v>
      </c>
      <c r="AD1840" t="s">
        <v>11121</v>
      </c>
      <c r="AE1840" t="s">
        <v>11122</v>
      </c>
    </row>
    <row r="1841" spans="1:31" x14ac:dyDescent="0.25">
      <c r="A1841" t="s">
        <v>31</v>
      </c>
      <c r="C1841" t="s">
        <v>3211</v>
      </c>
      <c r="D1841" t="s">
        <v>3212</v>
      </c>
      <c r="E1841" t="s">
        <v>362</v>
      </c>
      <c r="F1841" t="s">
        <v>381</v>
      </c>
      <c r="G1841">
        <v>1997</v>
      </c>
      <c r="H1841" t="s">
        <v>36</v>
      </c>
      <c r="I1841" t="s">
        <v>3213</v>
      </c>
      <c r="J1841" t="s">
        <v>31</v>
      </c>
      <c r="K1841" t="s">
        <v>38</v>
      </c>
      <c r="L1841" t="s">
        <v>1380</v>
      </c>
      <c r="M1841" t="s">
        <v>1381</v>
      </c>
      <c r="N1841" t="s">
        <v>1419</v>
      </c>
      <c r="O1841" t="s">
        <v>1420</v>
      </c>
      <c r="P1841" t="s">
        <v>3214</v>
      </c>
      <c r="T1841">
        <v>41.296968894000003</v>
      </c>
      <c r="U1841">
        <v>-73.229167873999998</v>
      </c>
      <c r="V1841">
        <f>SUM(W1841:X1841)+(Y1841*0.8)+(Z1841*0.4)</f>
        <v>0.3</v>
      </c>
      <c r="W1841">
        <v>0.3</v>
      </c>
      <c r="X1841">
        <v>0</v>
      </c>
      <c r="Y1841">
        <v>0</v>
      </c>
      <c r="Z1841">
        <v>0</v>
      </c>
      <c r="AA1841" t="s">
        <v>43</v>
      </c>
      <c r="AB1841">
        <v>0.3</v>
      </c>
      <c r="AD1841" t="s">
        <v>3215</v>
      </c>
      <c r="AE1841" t="s">
        <v>3216</v>
      </c>
    </row>
    <row r="1842" spans="1:31" x14ac:dyDescent="0.25">
      <c r="A1842" t="s">
        <v>31</v>
      </c>
      <c r="C1842" t="s">
        <v>3667</v>
      </c>
      <c r="D1842" t="s">
        <v>3674</v>
      </c>
      <c r="E1842" t="s">
        <v>34</v>
      </c>
      <c r="F1842" t="s">
        <v>35</v>
      </c>
      <c r="G1842">
        <v>1994</v>
      </c>
      <c r="H1842" t="s">
        <v>36</v>
      </c>
      <c r="I1842" t="s">
        <v>3675</v>
      </c>
      <c r="J1842" t="s">
        <v>31</v>
      </c>
      <c r="K1842" t="s">
        <v>38</v>
      </c>
      <c r="L1842" t="s">
        <v>68</v>
      </c>
      <c r="M1842" t="s">
        <v>69</v>
      </c>
      <c r="N1842" t="s">
        <v>1951</v>
      </c>
      <c r="O1842" t="s">
        <v>1952</v>
      </c>
      <c r="P1842" t="s">
        <v>3676</v>
      </c>
      <c r="Q1842" t="s">
        <v>3677</v>
      </c>
      <c r="S1842" t="s">
        <v>3678</v>
      </c>
      <c r="T1842">
        <v>29.749287781</v>
      </c>
      <c r="U1842">
        <v>-95.472295266000003</v>
      </c>
      <c r="V1842">
        <f>SUM(W1842:X1842)+(Y1842*0.8)+(Z1842*0.4)</f>
        <v>0.3</v>
      </c>
      <c r="W1842">
        <v>0.3</v>
      </c>
      <c r="X1842">
        <v>0</v>
      </c>
      <c r="Y1842">
        <v>0</v>
      </c>
      <c r="Z1842">
        <v>0</v>
      </c>
      <c r="AA1842" t="s">
        <v>43</v>
      </c>
      <c r="AB1842">
        <v>0.28999999999999998</v>
      </c>
      <c r="AD1842" t="s">
        <v>3679</v>
      </c>
      <c r="AE1842" t="s">
        <v>3680</v>
      </c>
    </row>
    <row r="1843" spans="1:31" x14ac:dyDescent="0.25">
      <c r="A1843" t="s">
        <v>31</v>
      </c>
      <c r="C1843" t="s">
        <v>2915</v>
      </c>
      <c r="D1843" t="s">
        <v>2916</v>
      </c>
      <c r="E1843" t="s">
        <v>362</v>
      </c>
      <c r="F1843" t="s">
        <v>1611</v>
      </c>
      <c r="G1843">
        <v>1990</v>
      </c>
      <c r="H1843" t="s">
        <v>36</v>
      </c>
      <c r="I1843" t="s">
        <v>2917</v>
      </c>
      <c r="J1843" t="s">
        <v>31</v>
      </c>
      <c r="K1843" t="s">
        <v>38</v>
      </c>
      <c r="L1843" t="s">
        <v>172</v>
      </c>
      <c r="M1843" t="s">
        <v>173</v>
      </c>
      <c r="N1843" t="s">
        <v>2918</v>
      </c>
      <c r="O1843" t="s">
        <v>2919</v>
      </c>
      <c r="P1843" t="s">
        <v>2920</v>
      </c>
      <c r="T1843">
        <v>34.402030650999997</v>
      </c>
      <c r="U1843">
        <v>-119.073323515</v>
      </c>
      <c r="V1843">
        <f>SUM(W1843:X1843)+(Y1843*0.8)+(Z1843*0.4)</f>
        <v>0.3</v>
      </c>
      <c r="W1843">
        <v>0.3</v>
      </c>
      <c r="X1843">
        <v>0</v>
      </c>
      <c r="Y1843">
        <v>0</v>
      </c>
      <c r="Z1843">
        <v>0</v>
      </c>
      <c r="AA1843" t="s">
        <v>43</v>
      </c>
      <c r="AB1843">
        <v>0.3</v>
      </c>
      <c r="AD1843" t="s">
        <v>2921</v>
      </c>
      <c r="AE1843" t="s">
        <v>2922</v>
      </c>
    </row>
    <row r="1844" spans="1:31" x14ac:dyDescent="0.25">
      <c r="A1844" t="s">
        <v>31</v>
      </c>
      <c r="C1844" t="s">
        <v>7013</v>
      </c>
      <c r="D1844" t="s">
        <v>7013</v>
      </c>
      <c r="E1844" t="s">
        <v>34</v>
      </c>
      <c r="F1844" t="s">
        <v>35</v>
      </c>
      <c r="G1844">
        <v>2014</v>
      </c>
      <c r="H1844" t="s">
        <v>36</v>
      </c>
      <c r="I1844" t="s">
        <v>7014</v>
      </c>
      <c r="J1844" t="s">
        <v>31</v>
      </c>
      <c r="K1844" t="s">
        <v>38</v>
      </c>
      <c r="L1844" t="s">
        <v>1900</v>
      </c>
      <c r="M1844" t="s">
        <v>1901</v>
      </c>
      <c r="N1844" t="s">
        <v>5058</v>
      </c>
      <c r="O1844" t="s">
        <v>5056</v>
      </c>
      <c r="P1844" t="s">
        <v>7015</v>
      </c>
      <c r="Q1844" t="s">
        <v>7016</v>
      </c>
      <c r="T1844">
        <v>39.097215542000001</v>
      </c>
      <c r="U1844">
        <v>-94.567244232999997</v>
      </c>
      <c r="V1844">
        <f>SUM(W1844:X1844)+(Y1844*0.8)+(Z1844*0.4)</f>
        <v>0.25</v>
      </c>
      <c r="W1844">
        <v>0.25</v>
      </c>
      <c r="X1844">
        <v>0</v>
      </c>
      <c r="Y1844">
        <v>0</v>
      </c>
      <c r="Z1844">
        <v>0</v>
      </c>
      <c r="AA1844" t="s">
        <v>43</v>
      </c>
      <c r="AB1844">
        <v>0.19500000000000001</v>
      </c>
      <c r="AD1844" t="s">
        <v>7017</v>
      </c>
      <c r="AE1844" t="s">
        <v>7018</v>
      </c>
    </row>
    <row r="1845" spans="1:31" x14ac:dyDescent="0.25">
      <c r="A1845" t="s">
        <v>31</v>
      </c>
      <c r="C1845" t="s">
        <v>8180</v>
      </c>
      <c r="D1845" t="s">
        <v>8200</v>
      </c>
      <c r="E1845" t="s">
        <v>34</v>
      </c>
      <c r="F1845" t="s">
        <v>35</v>
      </c>
      <c r="G1845">
        <v>2010</v>
      </c>
      <c r="H1845" t="s">
        <v>36</v>
      </c>
      <c r="I1845" t="s">
        <v>8201</v>
      </c>
      <c r="J1845" t="s">
        <v>31</v>
      </c>
      <c r="K1845" t="s">
        <v>38</v>
      </c>
      <c r="L1845" t="s">
        <v>1465</v>
      </c>
      <c r="M1845" t="s">
        <v>1466</v>
      </c>
      <c r="N1845" t="s">
        <v>8202</v>
      </c>
      <c r="O1845" t="s">
        <v>8203</v>
      </c>
      <c r="P1845" t="s">
        <v>8204</v>
      </c>
      <c r="T1845">
        <v>42.892002390999998</v>
      </c>
      <c r="U1845">
        <v>-97.416511243000002</v>
      </c>
      <c r="V1845">
        <f>SUM(W1845:X1845)+(Y1845*0.8)+(Z1845*0.4)</f>
        <v>0.25</v>
      </c>
      <c r="W1845">
        <v>0.25</v>
      </c>
      <c r="X1845">
        <v>0</v>
      </c>
      <c r="Y1845">
        <v>0</v>
      </c>
      <c r="Z1845">
        <v>0</v>
      </c>
      <c r="AA1845" t="s">
        <v>43</v>
      </c>
      <c r="AB1845">
        <v>0.2</v>
      </c>
      <c r="AD1845" t="s">
        <v>8205</v>
      </c>
      <c r="AE1845" t="s">
        <v>8206</v>
      </c>
    </row>
    <row r="1846" spans="1:31" x14ac:dyDescent="0.25">
      <c r="A1846" t="s">
        <v>31</v>
      </c>
      <c r="C1846" t="s">
        <v>1966</v>
      </c>
      <c r="D1846" t="s">
        <v>1967</v>
      </c>
      <c r="E1846" t="s">
        <v>362</v>
      </c>
      <c r="F1846" t="s">
        <v>381</v>
      </c>
      <c r="G1846">
        <v>2010</v>
      </c>
      <c r="H1846" t="s">
        <v>36</v>
      </c>
      <c r="I1846" t="s">
        <v>1968</v>
      </c>
      <c r="J1846" t="s">
        <v>31</v>
      </c>
      <c r="K1846" t="s">
        <v>38</v>
      </c>
      <c r="L1846" t="s">
        <v>1146</v>
      </c>
      <c r="M1846" t="s">
        <v>1147</v>
      </c>
      <c r="N1846" t="s">
        <v>1144</v>
      </c>
      <c r="O1846" t="s">
        <v>1969</v>
      </c>
      <c r="P1846" t="s">
        <v>1970</v>
      </c>
      <c r="T1846">
        <v>32.415887595999997</v>
      </c>
      <c r="U1846">
        <v>-90.172363962000006</v>
      </c>
      <c r="V1846">
        <f>SUM(W1846:X1846)+(Y1846*0.8)+(Z1846*0.4)</f>
        <v>0.25</v>
      </c>
      <c r="W1846">
        <v>0.25</v>
      </c>
      <c r="X1846">
        <v>0</v>
      </c>
      <c r="Y1846">
        <v>0</v>
      </c>
      <c r="Z1846">
        <v>0</v>
      </c>
      <c r="AA1846" t="s">
        <v>43</v>
      </c>
      <c r="AB1846">
        <v>0.25</v>
      </c>
      <c r="AD1846" t="s">
        <v>1971</v>
      </c>
      <c r="AE1846" t="s">
        <v>1972</v>
      </c>
    </row>
    <row r="1847" spans="1:31" x14ac:dyDescent="0.25">
      <c r="A1847" t="s">
        <v>31</v>
      </c>
      <c r="C1847" t="s">
        <v>8735</v>
      </c>
      <c r="D1847" t="s">
        <v>2694</v>
      </c>
      <c r="E1847" t="s">
        <v>34</v>
      </c>
      <c r="F1847" t="s">
        <v>35</v>
      </c>
      <c r="G1847">
        <v>2001</v>
      </c>
      <c r="H1847" t="s">
        <v>36</v>
      </c>
      <c r="I1847" t="s">
        <v>8736</v>
      </c>
      <c r="J1847" t="s">
        <v>31</v>
      </c>
      <c r="K1847" t="s">
        <v>38</v>
      </c>
      <c r="L1847" t="s">
        <v>843</v>
      </c>
      <c r="M1847" t="s">
        <v>1644</v>
      </c>
      <c r="N1847" t="s">
        <v>2055</v>
      </c>
      <c r="O1847" t="s">
        <v>2694</v>
      </c>
      <c r="P1847" t="s">
        <v>2696</v>
      </c>
      <c r="S1847" t="s">
        <v>2697</v>
      </c>
      <c r="T1847">
        <v>47.253352526999997</v>
      </c>
      <c r="U1847">
        <v>-122.436596431</v>
      </c>
      <c r="V1847">
        <f>SUM(W1847:X1847)+(Y1847*0.8)+(Z1847*0.4)</f>
        <v>0.25</v>
      </c>
      <c r="W1847">
        <v>0.25</v>
      </c>
      <c r="X1847">
        <v>0</v>
      </c>
      <c r="Y1847">
        <v>0</v>
      </c>
      <c r="Z1847">
        <v>0</v>
      </c>
      <c r="AA1847" t="s">
        <v>43</v>
      </c>
      <c r="AB1847">
        <v>0.25</v>
      </c>
      <c r="AD1847" t="s">
        <v>8737</v>
      </c>
      <c r="AE1847" t="s">
        <v>8738</v>
      </c>
    </row>
    <row r="1848" spans="1:31" x14ac:dyDescent="0.25">
      <c r="A1848" t="s">
        <v>31</v>
      </c>
      <c r="C1848" t="s">
        <v>10977</v>
      </c>
      <c r="D1848" t="s">
        <v>2095</v>
      </c>
      <c r="E1848" t="s">
        <v>362</v>
      </c>
      <c r="F1848" t="s">
        <v>1611</v>
      </c>
      <c r="G1848">
        <v>2000</v>
      </c>
      <c r="H1848" t="s">
        <v>36</v>
      </c>
      <c r="I1848" t="s">
        <v>11078</v>
      </c>
      <c r="J1848" t="s">
        <v>31</v>
      </c>
      <c r="K1848" t="s">
        <v>38</v>
      </c>
      <c r="L1848" t="s">
        <v>251</v>
      </c>
      <c r="M1848" t="s">
        <v>252</v>
      </c>
      <c r="N1848" t="s">
        <v>253</v>
      </c>
      <c r="O1848" t="s">
        <v>2095</v>
      </c>
      <c r="P1848" t="s">
        <v>11079</v>
      </c>
      <c r="Q1848" t="s">
        <v>11080</v>
      </c>
      <c r="T1848">
        <v>42.377652396000002</v>
      </c>
      <c r="U1848">
        <v>-71.239032953999995</v>
      </c>
      <c r="V1848">
        <f>SUM(W1848:X1848)+(Y1848*0.8)+(Z1848*0.4)</f>
        <v>0.25</v>
      </c>
      <c r="W1848">
        <v>0.25</v>
      </c>
      <c r="X1848">
        <v>0</v>
      </c>
      <c r="Y1848">
        <v>0</v>
      </c>
      <c r="Z1848">
        <v>0</v>
      </c>
      <c r="AA1848" t="s">
        <v>43</v>
      </c>
      <c r="AB1848">
        <v>0.25</v>
      </c>
      <c r="AD1848" t="s">
        <v>11081</v>
      </c>
      <c r="AE1848" t="s">
        <v>11082</v>
      </c>
    </row>
    <row r="1849" spans="1:31" x14ac:dyDescent="0.25">
      <c r="A1849" t="s">
        <v>31</v>
      </c>
      <c r="C1849" t="s">
        <v>7218</v>
      </c>
      <c r="D1849" t="s">
        <v>7312</v>
      </c>
      <c r="E1849" t="s">
        <v>34</v>
      </c>
      <c r="F1849" t="s">
        <v>35</v>
      </c>
      <c r="G1849">
        <v>2000</v>
      </c>
      <c r="H1849" t="s">
        <v>36</v>
      </c>
      <c r="I1849" t="s">
        <v>7313</v>
      </c>
      <c r="J1849" t="s">
        <v>31</v>
      </c>
      <c r="K1849" t="s">
        <v>38</v>
      </c>
      <c r="L1849" t="s">
        <v>1457</v>
      </c>
      <c r="M1849" t="s">
        <v>1458</v>
      </c>
      <c r="N1849" t="s">
        <v>319</v>
      </c>
      <c r="O1849" t="s">
        <v>7301</v>
      </c>
      <c r="S1849" t="s">
        <v>7314</v>
      </c>
      <c r="T1849">
        <v>36.142771086000003</v>
      </c>
      <c r="U1849">
        <v>-115.077524013</v>
      </c>
      <c r="V1849">
        <f>SUM(W1849:X1849)+(Y1849*0.8)+(Z1849*0.4)</f>
        <v>0.25</v>
      </c>
      <c r="W1849">
        <v>0.25</v>
      </c>
      <c r="X1849">
        <v>0</v>
      </c>
      <c r="Y1849">
        <v>0</v>
      </c>
      <c r="Z1849">
        <v>0</v>
      </c>
      <c r="AA1849" t="s">
        <v>43</v>
      </c>
      <c r="AB1849">
        <v>0.25</v>
      </c>
      <c r="AD1849" t="s">
        <v>7315</v>
      </c>
      <c r="AE1849" t="s">
        <v>7316</v>
      </c>
    </row>
    <row r="1850" spans="1:31" x14ac:dyDescent="0.25">
      <c r="A1850" t="s">
        <v>31</v>
      </c>
      <c r="C1850" t="s">
        <v>2684</v>
      </c>
      <c r="D1850" t="s">
        <v>2690</v>
      </c>
      <c r="E1850" t="s">
        <v>34</v>
      </c>
      <c r="F1850" t="s">
        <v>35</v>
      </c>
      <c r="G1850">
        <v>2000</v>
      </c>
      <c r="H1850" t="s">
        <v>36</v>
      </c>
      <c r="I1850" t="s">
        <v>2691</v>
      </c>
      <c r="J1850" t="s">
        <v>31</v>
      </c>
      <c r="K1850" t="s">
        <v>38</v>
      </c>
      <c r="L1850" t="s">
        <v>843</v>
      </c>
      <c r="M1850" t="s">
        <v>1644</v>
      </c>
      <c r="N1850" t="s">
        <v>2232</v>
      </c>
      <c r="O1850" t="s">
        <v>2690</v>
      </c>
      <c r="P1850" t="s">
        <v>2687</v>
      </c>
      <c r="T1850">
        <v>47.632489</v>
      </c>
      <c r="U1850">
        <v>-122.13851200000001</v>
      </c>
      <c r="V1850">
        <f>SUM(W1850:X1850)+(Y1850*0.8)+(Z1850*0.4)</f>
        <v>0.25</v>
      </c>
      <c r="W1850">
        <v>0.25</v>
      </c>
      <c r="X1850">
        <v>0</v>
      </c>
      <c r="Y1850">
        <v>0</v>
      </c>
      <c r="Z1850">
        <v>0</v>
      </c>
      <c r="AA1850" t="s">
        <v>43</v>
      </c>
      <c r="AB1850">
        <v>0.25</v>
      </c>
      <c r="AD1850" t="s">
        <v>2692</v>
      </c>
      <c r="AE1850" t="s">
        <v>2693</v>
      </c>
    </row>
    <row r="1851" spans="1:31" x14ac:dyDescent="0.25">
      <c r="A1851" t="s">
        <v>31</v>
      </c>
      <c r="C1851" t="s">
        <v>8498</v>
      </c>
      <c r="D1851" t="s">
        <v>8499</v>
      </c>
      <c r="E1851" t="s">
        <v>34</v>
      </c>
      <c r="F1851" t="s">
        <v>35</v>
      </c>
      <c r="G1851">
        <v>1995</v>
      </c>
      <c r="H1851" t="s">
        <v>36</v>
      </c>
      <c r="I1851" t="s">
        <v>8500</v>
      </c>
      <c r="J1851" t="s">
        <v>31</v>
      </c>
      <c r="K1851" t="s">
        <v>38</v>
      </c>
      <c r="L1851" t="s">
        <v>123</v>
      </c>
      <c r="M1851" t="s">
        <v>124</v>
      </c>
      <c r="N1851" t="s">
        <v>8501</v>
      </c>
      <c r="O1851" t="s">
        <v>8502</v>
      </c>
      <c r="P1851" t="s">
        <v>8503</v>
      </c>
      <c r="Q1851" t="s">
        <v>8502</v>
      </c>
      <c r="T1851">
        <v>43.057569864000001</v>
      </c>
      <c r="U1851">
        <v>-76.157354935000001</v>
      </c>
      <c r="V1851">
        <f>SUM(W1851:X1851)+(Y1851*0.8)+(Z1851*0.4)</f>
        <v>0.25</v>
      </c>
      <c r="W1851">
        <v>0.25</v>
      </c>
      <c r="X1851">
        <v>0</v>
      </c>
      <c r="Y1851">
        <v>0</v>
      </c>
      <c r="Z1851">
        <v>0</v>
      </c>
      <c r="AA1851" t="s">
        <v>43</v>
      </c>
      <c r="AB1851">
        <v>0.24199999999999999</v>
      </c>
      <c r="AD1851" t="s">
        <v>8504</v>
      </c>
      <c r="AE1851" t="s">
        <v>8505</v>
      </c>
    </row>
    <row r="1852" spans="1:31" x14ac:dyDescent="0.25">
      <c r="A1852" t="s">
        <v>31</v>
      </c>
      <c r="C1852" t="s">
        <v>3230</v>
      </c>
      <c r="D1852" t="s">
        <v>3268</v>
      </c>
      <c r="E1852" t="s">
        <v>34</v>
      </c>
      <c r="F1852" t="s">
        <v>35</v>
      </c>
      <c r="G1852">
        <v>1994</v>
      </c>
      <c r="H1852" t="s">
        <v>36</v>
      </c>
      <c r="I1852" t="s">
        <v>3269</v>
      </c>
      <c r="J1852" t="s">
        <v>31</v>
      </c>
      <c r="K1852" t="s">
        <v>38</v>
      </c>
      <c r="L1852" t="s">
        <v>1380</v>
      </c>
      <c r="M1852" t="s">
        <v>1381</v>
      </c>
      <c r="N1852" t="s">
        <v>1382</v>
      </c>
      <c r="O1852" t="s">
        <v>1383</v>
      </c>
      <c r="P1852" t="s">
        <v>3270</v>
      </c>
      <c r="Q1852" t="s">
        <v>1383</v>
      </c>
      <c r="T1852">
        <v>41.054370589000001</v>
      </c>
      <c r="U1852">
        <v>-73.537598243000005</v>
      </c>
      <c r="V1852">
        <f>SUM(W1852:X1852)+(Y1852*0.8)+(Z1852*0.4)</f>
        <v>0.25</v>
      </c>
      <c r="W1852">
        <v>0.25</v>
      </c>
      <c r="X1852">
        <v>0</v>
      </c>
      <c r="Y1852">
        <v>0</v>
      </c>
      <c r="Z1852">
        <v>0</v>
      </c>
      <c r="AA1852" t="s">
        <v>43</v>
      </c>
      <c r="AB1852">
        <v>0.22</v>
      </c>
      <c r="AD1852" t="s">
        <v>3271</v>
      </c>
      <c r="AE1852" t="s">
        <v>3272</v>
      </c>
    </row>
    <row r="1853" spans="1:31" x14ac:dyDescent="0.25">
      <c r="A1853" t="s">
        <v>31</v>
      </c>
      <c r="C1853" t="s">
        <v>2387</v>
      </c>
      <c r="D1853" t="s">
        <v>2394</v>
      </c>
      <c r="E1853" t="s">
        <v>362</v>
      </c>
      <c r="F1853" t="s">
        <v>1611</v>
      </c>
      <c r="G1853">
        <v>1994</v>
      </c>
      <c r="H1853" t="s">
        <v>36</v>
      </c>
      <c r="I1853" t="s">
        <v>2395</v>
      </c>
      <c r="J1853" t="s">
        <v>31</v>
      </c>
      <c r="K1853" t="s">
        <v>38</v>
      </c>
      <c r="L1853" t="s">
        <v>383</v>
      </c>
      <c r="M1853" t="s">
        <v>384</v>
      </c>
      <c r="N1853" t="s">
        <v>1319</v>
      </c>
      <c r="O1853" t="s">
        <v>2396</v>
      </c>
      <c r="P1853" t="s">
        <v>2397</v>
      </c>
      <c r="T1853">
        <v>36.069991375999997</v>
      </c>
      <c r="U1853">
        <v>-79.790228119999995</v>
      </c>
      <c r="V1853">
        <f>SUM(W1853:X1853)+(Y1853*0.8)+(Z1853*0.4)</f>
        <v>0.25</v>
      </c>
      <c r="W1853">
        <v>0.25</v>
      </c>
      <c r="X1853">
        <v>0</v>
      </c>
      <c r="Y1853">
        <v>0</v>
      </c>
      <c r="Z1853">
        <v>0</v>
      </c>
      <c r="AA1853" t="s">
        <v>43</v>
      </c>
      <c r="AB1853">
        <v>0.25</v>
      </c>
      <c r="AD1853" t="s">
        <v>2398</v>
      </c>
      <c r="AE1853" t="s">
        <v>2399</v>
      </c>
    </row>
    <row r="1854" spans="1:31" x14ac:dyDescent="0.25">
      <c r="A1854" t="s">
        <v>31</v>
      </c>
      <c r="C1854" t="s">
        <v>8478</v>
      </c>
      <c r="D1854" t="s">
        <v>8479</v>
      </c>
      <c r="E1854" t="s">
        <v>34</v>
      </c>
      <c r="F1854" t="s">
        <v>35</v>
      </c>
      <c r="G1854">
        <v>2009</v>
      </c>
      <c r="H1854" t="s">
        <v>36</v>
      </c>
      <c r="I1854" t="s">
        <v>8480</v>
      </c>
      <c r="J1854" t="s">
        <v>31</v>
      </c>
      <c r="K1854" t="s">
        <v>38</v>
      </c>
      <c r="L1854" t="s">
        <v>1833</v>
      </c>
      <c r="M1854" t="s">
        <v>1834</v>
      </c>
      <c r="N1854" t="s">
        <v>8481</v>
      </c>
      <c r="O1854" t="s">
        <v>8482</v>
      </c>
      <c r="P1854" t="s">
        <v>8483</v>
      </c>
      <c r="T1854">
        <v>47.505617061000002</v>
      </c>
      <c r="U1854">
        <v>-111.299836165</v>
      </c>
      <c r="V1854">
        <f>SUM(W1854:X1854)+(Y1854*0.8)+(Z1854*0.4)</f>
        <v>0.24</v>
      </c>
      <c r="W1854">
        <v>0.24</v>
      </c>
      <c r="X1854">
        <v>0</v>
      </c>
      <c r="Y1854">
        <v>0</v>
      </c>
      <c r="Z1854">
        <v>0</v>
      </c>
      <c r="AA1854" t="s">
        <v>43</v>
      </c>
      <c r="AB1854">
        <v>0.23200000000000001</v>
      </c>
      <c r="AD1854" t="s">
        <v>8484</v>
      </c>
      <c r="AE1854" t="s">
        <v>8485</v>
      </c>
    </row>
    <row r="1855" spans="1:31" x14ac:dyDescent="0.25">
      <c r="A1855" t="s">
        <v>31</v>
      </c>
      <c r="C1855" t="s">
        <v>7028</v>
      </c>
      <c r="D1855" t="s">
        <v>7029</v>
      </c>
      <c r="E1855" t="s">
        <v>34</v>
      </c>
      <c r="F1855" t="s">
        <v>35</v>
      </c>
      <c r="G1855">
        <v>2009</v>
      </c>
      <c r="H1855" t="s">
        <v>36</v>
      </c>
      <c r="I1855" t="s">
        <v>7030</v>
      </c>
      <c r="J1855" t="s">
        <v>31</v>
      </c>
      <c r="K1855" t="s">
        <v>38</v>
      </c>
      <c r="L1855" t="s">
        <v>1833</v>
      </c>
      <c r="M1855" t="s">
        <v>1834</v>
      </c>
      <c r="N1855" t="s">
        <v>7031</v>
      </c>
      <c r="O1855" t="s">
        <v>7032</v>
      </c>
      <c r="P1855" t="s">
        <v>7033</v>
      </c>
      <c r="Q1855" t="s">
        <v>7034</v>
      </c>
      <c r="T1855">
        <v>45.680659792</v>
      </c>
      <c r="U1855">
        <v>-111.035356459</v>
      </c>
      <c r="V1855">
        <f>SUM(W1855:X1855)+(Y1855*0.8)+(Z1855*0.4)</f>
        <v>0.24</v>
      </c>
      <c r="W1855">
        <v>0.24</v>
      </c>
      <c r="X1855">
        <v>0</v>
      </c>
      <c r="Y1855">
        <v>0</v>
      </c>
      <c r="Z1855">
        <v>0</v>
      </c>
      <c r="AA1855" t="s">
        <v>43</v>
      </c>
      <c r="AB1855">
        <v>0.23599999999999999</v>
      </c>
      <c r="AD1855" t="s">
        <v>7035</v>
      </c>
      <c r="AE1855" t="s">
        <v>7036</v>
      </c>
    </row>
    <row r="1856" spans="1:31" x14ac:dyDescent="0.25">
      <c r="A1856" t="s">
        <v>31</v>
      </c>
      <c r="C1856" t="s">
        <v>7218</v>
      </c>
      <c r="D1856" t="s">
        <v>7219</v>
      </c>
      <c r="E1856" t="s">
        <v>362</v>
      </c>
      <c r="F1856" t="s">
        <v>1611</v>
      </c>
      <c r="G1856">
        <v>2000</v>
      </c>
      <c r="H1856" t="s">
        <v>36</v>
      </c>
      <c r="I1856" t="s">
        <v>7220</v>
      </c>
      <c r="J1856" t="s">
        <v>31</v>
      </c>
      <c r="K1856" t="s">
        <v>38</v>
      </c>
      <c r="L1856" t="s">
        <v>1457</v>
      </c>
      <c r="M1856" t="s">
        <v>1458</v>
      </c>
      <c r="N1856" t="s">
        <v>319</v>
      </c>
      <c r="O1856" t="s">
        <v>5843</v>
      </c>
      <c r="S1856" t="s">
        <v>7221</v>
      </c>
      <c r="T1856">
        <v>36.236613022</v>
      </c>
      <c r="U1856">
        <v>-115.117281842</v>
      </c>
      <c r="V1856">
        <f>SUM(W1856:X1856)+(Y1856*0.8)+(Z1856*0.4)</f>
        <v>0.23200000000000001</v>
      </c>
      <c r="W1856">
        <v>0.23200000000000001</v>
      </c>
      <c r="X1856">
        <v>0</v>
      </c>
      <c r="Y1856">
        <v>0</v>
      </c>
      <c r="Z1856">
        <v>0</v>
      </c>
      <c r="AA1856" t="s">
        <v>43</v>
      </c>
      <c r="AB1856">
        <v>0.23200000000000001</v>
      </c>
      <c r="AD1856" t="s">
        <v>7222</v>
      </c>
      <c r="AE1856" t="s">
        <v>7223</v>
      </c>
    </row>
    <row r="1857" spans="1:31" x14ac:dyDescent="0.25">
      <c r="A1857" t="s">
        <v>31</v>
      </c>
      <c r="C1857" t="s">
        <v>8872</v>
      </c>
      <c r="D1857" t="s">
        <v>8873</v>
      </c>
      <c r="E1857" t="s">
        <v>34</v>
      </c>
      <c r="F1857" t="s">
        <v>35</v>
      </c>
      <c r="G1857">
        <v>2008</v>
      </c>
      <c r="H1857" t="s">
        <v>36</v>
      </c>
      <c r="I1857" t="s">
        <v>8874</v>
      </c>
      <c r="J1857" t="s">
        <v>31</v>
      </c>
      <c r="K1857" t="s">
        <v>38</v>
      </c>
      <c r="L1857" t="s">
        <v>2263</v>
      </c>
      <c r="M1857" t="s">
        <v>2264</v>
      </c>
      <c r="N1857" t="s">
        <v>5494</v>
      </c>
      <c r="O1857" t="s">
        <v>8875</v>
      </c>
      <c r="P1857" t="s">
        <v>8876</v>
      </c>
      <c r="Q1857" t="s">
        <v>8875</v>
      </c>
      <c r="T1857">
        <v>46.681464871999999</v>
      </c>
      <c r="U1857">
        <v>-68.015102826000003</v>
      </c>
      <c r="V1857">
        <f>SUM(W1857:X1857)+(Y1857*0.8)+(Z1857*0.4)</f>
        <v>0.23</v>
      </c>
      <c r="W1857">
        <v>0.23</v>
      </c>
      <c r="X1857">
        <v>0</v>
      </c>
      <c r="Y1857">
        <v>0</v>
      </c>
      <c r="Z1857">
        <v>0</v>
      </c>
      <c r="AA1857" t="s">
        <v>43</v>
      </c>
      <c r="AB1857">
        <v>0</v>
      </c>
      <c r="AD1857" t="s">
        <v>8877</v>
      </c>
      <c r="AE1857" t="s">
        <v>8878</v>
      </c>
    </row>
    <row r="1858" spans="1:31" x14ac:dyDescent="0.25">
      <c r="A1858" t="s">
        <v>31</v>
      </c>
      <c r="C1858" t="s">
        <v>2301</v>
      </c>
      <c r="D1858" t="s">
        <v>2345</v>
      </c>
      <c r="E1858" t="s">
        <v>34</v>
      </c>
      <c r="F1858" t="s">
        <v>35</v>
      </c>
      <c r="G1858">
        <v>2004</v>
      </c>
      <c r="H1858" t="s">
        <v>36</v>
      </c>
      <c r="I1858" t="s">
        <v>2346</v>
      </c>
      <c r="J1858" t="s">
        <v>31</v>
      </c>
      <c r="K1858" t="s">
        <v>38</v>
      </c>
      <c r="L1858" t="s">
        <v>133</v>
      </c>
      <c r="M1858" t="s">
        <v>134</v>
      </c>
      <c r="N1858" t="s">
        <v>2347</v>
      </c>
      <c r="O1858" t="s">
        <v>2348</v>
      </c>
      <c r="P1858" t="s">
        <v>2349</v>
      </c>
      <c r="T1858">
        <v>43.247707617000003</v>
      </c>
      <c r="U1858">
        <v>-124.38386926</v>
      </c>
      <c r="V1858">
        <f>SUM(W1858:X1858)+(Y1858*0.8)+(Z1858*0.4)</f>
        <v>0.22</v>
      </c>
      <c r="W1858">
        <v>0.22</v>
      </c>
      <c r="X1858">
        <v>0</v>
      </c>
      <c r="Y1858">
        <v>0</v>
      </c>
      <c r="Z1858">
        <v>0</v>
      </c>
      <c r="AA1858" t="s">
        <v>43</v>
      </c>
      <c r="AB1858">
        <v>0.22</v>
      </c>
      <c r="AD1858" t="s">
        <v>2350</v>
      </c>
      <c r="AE1858" t="s">
        <v>2351</v>
      </c>
    </row>
    <row r="1859" spans="1:31" x14ac:dyDescent="0.25">
      <c r="A1859" t="s">
        <v>31</v>
      </c>
      <c r="C1859" t="s">
        <v>5538</v>
      </c>
      <c r="D1859" t="s">
        <v>5539</v>
      </c>
      <c r="E1859" t="s">
        <v>34</v>
      </c>
      <c r="F1859" t="s">
        <v>35</v>
      </c>
      <c r="G1859">
        <v>2021</v>
      </c>
      <c r="H1859" t="s">
        <v>36</v>
      </c>
      <c r="I1859" t="s">
        <v>5540</v>
      </c>
      <c r="J1859" t="s">
        <v>31</v>
      </c>
      <c r="K1859" t="s">
        <v>38</v>
      </c>
      <c r="L1859" t="s">
        <v>123</v>
      </c>
      <c r="M1859" t="s">
        <v>124</v>
      </c>
      <c r="N1859" t="s">
        <v>270</v>
      </c>
      <c r="O1859" t="s">
        <v>123</v>
      </c>
      <c r="P1859" t="s">
        <v>3117</v>
      </c>
      <c r="Q1859" t="s">
        <v>272</v>
      </c>
      <c r="S1859" t="s">
        <v>273</v>
      </c>
      <c r="T1859">
        <v>40.717720999999997</v>
      </c>
      <c r="U1859">
        <v>-74.010099999999994</v>
      </c>
      <c r="V1859">
        <f>SUM(W1859:X1859)+(Y1859*0.8)+(Z1859*0.4)</f>
        <v>0.21</v>
      </c>
      <c r="W1859">
        <v>0.21</v>
      </c>
      <c r="X1859">
        <v>0</v>
      </c>
      <c r="Y1859">
        <v>0</v>
      </c>
      <c r="Z1859">
        <v>0</v>
      </c>
      <c r="AA1859" t="s">
        <v>43</v>
      </c>
      <c r="AB1859">
        <v>0.19</v>
      </c>
      <c r="AD1859" t="s">
        <v>5541</v>
      </c>
      <c r="AE1859" t="s">
        <v>5542</v>
      </c>
    </row>
    <row r="1860" spans="1:31" x14ac:dyDescent="0.25">
      <c r="A1860" t="s">
        <v>31</v>
      </c>
      <c r="C1860" t="s">
        <v>10102</v>
      </c>
      <c r="D1860" t="s">
        <v>10140</v>
      </c>
      <c r="E1860" t="s">
        <v>34</v>
      </c>
      <c r="F1860" t="s">
        <v>35</v>
      </c>
      <c r="G1860">
        <v>2002</v>
      </c>
      <c r="H1860" t="s">
        <v>36</v>
      </c>
      <c r="I1860" t="s">
        <v>10141</v>
      </c>
      <c r="J1860" t="s">
        <v>31</v>
      </c>
      <c r="K1860" t="s">
        <v>38</v>
      </c>
      <c r="L1860" t="s">
        <v>1457</v>
      </c>
      <c r="M1860" t="s">
        <v>1458</v>
      </c>
      <c r="N1860" t="s">
        <v>319</v>
      </c>
      <c r="O1860" t="s">
        <v>7301</v>
      </c>
      <c r="S1860" t="s">
        <v>7314</v>
      </c>
      <c r="T1860">
        <v>36.142743132</v>
      </c>
      <c r="U1860">
        <v>-115.07672412700001</v>
      </c>
      <c r="V1860">
        <f>SUM(W1860:X1860)+(Y1860*0.8)+(Z1860*0.4)</f>
        <v>0.20699999999999999</v>
      </c>
      <c r="W1860">
        <v>0.20699999999999999</v>
      </c>
      <c r="X1860">
        <v>0</v>
      </c>
      <c r="Y1860">
        <v>0</v>
      </c>
      <c r="Z1860">
        <v>0</v>
      </c>
      <c r="AA1860" t="s">
        <v>43</v>
      </c>
      <c r="AB1860">
        <v>0.20699999999999999</v>
      </c>
      <c r="AD1860" t="s">
        <v>10142</v>
      </c>
      <c r="AE1860" t="s">
        <v>10143</v>
      </c>
    </row>
    <row r="1861" spans="1:31" x14ac:dyDescent="0.25">
      <c r="A1861" t="s">
        <v>31</v>
      </c>
      <c r="C1861" t="s">
        <v>9872</v>
      </c>
      <c r="D1861" t="s">
        <v>9873</v>
      </c>
      <c r="E1861" t="s">
        <v>362</v>
      </c>
      <c r="F1861" t="s">
        <v>4135</v>
      </c>
      <c r="G1861">
        <v>2025</v>
      </c>
      <c r="H1861" t="s">
        <v>36</v>
      </c>
      <c r="I1861" t="s">
        <v>9874</v>
      </c>
      <c r="J1861" t="s">
        <v>31</v>
      </c>
      <c r="K1861" t="s">
        <v>38</v>
      </c>
      <c r="L1861" t="s">
        <v>828</v>
      </c>
      <c r="M1861" t="s">
        <v>829</v>
      </c>
      <c r="N1861" t="s">
        <v>2769</v>
      </c>
      <c r="O1861" t="s">
        <v>9875</v>
      </c>
      <c r="P1861" t="s">
        <v>9876</v>
      </c>
      <c r="Q1861" t="s">
        <v>9877</v>
      </c>
      <c r="T1861">
        <v>44.939532753999998</v>
      </c>
      <c r="U1861">
        <v>-93.361454776000002</v>
      </c>
      <c r="V1861">
        <f>SUM(W1861:X1861)+(Y1861*0.8)+(Z1861*0.4)</f>
        <v>0.2</v>
      </c>
      <c r="W1861">
        <v>0.2</v>
      </c>
      <c r="X1861">
        <v>0</v>
      </c>
      <c r="Y1861">
        <v>0</v>
      </c>
      <c r="Z1861">
        <v>0</v>
      </c>
      <c r="AA1861" t="s">
        <v>43</v>
      </c>
      <c r="AB1861">
        <v>0.2</v>
      </c>
      <c r="AD1861" t="s">
        <v>9878</v>
      </c>
      <c r="AE1861" t="s">
        <v>9879</v>
      </c>
    </row>
    <row r="1862" spans="1:31" x14ac:dyDescent="0.25">
      <c r="A1862" t="s">
        <v>31</v>
      </c>
      <c r="C1862" t="s">
        <v>4778</v>
      </c>
      <c r="D1862" t="s">
        <v>4779</v>
      </c>
      <c r="E1862" t="s">
        <v>34</v>
      </c>
      <c r="F1862" t="s">
        <v>35</v>
      </c>
      <c r="G1862">
        <v>2023</v>
      </c>
      <c r="H1862" t="s">
        <v>36</v>
      </c>
      <c r="I1862" t="s">
        <v>4780</v>
      </c>
      <c r="J1862" t="s">
        <v>31</v>
      </c>
      <c r="K1862" t="s">
        <v>38</v>
      </c>
      <c r="L1862" t="s">
        <v>172</v>
      </c>
      <c r="M1862" t="s">
        <v>173</v>
      </c>
      <c r="N1862" t="s">
        <v>493</v>
      </c>
      <c r="O1862" t="s">
        <v>494</v>
      </c>
      <c r="P1862" t="s">
        <v>4781</v>
      </c>
      <c r="S1862" t="s">
        <v>138</v>
      </c>
      <c r="T1862">
        <v>34.049253098000001</v>
      </c>
      <c r="U1862">
        <v>-118.25701854499999</v>
      </c>
      <c r="V1862">
        <f>SUM(W1862:X1862)+(Y1862*0.8)+(Z1862*0.4)</f>
        <v>0.2</v>
      </c>
      <c r="W1862">
        <v>0</v>
      </c>
      <c r="X1862">
        <v>0.2</v>
      </c>
      <c r="Y1862">
        <v>0</v>
      </c>
      <c r="Z1862">
        <v>0</v>
      </c>
      <c r="AA1862" t="s">
        <v>43</v>
      </c>
      <c r="AB1862">
        <v>0.15</v>
      </c>
      <c r="AC1862">
        <v>1.1000000000000001</v>
      </c>
      <c r="AD1862" t="s">
        <v>4782</v>
      </c>
      <c r="AE1862" t="s">
        <v>4783</v>
      </c>
    </row>
    <row r="1863" spans="1:31" x14ac:dyDescent="0.25">
      <c r="A1863" t="s">
        <v>31</v>
      </c>
      <c r="C1863" t="s">
        <v>10186</v>
      </c>
      <c r="D1863" t="s">
        <v>10197</v>
      </c>
      <c r="E1863" t="s">
        <v>362</v>
      </c>
      <c r="F1863" t="s">
        <v>381</v>
      </c>
      <c r="G1863">
        <v>2014</v>
      </c>
      <c r="H1863" t="s">
        <v>36</v>
      </c>
      <c r="I1863" t="s">
        <v>10198</v>
      </c>
      <c r="J1863" t="s">
        <v>31</v>
      </c>
      <c r="K1863" t="s">
        <v>38</v>
      </c>
      <c r="L1863" t="s">
        <v>172</v>
      </c>
      <c r="M1863" t="s">
        <v>173</v>
      </c>
      <c r="N1863" t="s">
        <v>9401</v>
      </c>
      <c r="O1863" t="s">
        <v>9402</v>
      </c>
      <c r="P1863" t="s">
        <v>10199</v>
      </c>
      <c r="T1863">
        <v>38.743392473999997</v>
      </c>
      <c r="U1863">
        <v>-121.234117729</v>
      </c>
      <c r="V1863">
        <f>SUM(W1863:X1863)+(Y1863*0.8)+(Z1863*0.4)</f>
        <v>0.2</v>
      </c>
      <c r="W1863">
        <v>0.2</v>
      </c>
      <c r="X1863">
        <v>0</v>
      </c>
      <c r="Y1863">
        <v>0</v>
      </c>
      <c r="Z1863">
        <v>0</v>
      </c>
      <c r="AA1863" t="s">
        <v>43</v>
      </c>
      <c r="AB1863">
        <v>0.2</v>
      </c>
      <c r="AD1863" t="s">
        <v>10200</v>
      </c>
      <c r="AE1863" t="s">
        <v>10201</v>
      </c>
    </row>
    <row r="1864" spans="1:31" x14ac:dyDescent="0.25">
      <c r="A1864" t="s">
        <v>31</v>
      </c>
      <c r="C1864" t="s">
        <v>8937</v>
      </c>
      <c r="D1864" t="s">
        <v>8937</v>
      </c>
      <c r="E1864" t="s">
        <v>362</v>
      </c>
      <c r="F1864" t="s">
        <v>1611</v>
      </c>
      <c r="G1864">
        <v>2014</v>
      </c>
      <c r="H1864" t="s">
        <v>36</v>
      </c>
      <c r="I1864" t="s">
        <v>8938</v>
      </c>
      <c r="J1864" t="s">
        <v>31</v>
      </c>
      <c r="K1864" t="s">
        <v>38</v>
      </c>
      <c r="L1864" t="s">
        <v>123</v>
      </c>
      <c r="M1864" t="s">
        <v>124</v>
      </c>
      <c r="N1864" t="s">
        <v>229</v>
      </c>
      <c r="O1864" t="s">
        <v>8939</v>
      </c>
      <c r="P1864" t="s">
        <v>8940</v>
      </c>
      <c r="T1864">
        <v>40.787995412000001</v>
      </c>
      <c r="U1864">
        <v>-73.126748022000001</v>
      </c>
      <c r="V1864">
        <f>SUM(W1864:X1864)+(Y1864*0.8)+(Z1864*0.4)</f>
        <v>0.2</v>
      </c>
      <c r="W1864">
        <v>0.2</v>
      </c>
      <c r="X1864">
        <v>0</v>
      </c>
      <c r="Y1864">
        <v>0</v>
      </c>
      <c r="Z1864">
        <v>0</v>
      </c>
      <c r="AA1864" t="s">
        <v>43</v>
      </c>
      <c r="AB1864">
        <v>0.2</v>
      </c>
      <c r="AD1864" t="s">
        <v>8941</v>
      </c>
      <c r="AE1864" t="s">
        <v>8942</v>
      </c>
    </row>
    <row r="1865" spans="1:31" x14ac:dyDescent="0.25">
      <c r="A1865" t="s">
        <v>31</v>
      </c>
      <c r="C1865" t="s">
        <v>5765</v>
      </c>
      <c r="D1865" t="s">
        <v>5915</v>
      </c>
      <c r="E1865" t="s">
        <v>34</v>
      </c>
      <c r="F1865" t="s">
        <v>35</v>
      </c>
      <c r="G1865">
        <v>2013</v>
      </c>
      <c r="H1865" t="s">
        <v>36</v>
      </c>
      <c r="I1865" t="s">
        <v>5916</v>
      </c>
      <c r="J1865" t="s">
        <v>31</v>
      </c>
      <c r="K1865" t="s">
        <v>38</v>
      </c>
      <c r="L1865" t="s">
        <v>620</v>
      </c>
      <c r="M1865" t="s">
        <v>621</v>
      </c>
      <c r="N1865" t="s">
        <v>5917</v>
      </c>
      <c r="O1865" t="s">
        <v>5918</v>
      </c>
      <c r="P1865" t="s">
        <v>5919</v>
      </c>
      <c r="T1865">
        <v>40.332523762000001</v>
      </c>
      <c r="U1865">
        <v>-111.72797009</v>
      </c>
      <c r="V1865">
        <f>SUM(W1865:X1865)+(Y1865*0.8)+(Z1865*0.4)</f>
        <v>0.2</v>
      </c>
      <c r="W1865">
        <v>0.2</v>
      </c>
      <c r="X1865">
        <v>0</v>
      </c>
      <c r="Y1865">
        <v>0</v>
      </c>
      <c r="Z1865">
        <v>0</v>
      </c>
      <c r="AA1865" t="s">
        <v>43</v>
      </c>
      <c r="AB1865">
        <v>0.2</v>
      </c>
      <c r="AC1865">
        <v>2</v>
      </c>
      <c r="AD1865" t="s">
        <v>5920</v>
      </c>
      <c r="AE1865" t="s">
        <v>5921</v>
      </c>
    </row>
    <row r="1866" spans="1:31" x14ac:dyDescent="0.25">
      <c r="A1866" t="s">
        <v>31</v>
      </c>
      <c r="C1866" t="s">
        <v>1956</v>
      </c>
      <c r="D1866" t="s">
        <v>1957</v>
      </c>
      <c r="E1866" t="s">
        <v>362</v>
      </c>
      <c r="F1866" t="s">
        <v>381</v>
      </c>
      <c r="G1866">
        <v>2013</v>
      </c>
      <c r="H1866" t="s">
        <v>36</v>
      </c>
      <c r="I1866" t="s">
        <v>1958</v>
      </c>
      <c r="J1866" t="s">
        <v>31</v>
      </c>
      <c r="K1866" t="s">
        <v>38</v>
      </c>
      <c r="L1866" t="s">
        <v>1959</v>
      </c>
      <c r="M1866" t="s">
        <v>1960</v>
      </c>
      <c r="N1866" t="s">
        <v>1961</v>
      </c>
      <c r="O1866" t="s">
        <v>1962</v>
      </c>
      <c r="P1866" t="s">
        <v>1963</v>
      </c>
      <c r="T1866">
        <v>36.387669514999999</v>
      </c>
      <c r="U1866">
        <v>-105.588018805</v>
      </c>
      <c r="V1866">
        <f>SUM(W1866:X1866)+(Y1866*0.8)+(Z1866*0.4)</f>
        <v>0.2</v>
      </c>
      <c r="W1866">
        <v>0.2</v>
      </c>
      <c r="X1866">
        <v>0</v>
      </c>
      <c r="Y1866">
        <v>0</v>
      </c>
      <c r="Z1866">
        <v>0</v>
      </c>
      <c r="AA1866" t="s">
        <v>43</v>
      </c>
      <c r="AB1866">
        <v>0.2</v>
      </c>
      <c r="AC1866">
        <v>1.1499999999999999</v>
      </c>
      <c r="AD1866" t="s">
        <v>1964</v>
      </c>
      <c r="AE1866" t="s">
        <v>1965</v>
      </c>
    </row>
    <row r="1867" spans="1:31" x14ac:dyDescent="0.25">
      <c r="A1867" t="s">
        <v>31</v>
      </c>
      <c r="C1867" t="s">
        <v>10977</v>
      </c>
      <c r="D1867" t="s">
        <v>11007</v>
      </c>
      <c r="E1867" t="s">
        <v>362</v>
      </c>
      <c r="F1867" t="s">
        <v>1611</v>
      </c>
      <c r="G1867">
        <v>2012</v>
      </c>
      <c r="H1867" t="s">
        <v>36</v>
      </c>
      <c r="I1867" t="s">
        <v>11008</v>
      </c>
      <c r="J1867" t="s">
        <v>31</v>
      </c>
      <c r="K1867" t="s">
        <v>38</v>
      </c>
      <c r="L1867" t="s">
        <v>251</v>
      </c>
      <c r="M1867" t="s">
        <v>252</v>
      </c>
      <c r="N1867" t="s">
        <v>11009</v>
      </c>
      <c r="O1867" t="s">
        <v>11010</v>
      </c>
      <c r="P1867" t="s">
        <v>11011</v>
      </c>
      <c r="T1867">
        <v>41.946115831</v>
      </c>
      <c r="U1867">
        <v>-71.283200668999996</v>
      </c>
      <c r="V1867">
        <f>SUM(W1867:X1867)+(Y1867*0.8)+(Z1867*0.4)</f>
        <v>0.2</v>
      </c>
      <c r="W1867">
        <v>0.2</v>
      </c>
      <c r="X1867">
        <v>0</v>
      </c>
      <c r="Y1867">
        <v>0</v>
      </c>
      <c r="Z1867">
        <v>0</v>
      </c>
      <c r="AA1867" t="s">
        <v>43</v>
      </c>
      <c r="AB1867">
        <v>0.2</v>
      </c>
      <c r="AD1867" t="s">
        <v>11012</v>
      </c>
      <c r="AE1867" t="s">
        <v>11013</v>
      </c>
    </row>
    <row r="1868" spans="1:31" x14ac:dyDescent="0.25">
      <c r="A1868" t="s">
        <v>31</v>
      </c>
      <c r="C1868" t="s">
        <v>11157</v>
      </c>
      <c r="D1868" t="s">
        <v>7613</v>
      </c>
      <c r="E1868" t="s">
        <v>362</v>
      </c>
      <c r="F1868" t="s">
        <v>1611</v>
      </c>
      <c r="G1868">
        <v>2011</v>
      </c>
      <c r="H1868" t="s">
        <v>36</v>
      </c>
      <c r="I1868" t="s">
        <v>11158</v>
      </c>
      <c r="J1868" t="s">
        <v>31</v>
      </c>
      <c r="K1868" t="s">
        <v>38</v>
      </c>
      <c r="L1868" t="s">
        <v>68</v>
      </c>
      <c r="M1868" t="s">
        <v>69</v>
      </c>
      <c r="N1868" t="s">
        <v>5128</v>
      </c>
      <c r="O1868" t="s">
        <v>7613</v>
      </c>
      <c r="P1868" t="s">
        <v>11159</v>
      </c>
      <c r="T1868">
        <v>27.506554603000001</v>
      </c>
      <c r="U1868">
        <v>-99.501419712000001</v>
      </c>
      <c r="V1868">
        <f>SUM(W1868:X1868)+(Y1868*0.8)+(Z1868*0.4)</f>
        <v>0.2</v>
      </c>
      <c r="W1868">
        <v>0.2</v>
      </c>
      <c r="X1868">
        <v>0</v>
      </c>
      <c r="Y1868">
        <v>0</v>
      </c>
      <c r="Z1868">
        <v>0</v>
      </c>
      <c r="AA1868" t="s">
        <v>43</v>
      </c>
      <c r="AB1868">
        <v>0.2</v>
      </c>
      <c r="AD1868" t="s">
        <v>11160</v>
      </c>
      <c r="AE1868" t="s">
        <v>11161</v>
      </c>
    </row>
    <row r="1869" spans="1:31" x14ac:dyDescent="0.25">
      <c r="A1869" t="s">
        <v>31</v>
      </c>
      <c r="C1869" t="s">
        <v>9655</v>
      </c>
      <c r="D1869" t="s">
        <v>9656</v>
      </c>
      <c r="E1869" t="s">
        <v>362</v>
      </c>
      <c r="F1869" t="s">
        <v>1611</v>
      </c>
      <c r="G1869">
        <v>2010</v>
      </c>
      <c r="H1869" t="s">
        <v>36</v>
      </c>
      <c r="I1869" t="s">
        <v>9657</v>
      </c>
      <c r="J1869" t="s">
        <v>31</v>
      </c>
      <c r="K1869" t="s">
        <v>38</v>
      </c>
      <c r="L1869" t="s">
        <v>242</v>
      </c>
      <c r="M1869" t="s">
        <v>243</v>
      </c>
      <c r="N1869" t="s">
        <v>5109</v>
      </c>
      <c r="O1869" t="s">
        <v>5110</v>
      </c>
      <c r="P1869" t="s">
        <v>5111</v>
      </c>
      <c r="T1869">
        <v>38.459312103000002</v>
      </c>
      <c r="U1869">
        <v>-78.874748335999996</v>
      </c>
      <c r="V1869">
        <f>SUM(W1869:X1869)+(Y1869*0.8)+(Z1869*0.4)</f>
        <v>0.2</v>
      </c>
      <c r="W1869">
        <v>0.2</v>
      </c>
      <c r="X1869">
        <v>0</v>
      </c>
      <c r="Y1869">
        <v>0</v>
      </c>
      <c r="Z1869">
        <v>0</v>
      </c>
      <c r="AA1869" t="s">
        <v>43</v>
      </c>
      <c r="AB1869">
        <v>0.2</v>
      </c>
      <c r="AD1869" t="s">
        <v>9658</v>
      </c>
      <c r="AE1869" t="s">
        <v>9659</v>
      </c>
    </row>
    <row r="1870" spans="1:31" x14ac:dyDescent="0.25">
      <c r="A1870" t="s">
        <v>31</v>
      </c>
      <c r="C1870" t="s">
        <v>5657</v>
      </c>
      <c r="D1870" t="s">
        <v>3902</v>
      </c>
      <c r="E1870" t="s">
        <v>34</v>
      </c>
      <c r="F1870" t="s">
        <v>35</v>
      </c>
      <c r="G1870">
        <v>2010</v>
      </c>
      <c r="H1870" t="s">
        <v>36</v>
      </c>
      <c r="I1870" t="s">
        <v>5658</v>
      </c>
      <c r="J1870" t="s">
        <v>31</v>
      </c>
      <c r="K1870" t="s">
        <v>38</v>
      </c>
      <c r="L1870" t="s">
        <v>1457</v>
      </c>
      <c r="M1870" t="s">
        <v>1458</v>
      </c>
      <c r="N1870" t="s">
        <v>319</v>
      </c>
      <c r="O1870" t="s">
        <v>2331</v>
      </c>
      <c r="P1870" t="s">
        <v>3905</v>
      </c>
      <c r="T1870">
        <v>36.066158098000002</v>
      </c>
      <c r="U1870">
        <v>-115.138294681</v>
      </c>
      <c r="V1870">
        <f>SUM(W1870:X1870)+(Y1870*0.8)+(Z1870*0.4)</f>
        <v>0.2</v>
      </c>
      <c r="W1870">
        <v>0.2</v>
      </c>
      <c r="X1870">
        <v>0</v>
      </c>
      <c r="Y1870">
        <v>0</v>
      </c>
      <c r="Z1870">
        <v>0</v>
      </c>
      <c r="AA1870" t="s">
        <v>43</v>
      </c>
      <c r="AB1870">
        <v>0.19</v>
      </c>
      <c r="AD1870" t="s">
        <v>5659</v>
      </c>
      <c r="AE1870" t="s">
        <v>5660</v>
      </c>
    </row>
    <row r="1871" spans="1:31" x14ac:dyDescent="0.25">
      <c r="A1871" t="s">
        <v>31</v>
      </c>
      <c r="C1871" t="s">
        <v>10186</v>
      </c>
      <c r="D1871" t="s">
        <v>10192</v>
      </c>
      <c r="E1871" t="s">
        <v>362</v>
      </c>
      <c r="F1871" t="s">
        <v>381</v>
      </c>
      <c r="G1871">
        <v>2008</v>
      </c>
      <c r="H1871" t="s">
        <v>36</v>
      </c>
      <c r="I1871" t="s">
        <v>10193</v>
      </c>
      <c r="J1871" t="s">
        <v>31</v>
      </c>
      <c r="K1871" t="s">
        <v>38</v>
      </c>
      <c r="L1871" t="s">
        <v>172</v>
      </c>
      <c r="M1871" t="s">
        <v>173</v>
      </c>
      <c r="N1871" t="s">
        <v>433</v>
      </c>
      <c r="O1871" t="s">
        <v>501</v>
      </c>
      <c r="P1871" t="s">
        <v>10194</v>
      </c>
      <c r="S1871" t="s">
        <v>503</v>
      </c>
      <c r="T1871">
        <v>33.658101631000001</v>
      </c>
      <c r="U1871">
        <v>-117.85929149099999</v>
      </c>
      <c r="V1871">
        <f>SUM(W1871:X1871)+(Y1871*0.8)+(Z1871*0.4)</f>
        <v>0.2</v>
      </c>
      <c r="W1871">
        <v>0.2</v>
      </c>
      <c r="X1871">
        <v>0</v>
      </c>
      <c r="Y1871">
        <v>0</v>
      </c>
      <c r="Z1871">
        <v>0</v>
      </c>
      <c r="AA1871" t="s">
        <v>43</v>
      </c>
      <c r="AB1871">
        <v>0.2</v>
      </c>
      <c r="AD1871" t="s">
        <v>10195</v>
      </c>
      <c r="AE1871" t="s">
        <v>10196</v>
      </c>
    </row>
    <row r="1872" spans="1:31" x14ac:dyDescent="0.25">
      <c r="A1872" t="s">
        <v>31</v>
      </c>
      <c r="C1872" t="s">
        <v>6956</v>
      </c>
      <c r="D1872" t="s">
        <v>6957</v>
      </c>
      <c r="E1872" t="s">
        <v>34</v>
      </c>
      <c r="F1872" t="s">
        <v>35</v>
      </c>
      <c r="G1872">
        <v>2008</v>
      </c>
      <c r="H1872" t="s">
        <v>36</v>
      </c>
      <c r="I1872" t="s">
        <v>6958</v>
      </c>
      <c r="J1872" t="s">
        <v>31</v>
      </c>
      <c r="K1872" t="s">
        <v>38</v>
      </c>
      <c r="L1872" t="s">
        <v>1433</v>
      </c>
      <c r="M1872" t="s">
        <v>1434</v>
      </c>
      <c r="N1872" t="s">
        <v>6959</v>
      </c>
      <c r="O1872" t="s">
        <v>6960</v>
      </c>
      <c r="P1872" t="s">
        <v>6961</v>
      </c>
      <c r="T1872">
        <v>42.253048528999997</v>
      </c>
      <c r="U1872">
        <v>-91.160988556999996</v>
      </c>
      <c r="V1872">
        <f>SUM(W1872:X1872)+(Y1872*0.8)+(Z1872*0.4)</f>
        <v>0.2</v>
      </c>
      <c r="W1872">
        <v>0.2</v>
      </c>
      <c r="X1872">
        <v>0</v>
      </c>
      <c r="Y1872">
        <v>0</v>
      </c>
      <c r="Z1872">
        <v>0</v>
      </c>
      <c r="AA1872" t="s">
        <v>43</v>
      </c>
      <c r="AB1872">
        <v>0.1</v>
      </c>
      <c r="AD1872" t="s">
        <v>6962</v>
      </c>
      <c r="AE1872" t="s">
        <v>6963</v>
      </c>
    </row>
    <row r="1873" spans="1:31" x14ac:dyDescent="0.25">
      <c r="A1873" t="s">
        <v>31</v>
      </c>
      <c r="C1873" t="s">
        <v>2301</v>
      </c>
      <c r="D1873" t="s">
        <v>2302</v>
      </c>
      <c r="E1873" t="s">
        <v>362</v>
      </c>
      <c r="F1873" t="s">
        <v>1611</v>
      </c>
      <c r="G1873">
        <v>2008</v>
      </c>
      <c r="H1873" t="s">
        <v>36</v>
      </c>
      <c r="I1873" t="s">
        <v>2303</v>
      </c>
      <c r="J1873" t="s">
        <v>31</v>
      </c>
      <c r="K1873" t="s">
        <v>38</v>
      </c>
      <c r="L1873" t="s">
        <v>123</v>
      </c>
      <c r="M1873" t="s">
        <v>124</v>
      </c>
      <c r="N1873" t="s">
        <v>2304</v>
      </c>
      <c r="O1873" t="s">
        <v>2305</v>
      </c>
      <c r="P1873" t="s">
        <v>2306</v>
      </c>
      <c r="T1873">
        <v>42.735790741999999</v>
      </c>
      <c r="U1873">
        <v>-73.818286426</v>
      </c>
      <c r="V1873">
        <f>SUM(W1873:X1873)+(Y1873*0.8)+(Z1873*0.4)</f>
        <v>0.2</v>
      </c>
      <c r="W1873">
        <v>0.2</v>
      </c>
      <c r="X1873">
        <v>0</v>
      </c>
      <c r="Y1873">
        <v>0</v>
      </c>
      <c r="Z1873">
        <v>0</v>
      </c>
      <c r="AA1873" t="s">
        <v>43</v>
      </c>
      <c r="AB1873">
        <v>0.2</v>
      </c>
      <c r="AD1873" t="s">
        <v>2307</v>
      </c>
      <c r="AE1873" t="s">
        <v>2308</v>
      </c>
    </row>
    <row r="1874" spans="1:31" x14ac:dyDescent="0.25">
      <c r="A1874" t="s">
        <v>31</v>
      </c>
      <c r="C1874" t="s">
        <v>2301</v>
      </c>
      <c r="D1874" t="s">
        <v>2339</v>
      </c>
      <c r="E1874" t="s">
        <v>362</v>
      </c>
      <c r="F1874" t="s">
        <v>1611</v>
      </c>
      <c r="G1874">
        <v>2007</v>
      </c>
      <c r="H1874" t="s">
        <v>36</v>
      </c>
      <c r="I1874" t="s">
        <v>2340</v>
      </c>
      <c r="J1874" t="s">
        <v>31</v>
      </c>
      <c r="K1874" t="s">
        <v>38</v>
      </c>
      <c r="L1874" t="s">
        <v>242</v>
      </c>
      <c r="M1874" t="s">
        <v>243</v>
      </c>
      <c r="N1874" t="s">
        <v>1796</v>
      </c>
      <c r="O1874" t="s">
        <v>2341</v>
      </c>
      <c r="P1874" t="s">
        <v>2342</v>
      </c>
      <c r="T1874">
        <v>37.623927541999997</v>
      </c>
      <c r="U1874">
        <v>-77.502345023000004</v>
      </c>
      <c r="V1874">
        <f>SUM(W1874:X1874)+(Y1874*0.8)+(Z1874*0.4)</f>
        <v>0.2</v>
      </c>
      <c r="W1874">
        <v>0.2</v>
      </c>
      <c r="X1874">
        <v>0</v>
      </c>
      <c r="Y1874">
        <v>0</v>
      </c>
      <c r="Z1874">
        <v>0</v>
      </c>
      <c r="AA1874" t="s">
        <v>43</v>
      </c>
      <c r="AB1874">
        <v>0.2</v>
      </c>
      <c r="AD1874" t="s">
        <v>2343</v>
      </c>
      <c r="AE1874" t="s">
        <v>2344</v>
      </c>
    </row>
    <row r="1875" spans="1:31" x14ac:dyDescent="0.25">
      <c r="A1875" t="s">
        <v>31</v>
      </c>
      <c r="C1875" t="s">
        <v>6791</v>
      </c>
      <c r="D1875" t="s">
        <v>6798</v>
      </c>
      <c r="E1875" t="s">
        <v>34</v>
      </c>
      <c r="F1875" t="s">
        <v>35</v>
      </c>
      <c r="G1875">
        <v>2006</v>
      </c>
      <c r="H1875" t="s">
        <v>36</v>
      </c>
      <c r="I1875" t="s">
        <v>6799</v>
      </c>
      <c r="J1875" t="s">
        <v>31</v>
      </c>
      <c r="K1875" t="s">
        <v>38</v>
      </c>
      <c r="L1875" t="s">
        <v>123</v>
      </c>
      <c r="M1875" t="s">
        <v>124</v>
      </c>
      <c r="N1875" t="s">
        <v>2304</v>
      </c>
      <c r="O1875" t="s">
        <v>5697</v>
      </c>
      <c r="P1875" t="s">
        <v>5698</v>
      </c>
      <c r="Q1875" t="s">
        <v>138</v>
      </c>
      <c r="T1875">
        <v>42.649362678000003</v>
      </c>
      <c r="U1875">
        <v>-73.752690478999995</v>
      </c>
      <c r="V1875">
        <f>SUM(W1875:X1875)+(Y1875*0.8)+(Z1875*0.4)</f>
        <v>0.2</v>
      </c>
      <c r="W1875">
        <v>0.2</v>
      </c>
      <c r="X1875">
        <v>0</v>
      </c>
      <c r="Y1875">
        <v>0</v>
      </c>
      <c r="Z1875">
        <v>0</v>
      </c>
      <c r="AA1875" t="s">
        <v>43</v>
      </c>
      <c r="AB1875">
        <v>0.191</v>
      </c>
      <c r="AD1875" t="s">
        <v>6800</v>
      </c>
      <c r="AE1875" t="s">
        <v>6801</v>
      </c>
    </row>
    <row r="1876" spans="1:31" x14ac:dyDescent="0.25">
      <c r="A1876" t="s">
        <v>31</v>
      </c>
      <c r="C1876" t="s">
        <v>6082</v>
      </c>
      <c r="D1876" t="s">
        <v>89</v>
      </c>
      <c r="E1876" t="s">
        <v>34</v>
      </c>
      <c r="F1876" t="s">
        <v>35</v>
      </c>
      <c r="G1876">
        <v>2006</v>
      </c>
      <c r="H1876" t="s">
        <v>36</v>
      </c>
      <c r="I1876" t="s">
        <v>6083</v>
      </c>
      <c r="J1876" t="s">
        <v>31</v>
      </c>
      <c r="K1876" t="s">
        <v>38</v>
      </c>
      <c r="L1876" t="s">
        <v>86</v>
      </c>
      <c r="M1876" t="s">
        <v>87</v>
      </c>
      <c r="N1876" t="s">
        <v>88</v>
      </c>
      <c r="O1876" t="s">
        <v>6084</v>
      </c>
      <c r="P1876" t="s">
        <v>6085</v>
      </c>
      <c r="Q1876" t="s">
        <v>6086</v>
      </c>
      <c r="T1876">
        <v>42.040482400000002</v>
      </c>
      <c r="U1876">
        <v>-87.976075727999998</v>
      </c>
      <c r="V1876">
        <f>SUM(W1876:X1876)+(Y1876*0.8)+(Z1876*0.4)</f>
        <v>0.2</v>
      </c>
      <c r="W1876">
        <v>0.2</v>
      </c>
      <c r="X1876">
        <v>0</v>
      </c>
      <c r="Y1876">
        <v>0</v>
      </c>
      <c r="Z1876">
        <v>0</v>
      </c>
      <c r="AA1876" t="s">
        <v>43</v>
      </c>
      <c r="AB1876">
        <v>0.2</v>
      </c>
      <c r="AD1876" t="s">
        <v>6087</v>
      </c>
      <c r="AE1876" t="s">
        <v>6088</v>
      </c>
    </row>
    <row r="1877" spans="1:31" x14ac:dyDescent="0.25">
      <c r="A1877" t="s">
        <v>31</v>
      </c>
      <c r="C1877" t="s">
        <v>11112</v>
      </c>
      <c r="D1877" t="s">
        <v>11123</v>
      </c>
      <c r="E1877" t="s">
        <v>34</v>
      </c>
      <c r="F1877" t="s">
        <v>35</v>
      </c>
      <c r="G1877">
        <v>2004</v>
      </c>
      <c r="H1877" t="s">
        <v>36</v>
      </c>
      <c r="I1877" t="s">
        <v>11124</v>
      </c>
      <c r="J1877" t="s">
        <v>31</v>
      </c>
      <c r="K1877" t="s">
        <v>38</v>
      </c>
      <c r="L1877" t="s">
        <v>1833</v>
      </c>
      <c r="M1877" t="s">
        <v>1834</v>
      </c>
      <c r="N1877" t="s">
        <v>11125</v>
      </c>
      <c r="O1877" t="s">
        <v>11126</v>
      </c>
      <c r="P1877" t="s">
        <v>11127</v>
      </c>
      <c r="T1877">
        <v>46.597059432999998</v>
      </c>
      <c r="U1877">
        <v>-112.02442915</v>
      </c>
      <c r="V1877">
        <f>SUM(W1877:X1877)+(Y1877*0.8)+(Z1877*0.4)</f>
        <v>0.2</v>
      </c>
      <c r="W1877">
        <v>0.2</v>
      </c>
      <c r="X1877">
        <v>0</v>
      </c>
      <c r="Y1877">
        <v>0</v>
      </c>
      <c r="Z1877">
        <v>0</v>
      </c>
      <c r="AA1877" t="s">
        <v>43</v>
      </c>
      <c r="AB1877">
        <v>0.2</v>
      </c>
      <c r="AD1877" t="s">
        <v>11128</v>
      </c>
      <c r="AE1877" t="s">
        <v>11129</v>
      </c>
    </row>
    <row r="1878" spans="1:31" x14ac:dyDescent="0.25">
      <c r="A1878" t="s">
        <v>31</v>
      </c>
      <c r="C1878" t="s">
        <v>9202</v>
      </c>
      <c r="D1878" t="s">
        <v>9317</v>
      </c>
      <c r="E1878" t="s">
        <v>362</v>
      </c>
      <c r="F1878" t="s">
        <v>1302</v>
      </c>
      <c r="G1878">
        <v>2003</v>
      </c>
      <c r="H1878" t="s">
        <v>36</v>
      </c>
      <c r="I1878" t="s">
        <v>9318</v>
      </c>
      <c r="J1878" t="s">
        <v>31</v>
      </c>
      <c r="K1878" t="s">
        <v>38</v>
      </c>
      <c r="L1878" t="s">
        <v>3818</v>
      </c>
      <c r="M1878" t="s">
        <v>3819</v>
      </c>
      <c r="N1878" t="s">
        <v>3820</v>
      </c>
      <c r="O1878" t="s">
        <v>3821</v>
      </c>
      <c r="P1878" t="s">
        <v>9319</v>
      </c>
      <c r="T1878">
        <v>38.896220999999997</v>
      </c>
      <c r="U1878">
        <v>-94.673434999999998</v>
      </c>
      <c r="V1878">
        <f>SUM(W1878:X1878)+(Y1878*0.8)+(Z1878*0.4)</f>
        <v>0.2</v>
      </c>
      <c r="W1878">
        <v>0.2</v>
      </c>
      <c r="X1878">
        <v>0</v>
      </c>
      <c r="Y1878">
        <v>0</v>
      </c>
      <c r="Z1878">
        <v>0</v>
      </c>
      <c r="AA1878" t="s">
        <v>43</v>
      </c>
      <c r="AB1878">
        <v>0.2</v>
      </c>
      <c r="AD1878" t="s">
        <v>9320</v>
      </c>
      <c r="AE1878" t="s">
        <v>9321</v>
      </c>
    </row>
    <row r="1879" spans="1:31" x14ac:dyDescent="0.25">
      <c r="A1879" t="s">
        <v>31</v>
      </c>
      <c r="C1879" t="s">
        <v>7218</v>
      </c>
      <c r="D1879" t="s">
        <v>7262</v>
      </c>
      <c r="E1879" t="s">
        <v>362</v>
      </c>
      <c r="F1879" t="s">
        <v>1611</v>
      </c>
      <c r="G1879">
        <v>2002</v>
      </c>
      <c r="H1879" t="s">
        <v>36</v>
      </c>
      <c r="I1879" t="s">
        <v>7263</v>
      </c>
      <c r="J1879" t="s">
        <v>31</v>
      </c>
      <c r="K1879" t="s">
        <v>38</v>
      </c>
      <c r="L1879" t="s">
        <v>1457</v>
      </c>
      <c r="M1879" t="s">
        <v>1458</v>
      </c>
      <c r="N1879" t="s">
        <v>1459</v>
      </c>
      <c r="O1879" t="s">
        <v>1455</v>
      </c>
      <c r="P1879" t="s">
        <v>7264</v>
      </c>
      <c r="T1879">
        <v>39.525007035999998</v>
      </c>
      <c r="U1879">
        <v>-119.826991819</v>
      </c>
      <c r="V1879">
        <f>SUM(W1879:X1879)+(Y1879*0.8)+(Z1879*0.4)</f>
        <v>0.2</v>
      </c>
      <c r="W1879">
        <v>0.2</v>
      </c>
      <c r="X1879">
        <v>0</v>
      </c>
      <c r="Y1879">
        <v>0</v>
      </c>
      <c r="Z1879">
        <v>0</v>
      </c>
      <c r="AA1879" t="s">
        <v>43</v>
      </c>
      <c r="AB1879">
        <v>0.2</v>
      </c>
      <c r="AD1879" t="s">
        <v>7265</v>
      </c>
      <c r="AE1879" t="s">
        <v>7266</v>
      </c>
    </row>
    <row r="1880" spans="1:31" x14ac:dyDescent="0.25">
      <c r="A1880" t="s">
        <v>31</v>
      </c>
      <c r="C1880" t="s">
        <v>6662</v>
      </c>
      <c r="D1880" t="s">
        <v>6663</v>
      </c>
      <c r="E1880" t="s">
        <v>362</v>
      </c>
      <c r="F1880" t="s">
        <v>1611</v>
      </c>
      <c r="G1880">
        <v>2001</v>
      </c>
      <c r="H1880" t="s">
        <v>36</v>
      </c>
      <c r="I1880" t="s">
        <v>6664</v>
      </c>
      <c r="J1880" t="s">
        <v>31</v>
      </c>
      <c r="K1880" t="s">
        <v>38</v>
      </c>
      <c r="L1880" t="s">
        <v>123</v>
      </c>
      <c r="M1880" t="s">
        <v>124</v>
      </c>
      <c r="N1880" t="s">
        <v>217</v>
      </c>
      <c r="O1880" t="s">
        <v>6665</v>
      </c>
      <c r="P1880" t="s">
        <v>427</v>
      </c>
      <c r="Q1880" t="s">
        <v>6666</v>
      </c>
      <c r="T1880">
        <v>43.017998499000001</v>
      </c>
      <c r="U1880">
        <v>-78.784729357000003</v>
      </c>
      <c r="V1880">
        <f>SUM(W1880:X1880)+(Y1880*0.8)+(Z1880*0.4)</f>
        <v>0.2</v>
      </c>
      <c r="W1880">
        <v>0.2</v>
      </c>
      <c r="X1880">
        <v>0</v>
      </c>
      <c r="Y1880">
        <v>0</v>
      </c>
      <c r="Z1880">
        <v>0</v>
      </c>
      <c r="AA1880" t="s">
        <v>43</v>
      </c>
      <c r="AB1880">
        <v>0.2</v>
      </c>
      <c r="AD1880" t="s">
        <v>6667</v>
      </c>
      <c r="AE1880" t="s">
        <v>6668</v>
      </c>
    </row>
    <row r="1881" spans="1:31" x14ac:dyDescent="0.25">
      <c r="A1881" t="s">
        <v>31</v>
      </c>
      <c r="C1881" t="s">
        <v>342</v>
      </c>
      <c r="D1881" t="s">
        <v>343</v>
      </c>
      <c r="E1881" t="s">
        <v>34</v>
      </c>
      <c r="F1881" t="s">
        <v>35</v>
      </c>
      <c r="G1881">
        <v>2001</v>
      </c>
      <c r="H1881" t="s">
        <v>36</v>
      </c>
      <c r="I1881" t="s">
        <v>344</v>
      </c>
      <c r="J1881" t="s">
        <v>31</v>
      </c>
      <c r="K1881" t="s">
        <v>38</v>
      </c>
      <c r="L1881" t="s">
        <v>112</v>
      </c>
      <c r="M1881" t="s">
        <v>113</v>
      </c>
      <c r="N1881" t="s">
        <v>345</v>
      </c>
      <c r="O1881" t="s">
        <v>343</v>
      </c>
      <c r="P1881" t="s">
        <v>346</v>
      </c>
      <c r="Q1881" t="s">
        <v>347</v>
      </c>
      <c r="T1881">
        <v>43.073345674000002</v>
      </c>
      <c r="U1881">
        <v>-89.387006624999998</v>
      </c>
      <c r="V1881">
        <f>SUM(W1881:X1881)+(Y1881*0.8)+(Z1881*0.4)</f>
        <v>0.2</v>
      </c>
      <c r="W1881">
        <v>0.2</v>
      </c>
      <c r="X1881">
        <v>0</v>
      </c>
      <c r="Y1881">
        <v>0</v>
      </c>
      <c r="Z1881">
        <v>0</v>
      </c>
      <c r="AA1881" t="s">
        <v>43</v>
      </c>
      <c r="AB1881">
        <v>0.1</v>
      </c>
      <c r="AD1881" t="s">
        <v>348</v>
      </c>
      <c r="AE1881" t="s">
        <v>349</v>
      </c>
    </row>
    <row r="1882" spans="1:31" x14ac:dyDescent="0.25">
      <c r="A1882" t="s">
        <v>31</v>
      </c>
      <c r="C1882" t="s">
        <v>11267</v>
      </c>
      <c r="D1882" t="s">
        <v>11268</v>
      </c>
      <c r="E1882" t="s">
        <v>34</v>
      </c>
      <c r="F1882" t="s">
        <v>35</v>
      </c>
      <c r="G1882">
        <v>2000</v>
      </c>
      <c r="H1882" t="s">
        <v>36</v>
      </c>
      <c r="I1882" t="s">
        <v>11269</v>
      </c>
      <c r="J1882" t="s">
        <v>31</v>
      </c>
      <c r="K1882" t="s">
        <v>38</v>
      </c>
      <c r="L1882" t="s">
        <v>143</v>
      </c>
      <c r="M1882" t="s">
        <v>144</v>
      </c>
      <c r="N1882" t="s">
        <v>11270</v>
      </c>
      <c r="O1882" t="s">
        <v>11271</v>
      </c>
      <c r="P1882" t="s">
        <v>11272</v>
      </c>
      <c r="Q1882" t="s">
        <v>11273</v>
      </c>
      <c r="T1882">
        <v>40.421527660999999</v>
      </c>
      <c r="U1882">
        <v>-86.890377583000003</v>
      </c>
      <c r="V1882">
        <f>SUM(W1882:X1882)+(Y1882*0.8)+(Z1882*0.4)</f>
        <v>0.2</v>
      </c>
      <c r="W1882">
        <v>0.2</v>
      </c>
      <c r="X1882">
        <v>0</v>
      </c>
      <c r="Y1882">
        <v>0</v>
      </c>
      <c r="Z1882">
        <v>0</v>
      </c>
      <c r="AA1882" t="s">
        <v>43</v>
      </c>
      <c r="AB1882">
        <v>0.19</v>
      </c>
      <c r="AD1882" t="s">
        <v>11274</v>
      </c>
      <c r="AE1882" t="s">
        <v>11275</v>
      </c>
    </row>
    <row r="1883" spans="1:31" x14ac:dyDescent="0.25">
      <c r="A1883" t="s">
        <v>31</v>
      </c>
      <c r="C1883" t="s">
        <v>7596</v>
      </c>
      <c r="D1883" t="s">
        <v>7090</v>
      </c>
      <c r="E1883" t="s">
        <v>34</v>
      </c>
      <c r="F1883" t="s">
        <v>35</v>
      </c>
      <c r="G1883">
        <v>2000</v>
      </c>
      <c r="H1883" t="s">
        <v>36</v>
      </c>
      <c r="I1883" t="s">
        <v>7602</v>
      </c>
      <c r="J1883" t="s">
        <v>31</v>
      </c>
      <c r="K1883" t="s">
        <v>38</v>
      </c>
      <c r="L1883" t="s">
        <v>383</v>
      </c>
      <c r="M1883" t="s">
        <v>384</v>
      </c>
      <c r="N1883" t="s">
        <v>385</v>
      </c>
      <c r="P1883" t="s">
        <v>6671</v>
      </c>
      <c r="S1883" t="s">
        <v>2469</v>
      </c>
      <c r="T1883">
        <v>35.919704150999998</v>
      </c>
      <c r="U1883">
        <v>-78.870245729000004</v>
      </c>
      <c r="V1883">
        <f>SUM(W1883:X1883)+(Y1883*0.8)+(Z1883*0.4)</f>
        <v>0.2</v>
      </c>
      <c r="W1883">
        <v>0.2</v>
      </c>
      <c r="X1883">
        <v>0</v>
      </c>
      <c r="Y1883">
        <v>0</v>
      </c>
      <c r="Z1883">
        <v>0</v>
      </c>
      <c r="AA1883" t="s">
        <v>43</v>
      </c>
      <c r="AB1883">
        <v>0.2</v>
      </c>
      <c r="AD1883" t="s">
        <v>7603</v>
      </c>
      <c r="AE1883" t="s">
        <v>7604</v>
      </c>
    </row>
    <row r="1884" spans="1:31" x14ac:dyDescent="0.25">
      <c r="A1884" t="s">
        <v>31</v>
      </c>
      <c r="C1884" t="s">
        <v>7218</v>
      </c>
      <c r="D1884" t="s">
        <v>7267</v>
      </c>
      <c r="E1884" t="s">
        <v>362</v>
      </c>
      <c r="F1884" t="s">
        <v>1611</v>
      </c>
      <c r="G1884">
        <v>1999</v>
      </c>
      <c r="H1884" t="s">
        <v>36</v>
      </c>
      <c r="I1884" t="s">
        <v>7268</v>
      </c>
      <c r="J1884" t="s">
        <v>31</v>
      </c>
      <c r="K1884" t="s">
        <v>38</v>
      </c>
      <c r="L1884" t="s">
        <v>193</v>
      </c>
      <c r="M1884" t="s">
        <v>194</v>
      </c>
      <c r="N1884" t="s">
        <v>2858</v>
      </c>
      <c r="O1884" t="s">
        <v>7269</v>
      </c>
      <c r="P1884" t="s">
        <v>7270</v>
      </c>
      <c r="T1884">
        <v>39.726156819000003</v>
      </c>
      <c r="U1884">
        <v>-104.70992624199999</v>
      </c>
      <c r="V1884">
        <f>SUM(W1884:X1884)+(Y1884*0.8)+(Z1884*0.4)</f>
        <v>0.2</v>
      </c>
      <c r="W1884">
        <v>0.2</v>
      </c>
      <c r="X1884">
        <v>0</v>
      </c>
      <c r="Y1884">
        <v>0</v>
      </c>
      <c r="Z1884">
        <v>0</v>
      </c>
      <c r="AA1884" t="s">
        <v>43</v>
      </c>
      <c r="AB1884">
        <v>0.2</v>
      </c>
      <c r="AD1884" t="s">
        <v>7271</v>
      </c>
      <c r="AE1884" t="s">
        <v>7272</v>
      </c>
    </row>
    <row r="1885" spans="1:31" x14ac:dyDescent="0.25">
      <c r="A1885" t="s">
        <v>31</v>
      </c>
      <c r="C1885" t="s">
        <v>5765</v>
      </c>
      <c r="D1885" t="s">
        <v>5910</v>
      </c>
      <c r="E1885" t="s">
        <v>34</v>
      </c>
      <c r="F1885" t="s">
        <v>35</v>
      </c>
      <c r="G1885">
        <v>1999</v>
      </c>
      <c r="H1885" t="s">
        <v>36</v>
      </c>
      <c r="I1885" t="s">
        <v>5911</v>
      </c>
      <c r="J1885" t="s">
        <v>31</v>
      </c>
      <c r="K1885" t="s">
        <v>38</v>
      </c>
      <c r="L1885" t="s">
        <v>620</v>
      </c>
      <c r="M1885" t="s">
        <v>621</v>
      </c>
      <c r="N1885" t="s">
        <v>622</v>
      </c>
      <c r="O1885" t="s">
        <v>3959</v>
      </c>
      <c r="P1885" t="s">
        <v>5906</v>
      </c>
      <c r="S1885" t="s">
        <v>5912</v>
      </c>
      <c r="T1885">
        <v>40.766788130999998</v>
      </c>
      <c r="U1885">
        <v>-111.92010168199999</v>
      </c>
      <c r="V1885">
        <f>SUM(W1885:X1885)+(Y1885*0.8)+(Z1885*0.4)</f>
        <v>0.2</v>
      </c>
      <c r="W1885">
        <v>0.2</v>
      </c>
      <c r="X1885">
        <v>0</v>
      </c>
      <c r="Y1885">
        <v>0</v>
      </c>
      <c r="Z1885">
        <v>0</v>
      </c>
      <c r="AA1885" t="s">
        <v>43</v>
      </c>
      <c r="AB1885">
        <v>0.2</v>
      </c>
      <c r="AC1885">
        <v>1.7</v>
      </c>
      <c r="AD1885" t="s">
        <v>5913</v>
      </c>
      <c r="AE1885" t="s">
        <v>5914</v>
      </c>
    </row>
    <row r="1886" spans="1:31" x14ac:dyDescent="0.25">
      <c r="A1886" t="s">
        <v>31</v>
      </c>
      <c r="C1886" t="s">
        <v>6779</v>
      </c>
      <c r="D1886" t="s">
        <v>6780</v>
      </c>
      <c r="E1886" t="s">
        <v>362</v>
      </c>
      <c r="F1886" t="s">
        <v>1611</v>
      </c>
      <c r="G1886">
        <v>1998</v>
      </c>
      <c r="H1886" t="s">
        <v>36</v>
      </c>
      <c r="I1886" t="s">
        <v>6781</v>
      </c>
      <c r="J1886" t="s">
        <v>31</v>
      </c>
      <c r="K1886" t="s">
        <v>38</v>
      </c>
      <c r="L1886" t="s">
        <v>242</v>
      </c>
      <c r="M1886" t="s">
        <v>243</v>
      </c>
      <c r="N1886" t="s">
        <v>1796</v>
      </c>
      <c r="O1886" t="s">
        <v>1797</v>
      </c>
      <c r="P1886" t="s">
        <v>1798</v>
      </c>
      <c r="T1886">
        <v>37.613174700999998</v>
      </c>
      <c r="U1886">
        <v>-77.473402903999997</v>
      </c>
      <c r="V1886">
        <f>SUM(W1886:X1886)+(Y1886*0.8)+(Z1886*0.4)</f>
        <v>0.2</v>
      </c>
      <c r="W1886">
        <v>0.2</v>
      </c>
      <c r="X1886">
        <v>0</v>
      </c>
      <c r="Y1886">
        <v>0</v>
      </c>
      <c r="Z1886">
        <v>0</v>
      </c>
      <c r="AA1886" t="s">
        <v>43</v>
      </c>
      <c r="AB1886">
        <v>0.2</v>
      </c>
      <c r="AD1886" t="s">
        <v>6782</v>
      </c>
      <c r="AE1886" t="s">
        <v>6783</v>
      </c>
    </row>
    <row r="1887" spans="1:31" x14ac:dyDescent="0.25">
      <c r="A1887" t="s">
        <v>31</v>
      </c>
      <c r="C1887" t="s">
        <v>7632</v>
      </c>
      <c r="D1887" t="s">
        <v>7633</v>
      </c>
      <c r="E1887" t="s">
        <v>34</v>
      </c>
      <c r="F1887" t="s">
        <v>35</v>
      </c>
      <c r="G1887">
        <v>1996</v>
      </c>
      <c r="H1887" t="s">
        <v>36</v>
      </c>
      <c r="I1887" t="s">
        <v>7634</v>
      </c>
      <c r="J1887" t="s">
        <v>31</v>
      </c>
      <c r="K1887" t="s">
        <v>38</v>
      </c>
      <c r="L1887" t="s">
        <v>3244</v>
      </c>
      <c r="M1887" t="s">
        <v>3245</v>
      </c>
      <c r="N1887" t="s">
        <v>3246</v>
      </c>
      <c r="O1887" t="s">
        <v>3247</v>
      </c>
      <c r="P1887" t="s">
        <v>7635</v>
      </c>
      <c r="Q1887" t="s">
        <v>138</v>
      </c>
      <c r="T1887">
        <v>41.829377809</v>
      </c>
      <c r="U1887">
        <v>-71.420984219000005</v>
      </c>
      <c r="V1887">
        <f>SUM(W1887:X1887)+(Y1887*0.8)+(Z1887*0.4)</f>
        <v>0.2</v>
      </c>
      <c r="W1887">
        <v>0.2</v>
      </c>
      <c r="X1887">
        <v>0</v>
      </c>
      <c r="Y1887">
        <v>0</v>
      </c>
      <c r="Z1887">
        <v>0</v>
      </c>
      <c r="AA1887" t="s">
        <v>43</v>
      </c>
      <c r="AB1887">
        <v>0.193</v>
      </c>
      <c r="AD1887" t="s">
        <v>7636</v>
      </c>
      <c r="AE1887" t="s">
        <v>7637</v>
      </c>
    </row>
    <row r="1888" spans="1:31" x14ac:dyDescent="0.25">
      <c r="A1888" t="s">
        <v>31</v>
      </c>
      <c r="C1888" t="s">
        <v>5114</v>
      </c>
      <c r="D1888" t="s">
        <v>5115</v>
      </c>
      <c r="E1888" t="s">
        <v>34</v>
      </c>
      <c r="F1888" t="s">
        <v>35</v>
      </c>
      <c r="G1888">
        <v>1996</v>
      </c>
      <c r="H1888" t="s">
        <v>36</v>
      </c>
      <c r="I1888" t="s">
        <v>5116</v>
      </c>
      <c r="J1888" t="s">
        <v>31</v>
      </c>
      <c r="K1888" t="s">
        <v>38</v>
      </c>
      <c r="L1888" t="s">
        <v>2437</v>
      </c>
      <c r="M1888" t="s">
        <v>2438</v>
      </c>
      <c r="N1888" t="s">
        <v>3606</v>
      </c>
      <c r="O1888" t="s">
        <v>2508</v>
      </c>
      <c r="P1888" t="s">
        <v>5117</v>
      </c>
      <c r="T1888">
        <v>32.730101417</v>
      </c>
      <c r="U1888">
        <v>-80.058935415999997</v>
      </c>
      <c r="V1888">
        <f>SUM(W1888:X1888)+(Y1888*0.8)+(Z1888*0.4)</f>
        <v>0.2</v>
      </c>
      <c r="W1888">
        <v>0.2</v>
      </c>
      <c r="X1888">
        <v>0</v>
      </c>
      <c r="Y1888">
        <v>0</v>
      </c>
      <c r="Z1888">
        <v>0</v>
      </c>
      <c r="AA1888" t="s">
        <v>43</v>
      </c>
      <c r="AB1888">
        <v>0.18</v>
      </c>
      <c r="AD1888" t="s">
        <v>5118</v>
      </c>
      <c r="AE1888" t="s">
        <v>5119</v>
      </c>
    </row>
    <row r="1889" spans="1:31" x14ac:dyDescent="0.25">
      <c r="A1889" t="s">
        <v>31</v>
      </c>
      <c r="C1889" t="s">
        <v>1915</v>
      </c>
      <c r="D1889" t="s">
        <v>1916</v>
      </c>
      <c r="E1889" t="s">
        <v>362</v>
      </c>
      <c r="F1889" t="s">
        <v>43</v>
      </c>
      <c r="G1889">
        <v>1994</v>
      </c>
      <c r="H1889" t="s">
        <v>36</v>
      </c>
      <c r="I1889" t="s">
        <v>1917</v>
      </c>
      <c r="J1889" t="s">
        <v>31</v>
      </c>
      <c r="K1889" t="s">
        <v>38</v>
      </c>
      <c r="L1889" t="s">
        <v>1918</v>
      </c>
      <c r="M1889" t="s">
        <v>1919</v>
      </c>
      <c r="N1889" t="s">
        <v>1885</v>
      </c>
      <c r="O1889" t="s">
        <v>1920</v>
      </c>
      <c r="P1889" t="s">
        <v>1921</v>
      </c>
      <c r="S1889" t="s">
        <v>1922</v>
      </c>
      <c r="T1889">
        <v>38.241226136999998</v>
      </c>
      <c r="U1889">
        <v>-85.749339653999996</v>
      </c>
      <c r="V1889">
        <f>SUM(W1889:X1889)+(Y1889*0.8)+(Z1889*0.4)</f>
        <v>0.2</v>
      </c>
      <c r="W1889">
        <v>0.2</v>
      </c>
      <c r="X1889">
        <v>0</v>
      </c>
      <c r="Y1889">
        <v>0</v>
      </c>
      <c r="Z1889">
        <v>0</v>
      </c>
      <c r="AA1889" t="s">
        <v>43</v>
      </c>
      <c r="AB1889">
        <v>0.2</v>
      </c>
      <c r="AD1889" t="s">
        <v>1923</v>
      </c>
      <c r="AE1889" t="s">
        <v>1924</v>
      </c>
    </row>
    <row r="1890" spans="1:31" x14ac:dyDescent="0.25">
      <c r="A1890" t="s">
        <v>31</v>
      </c>
      <c r="C1890" t="s">
        <v>6699</v>
      </c>
      <c r="D1890" t="s">
        <v>6700</v>
      </c>
      <c r="E1890" t="s">
        <v>34</v>
      </c>
      <c r="F1890" t="s">
        <v>35</v>
      </c>
      <c r="G1890">
        <v>1993</v>
      </c>
      <c r="H1890" t="s">
        <v>36</v>
      </c>
      <c r="I1890" t="s">
        <v>6701</v>
      </c>
      <c r="J1890" t="s">
        <v>31</v>
      </c>
      <c r="K1890" t="s">
        <v>38</v>
      </c>
      <c r="L1890" t="s">
        <v>1918</v>
      </c>
      <c r="M1890" t="s">
        <v>1919</v>
      </c>
      <c r="N1890" t="s">
        <v>1885</v>
      </c>
      <c r="O1890" t="s">
        <v>1920</v>
      </c>
      <c r="P1890" t="s">
        <v>6702</v>
      </c>
      <c r="T1890">
        <v>38.178415577999999</v>
      </c>
      <c r="U1890">
        <v>-85.700213485000006</v>
      </c>
      <c r="V1890">
        <f>SUM(W1890:X1890)+(Y1890*0.8)+(Z1890*0.4)</f>
        <v>0.2</v>
      </c>
      <c r="W1890">
        <v>0.2</v>
      </c>
      <c r="X1890">
        <v>0</v>
      </c>
      <c r="Y1890">
        <v>0</v>
      </c>
      <c r="Z1890">
        <v>0</v>
      </c>
      <c r="AA1890" t="s">
        <v>43</v>
      </c>
      <c r="AB1890">
        <v>0.13</v>
      </c>
      <c r="AD1890" t="s">
        <v>6703</v>
      </c>
      <c r="AE1890" t="s">
        <v>6704</v>
      </c>
    </row>
    <row r="1891" spans="1:31" x14ac:dyDescent="0.25">
      <c r="A1891" t="s">
        <v>31</v>
      </c>
      <c r="C1891" t="s">
        <v>2301</v>
      </c>
      <c r="D1891" t="s">
        <v>2309</v>
      </c>
      <c r="E1891" t="s">
        <v>362</v>
      </c>
      <c r="F1891" t="s">
        <v>1611</v>
      </c>
      <c r="G1891">
        <v>1993</v>
      </c>
      <c r="H1891" t="s">
        <v>36</v>
      </c>
      <c r="I1891" t="s">
        <v>2310</v>
      </c>
      <c r="J1891" t="s">
        <v>31</v>
      </c>
      <c r="K1891" t="s">
        <v>38</v>
      </c>
      <c r="L1891" t="s">
        <v>123</v>
      </c>
      <c r="M1891" t="s">
        <v>124</v>
      </c>
      <c r="N1891" t="s">
        <v>2311</v>
      </c>
      <c r="O1891" t="s">
        <v>2312</v>
      </c>
      <c r="P1891" t="s">
        <v>2313</v>
      </c>
      <c r="Q1891" t="s">
        <v>2314</v>
      </c>
      <c r="T1891">
        <v>42.102036576000003</v>
      </c>
      <c r="U1891">
        <v>-75.904257505999993</v>
      </c>
      <c r="V1891">
        <f>SUM(W1891:X1891)+(Y1891*0.8)+(Z1891*0.4)</f>
        <v>0.2</v>
      </c>
      <c r="W1891">
        <v>0.2</v>
      </c>
      <c r="X1891">
        <v>0</v>
      </c>
      <c r="Y1891">
        <v>0</v>
      </c>
      <c r="Z1891">
        <v>0</v>
      </c>
      <c r="AA1891" t="s">
        <v>43</v>
      </c>
      <c r="AB1891">
        <v>0.2</v>
      </c>
      <c r="AD1891" t="s">
        <v>2315</v>
      </c>
      <c r="AE1891" t="s">
        <v>2316</v>
      </c>
    </row>
    <row r="1892" spans="1:31" x14ac:dyDescent="0.25">
      <c r="A1892" t="s">
        <v>31</v>
      </c>
      <c r="C1892" t="s">
        <v>9813</v>
      </c>
      <c r="D1892" t="s">
        <v>9814</v>
      </c>
      <c r="E1892" t="s">
        <v>34</v>
      </c>
      <c r="F1892" t="s">
        <v>35</v>
      </c>
      <c r="G1892">
        <v>1990</v>
      </c>
      <c r="H1892" t="s">
        <v>36</v>
      </c>
      <c r="I1892" t="s">
        <v>9815</v>
      </c>
      <c r="J1892" t="s">
        <v>31</v>
      </c>
      <c r="K1892" t="s">
        <v>38</v>
      </c>
      <c r="L1892" t="s">
        <v>172</v>
      </c>
      <c r="M1892" t="s">
        <v>173</v>
      </c>
      <c r="N1892" t="s">
        <v>433</v>
      </c>
      <c r="O1892" t="s">
        <v>501</v>
      </c>
      <c r="P1892" t="s">
        <v>502</v>
      </c>
      <c r="S1892" t="s">
        <v>503</v>
      </c>
      <c r="T1892">
        <v>33.683283203999999</v>
      </c>
      <c r="U1892">
        <v>-117.843929489</v>
      </c>
      <c r="V1892">
        <f>SUM(W1892:X1892)+(Y1892*0.8)+(Z1892*0.4)</f>
        <v>0.2</v>
      </c>
      <c r="W1892">
        <v>0.2</v>
      </c>
      <c r="X1892">
        <v>0</v>
      </c>
      <c r="Y1892">
        <v>0</v>
      </c>
      <c r="Z1892">
        <v>0</v>
      </c>
      <c r="AA1892" t="s">
        <v>43</v>
      </c>
      <c r="AB1892">
        <v>0.2</v>
      </c>
      <c r="AD1892" t="s">
        <v>9816</v>
      </c>
      <c r="AE1892" t="s">
        <v>9817</v>
      </c>
    </row>
    <row r="1893" spans="1:31" x14ac:dyDescent="0.25">
      <c r="A1893" t="s">
        <v>31</v>
      </c>
      <c r="C1893" t="s">
        <v>7218</v>
      </c>
      <c r="D1893" t="s">
        <v>7232</v>
      </c>
      <c r="E1893" t="s">
        <v>362</v>
      </c>
      <c r="F1893" t="s">
        <v>1611</v>
      </c>
      <c r="G1893">
        <v>1990</v>
      </c>
      <c r="H1893" t="s">
        <v>36</v>
      </c>
      <c r="I1893" t="s">
        <v>7233</v>
      </c>
      <c r="J1893" t="s">
        <v>31</v>
      </c>
      <c r="K1893" t="s">
        <v>38</v>
      </c>
      <c r="L1893" t="s">
        <v>2437</v>
      </c>
      <c r="M1893" t="s">
        <v>2438</v>
      </c>
      <c r="N1893" t="s">
        <v>3581</v>
      </c>
      <c r="O1893" t="s">
        <v>3579</v>
      </c>
      <c r="P1893" t="s">
        <v>3582</v>
      </c>
      <c r="S1893" t="s">
        <v>7234</v>
      </c>
      <c r="T1893">
        <v>34.004223965999998</v>
      </c>
      <c r="U1893">
        <v>-81.035215542000003</v>
      </c>
      <c r="V1893">
        <f>SUM(W1893:X1893)+(Y1893*0.8)+(Z1893*0.4)</f>
        <v>0.2</v>
      </c>
      <c r="W1893">
        <v>0.2</v>
      </c>
      <c r="X1893">
        <v>0</v>
      </c>
      <c r="Y1893">
        <v>0</v>
      </c>
      <c r="Z1893">
        <v>0</v>
      </c>
      <c r="AA1893" t="s">
        <v>43</v>
      </c>
      <c r="AB1893">
        <v>0.2</v>
      </c>
      <c r="AD1893" t="s">
        <v>7235</v>
      </c>
      <c r="AE1893" t="s">
        <v>7236</v>
      </c>
    </row>
    <row r="1894" spans="1:31" x14ac:dyDescent="0.25">
      <c r="A1894" t="s">
        <v>31</v>
      </c>
      <c r="C1894" t="s">
        <v>6320</v>
      </c>
      <c r="D1894" t="s">
        <v>6321</v>
      </c>
      <c r="E1894" t="s">
        <v>362</v>
      </c>
      <c r="F1894" t="s">
        <v>1611</v>
      </c>
      <c r="G1894">
        <v>1990</v>
      </c>
      <c r="H1894" t="s">
        <v>36</v>
      </c>
      <c r="I1894" t="s">
        <v>6322</v>
      </c>
      <c r="J1894" t="s">
        <v>31</v>
      </c>
      <c r="K1894" t="s">
        <v>38</v>
      </c>
      <c r="L1894" t="s">
        <v>1380</v>
      </c>
      <c r="M1894" t="s">
        <v>1381</v>
      </c>
      <c r="N1894" t="s">
        <v>6010</v>
      </c>
      <c r="O1894" t="s">
        <v>6323</v>
      </c>
      <c r="P1894" t="s">
        <v>6324</v>
      </c>
      <c r="T1894">
        <v>41.451739901000003</v>
      </c>
      <c r="U1894">
        <v>-73.289358812000003</v>
      </c>
      <c r="V1894">
        <f>SUM(W1894:X1894)+(Y1894*0.8)+(Z1894*0.4)</f>
        <v>0.2</v>
      </c>
      <c r="W1894">
        <v>0.2</v>
      </c>
      <c r="X1894">
        <v>0</v>
      </c>
      <c r="Y1894">
        <v>0</v>
      </c>
      <c r="Z1894">
        <v>0</v>
      </c>
      <c r="AA1894" t="s">
        <v>43</v>
      </c>
      <c r="AB1894">
        <v>0.2</v>
      </c>
      <c r="AD1894" t="s">
        <v>6325</v>
      </c>
      <c r="AE1894" t="s">
        <v>6326</v>
      </c>
    </row>
    <row r="1895" spans="1:31" x14ac:dyDescent="0.25">
      <c r="A1895" t="s">
        <v>31</v>
      </c>
      <c r="C1895" t="s">
        <v>3306</v>
      </c>
      <c r="D1895" t="s">
        <v>112</v>
      </c>
      <c r="E1895" t="s">
        <v>34</v>
      </c>
      <c r="F1895" t="s">
        <v>35</v>
      </c>
      <c r="G1895">
        <v>2017</v>
      </c>
      <c r="H1895" t="s">
        <v>36</v>
      </c>
      <c r="I1895" t="s">
        <v>3307</v>
      </c>
      <c r="J1895" t="s">
        <v>31</v>
      </c>
      <c r="K1895" t="s">
        <v>38</v>
      </c>
      <c r="L1895" t="s">
        <v>112</v>
      </c>
      <c r="M1895" t="s">
        <v>113</v>
      </c>
      <c r="N1895" t="s">
        <v>1770</v>
      </c>
      <c r="O1895" t="s">
        <v>3308</v>
      </c>
      <c r="P1895" t="s">
        <v>3309</v>
      </c>
      <c r="Q1895" t="s">
        <v>3308</v>
      </c>
      <c r="T1895">
        <v>44.342563660000003</v>
      </c>
      <c r="U1895">
        <v>-89.859742620000006</v>
      </c>
      <c r="V1895">
        <f>SUM(W1895:X1895)+(Y1895*0.8)+(Z1895*0.4)</f>
        <v>0.18</v>
      </c>
      <c r="W1895">
        <v>0.18</v>
      </c>
      <c r="X1895">
        <v>0</v>
      </c>
      <c r="Y1895">
        <v>0</v>
      </c>
      <c r="Z1895">
        <v>0</v>
      </c>
      <c r="AA1895" t="s">
        <v>43</v>
      </c>
      <c r="AB1895">
        <v>0.09</v>
      </c>
      <c r="AD1895" t="s">
        <v>3310</v>
      </c>
      <c r="AE1895" t="s">
        <v>3311</v>
      </c>
    </row>
    <row r="1896" spans="1:31" x14ac:dyDescent="0.25">
      <c r="A1896" t="s">
        <v>31</v>
      </c>
      <c r="C1896" t="s">
        <v>4120</v>
      </c>
      <c r="D1896" t="s">
        <v>4121</v>
      </c>
      <c r="E1896" t="s">
        <v>34</v>
      </c>
      <c r="F1896" t="s">
        <v>35</v>
      </c>
      <c r="G1896">
        <v>2014</v>
      </c>
      <c r="H1896" t="s">
        <v>36</v>
      </c>
      <c r="I1896" t="s">
        <v>4122</v>
      </c>
      <c r="J1896" t="s">
        <v>31</v>
      </c>
      <c r="K1896" t="s">
        <v>38</v>
      </c>
      <c r="L1896" t="s">
        <v>640</v>
      </c>
      <c r="M1896" t="s">
        <v>641</v>
      </c>
      <c r="N1896" t="s">
        <v>4123</v>
      </c>
      <c r="O1896" t="s">
        <v>4124</v>
      </c>
      <c r="P1896" t="s">
        <v>4125</v>
      </c>
      <c r="T1896">
        <v>39.630944276999998</v>
      </c>
      <c r="U1896">
        <v>-78.225227007000001</v>
      </c>
      <c r="V1896">
        <f>SUM(W1896:X1896)+(Y1896*0.8)+(Z1896*0.4)</f>
        <v>0.16900000000000001</v>
      </c>
      <c r="W1896">
        <v>0.16900000000000001</v>
      </c>
      <c r="X1896">
        <v>0</v>
      </c>
      <c r="Y1896">
        <v>0</v>
      </c>
      <c r="Z1896">
        <v>0</v>
      </c>
      <c r="AA1896" t="s">
        <v>43</v>
      </c>
      <c r="AB1896">
        <v>0</v>
      </c>
      <c r="AD1896" t="s">
        <v>4126</v>
      </c>
      <c r="AE1896" t="s">
        <v>4127</v>
      </c>
    </row>
    <row r="1897" spans="1:31" x14ac:dyDescent="0.25">
      <c r="A1897" t="s">
        <v>31</v>
      </c>
      <c r="C1897" t="s">
        <v>10202</v>
      </c>
      <c r="D1897" t="s">
        <v>10203</v>
      </c>
      <c r="E1897" t="s">
        <v>34</v>
      </c>
      <c r="F1897" t="s">
        <v>35</v>
      </c>
      <c r="G1897">
        <v>2007</v>
      </c>
      <c r="H1897" t="s">
        <v>36</v>
      </c>
      <c r="I1897" t="s">
        <v>10204</v>
      </c>
      <c r="J1897" t="s">
        <v>31</v>
      </c>
      <c r="K1897" t="s">
        <v>38</v>
      </c>
      <c r="L1897" t="s">
        <v>1540</v>
      </c>
      <c r="M1897" t="s">
        <v>1541</v>
      </c>
      <c r="N1897" t="s">
        <v>1542</v>
      </c>
      <c r="O1897" t="s">
        <v>1543</v>
      </c>
      <c r="P1897" t="s">
        <v>10205</v>
      </c>
      <c r="T1897">
        <v>43.568940877000003</v>
      </c>
      <c r="U1897">
        <v>-116.208820469</v>
      </c>
      <c r="V1897">
        <f>SUM(W1897:X1897)+(Y1897*0.8)+(Z1897*0.4)</f>
        <v>0.16200000000000001</v>
      </c>
      <c r="W1897">
        <v>0.16200000000000001</v>
      </c>
      <c r="X1897">
        <v>0</v>
      </c>
      <c r="Y1897">
        <v>0</v>
      </c>
      <c r="Z1897">
        <v>0</v>
      </c>
      <c r="AA1897" t="s">
        <v>43</v>
      </c>
      <c r="AB1897">
        <v>0.16200000000000001</v>
      </c>
      <c r="AD1897" t="s">
        <v>10206</v>
      </c>
      <c r="AE1897" t="s">
        <v>10207</v>
      </c>
    </row>
    <row r="1898" spans="1:31" x14ac:dyDescent="0.25">
      <c r="A1898" t="s">
        <v>31</v>
      </c>
      <c r="C1898" t="s">
        <v>2936</v>
      </c>
      <c r="D1898" t="s">
        <v>2969</v>
      </c>
      <c r="E1898" t="s">
        <v>34</v>
      </c>
      <c r="F1898" t="s">
        <v>35</v>
      </c>
      <c r="G1898">
        <v>2000</v>
      </c>
      <c r="H1898" t="s">
        <v>36</v>
      </c>
      <c r="I1898" t="s">
        <v>2970</v>
      </c>
      <c r="J1898" t="s">
        <v>31</v>
      </c>
      <c r="K1898" t="s">
        <v>38</v>
      </c>
      <c r="L1898" t="s">
        <v>353</v>
      </c>
      <c r="M1898" t="s">
        <v>354</v>
      </c>
      <c r="N1898" t="s">
        <v>355</v>
      </c>
      <c r="O1898" t="s">
        <v>356</v>
      </c>
      <c r="P1898" t="s">
        <v>2971</v>
      </c>
      <c r="Q1898" t="s">
        <v>2972</v>
      </c>
      <c r="T1898">
        <v>46.831699383999997</v>
      </c>
      <c r="U1898">
        <v>-96.849170184000002</v>
      </c>
      <c r="V1898">
        <f>SUM(W1898:X1898)+(Y1898*0.8)+(Z1898*0.4)</f>
        <v>0.16</v>
      </c>
      <c r="W1898">
        <v>0.16</v>
      </c>
      <c r="X1898">
        <v>0</v>
      </c>
      <c r="Y1898">
        <v>0</v>
      </c>
      <c r="Z1898">
        <v>0</v>
      </c>
      <c r="AA1898" t="s">
        <v>43</v>
      </c>
      <c r="AB1898">
        <v>0.1</v>
      </c>
      <c r="AD1898" t="s">
        <v>2973</v>
      </c>
      <c r="AE1898" t="s">
        <v>2974</v>
      </c>
    </row>
    <row r="1899" spans="1:31" x14ac:dyDescent="0.25">
      <c r="A1899" t="s">
        <v>31</v>
      </c>
      <c r="C1899" t="s">
        <v>4778</v>
      </c>
      <c r="D1899" t="s">
        <v>4784</v>
      </c>
      <c r="E1899" t="s">
        <v>34</v>
      </c>
      <c r="F1899" t="s">
        <v>35</v>
      </c>
      <c r="G1899">
        <v>2023</v>
      </c>
      <c r="H1899" t="s">
        <v>36</v>
      </c>
      <c r="I1899" t="s">
        <v>43</v>
      </c>
      <c r="J1899" t="s">
        <v>31</v>
      </c>
      <c r="K1899" t="s">
        <v>38</v>
      </c>
      <c r="L1899" t="s">
        <v>1900</v>
      </c>
      <c r="M1899" t="s">
        <v>1901</v>
      </c>
      <c r="N1899" t="s">
        <v>4785</v>
      </c>
      <c r="O1899" t="s">
        <v>4786</v>
      </c>
      <c r="P1899" t="s">
        <v>4787</v>
      </c>
      <c r="Q1899" t="s">
        <v>4786</v>
      </c>
      <c r="S1899" t="s">
        <v>138</v>
      </c>
      <c r="T1899">
        <v>38.626329259999999</v>
      </c>
      <c r="U1899">
        <v>-90.181920355000003</v>
      </c>
      <c r="V1899">
        <f>SUM(W1899:X1899)+(Y1899*0.8)+(Z1899*0.4)</f>
        <v>0.15</v>
      </c>
      <c r="W1899">
        <v>0.15</v>
      </c>
      <c r="X1899">
        <v>0</v>
      </c>
      <c r="Y1899">
        <v>0</v>
      </c>
      <c r="Z1899">
        <v>0</v>
      </c>
      <c r="AA1899" t="s">
        <v>43</v>
      </c>
      <c r="AB1899">
        <v>0.15</v>
      </c>
      <c r="AC1899">
        <v>1.1000000000000001</v>
      </c>
      <c r="AD1899" t="s">
        <v>4788</v>
      </c>
      <c r="AE1899" t="s">
        <v>4789</v>
      </c>
    </row>
    <row r="1900" spans="1:31" x14ac:dyDescent="0.25">
      <c r="A1900" t="s">
        <v>31</v>
      </c>
      <c r="C1900" t="s">
        <v>10977</v>
      </c>
      <c r="D1900" t="s">
        <v>11043</v>
      </c>
      <c r="E1900" t="s">
        <v>362</v>
      </c>
      <c r="F1900" t="s">
        <v>1611</v>
      </c>
      <c r="G1900">
        <v>2019</v>
      </c>
      <c r="H1900" t="s">
        <v>36</v>
      </c>
      <c r="I1900" t="s">
        <v>11044</v>
      </c>
      <c r="J1900" t="s">
        <v>31</v>
      </c>
      <c r="K1900" t="s">
        <v>38</v>
      </c>
      <c r="L1900" t="s">
        <v>251</v>
      </c>
      <c r="M1900" t="s">
        <v>252</v>
      </c>
      <c r="N1900" t="s">
        <v>691</v>
      </c>
      <c r="O1900" t="s">
        <v>11045</v>
      </c>
      <c r="P1900" t="s">
        <v>11046</v>
      </c>
      <c r="T1900">
        <v>42.138701089000001</v>
      </c>
      <c r="U1900">
        <v>-71.523793342000005</v>
      </c>
      <c r="V1900">
        <f>SUM(W1900:X1900)+(Y1900*0.8)+(Z1900*0.4)</f>
        <v>0.15</v>
      </c>
      <c r="W1900">
        <v>0.15</v>
      </c>
      <c r="X1900">
        <v>0</v>
      </c>
      <c r="Y1900">
        <v>0</v>
      </c>
      <c r="Z1900">
        <v>0</v>
      </c>
      <c r="AA1900" t="s">
        <v>43</v>
      </c>
      <c r="AB1900">
        <v>0.15</v>
      </c>
      <c r="AD1900" t="s">
        <v>11047</v>
      </c>
      <c r="AE1900" t="s">
        <v>11048</v>
      </c>
    </row>
    <row r="1901" spans="1:31" x14ac:dyDescent="0.25">
      <c r="A1901" t="s">
        <v>31</v>
      </c>
      <c r="C1901" t="s">
        <v>10380</v>
      </c>
      <c r="D1901" t="s">
        <v>10392</v>
      </c>
      <c r="E1901" t="s">
        <v>362</v>
      </c>
      <c r="F1901" t="s">
        <v>630</v>
      </c>
      <c r="G1901">
        <v>2012</v>
      </c>
      <c r="H1901" t="s">
        <v>36</v>
      </c>
      <c r="I1901" t="s">
        <v>10393</v>
      </c>
      <c r="J1901" t="s">
        <v>31</v>
      </c>
      <c r="K1901" t="s">
        <v>38</v>
      </c>
      <c r="L1901" t="s">
        <v>1819</v>
      </c>
      <c r="M1901" t="s">
        <v>1820</v>
      </c>
      <c r="N1901" t="s">
        <v>1821</v>
      </c>
      <c r="O1901" t="s">
        <v>1822</v>
      </c>
      <c r="P1901" t="s">
        <v>10394</v>
      </c>
      <c r="Q1901" t="s">
        <v>10395</v>
      </c>
      <c r="T1901">
        <v>36.101859376</v>
      </c>
      <c r="U1901">
        <v>-95.924605291000006</v>
      </c>
      <c r="V1901">
        <f>SUM(W1901:X1901)+(Y1901*0.8)+(Z1901*0.4)</f>
        <v>0.15</v>
      </c>
      <c r="W1901">
        <v>0.15</v>
      </c>
      <c r="X1901">
        <v>0</v>
      </c>
      <c r="Y1901">
        <v>0</v>
      </c>
      <c r="Z1901">
        <v>0</v>
      </c>
      <c r="AA1901" t="s">
        <v>43</v>
      </c>
      <c r="AB1901">
        <v>0.15</v>
      </c>
      <c r="AD1901" t="s">
        <v>10396</v>
      </c>
      <c r="AE1901" t="s">
        <v>10397</v>
      </c>
    </row>
    <row r="1902" spans="1:31" x14ac:dyDescent="0.25">
      <c r="A1902" t="s">
        <v>31</v>
      </c>
      <c r="C1902" t="s">
        <v>10977</v>
      </c>
      <c r="D1902" t="s">
        <v>11030</v>
      </c>
      <c r="E1902" t="s">
        <v>362</v>
      </c>
      <c r="F1902" t="s">
        <v>1611</v>
      </c>
      <c r="G1902">
        <v>2000</v>
      </c>
      <c r="H1902" t="s">
        <v>36</v>
      </c>
      <c r="I1902" t="s">
        <v>11031</v>
      </c>
      <c r="J1902" t="s">
        <v>31</v>
      </c>
      <c r="K1902" t="s">
        <v>38</v>
      </c>
      <c r="L1902" t="s">
        <v>251</v>
      </c>
      <c r="M1902" t="s">
        <v>252</v>
      </c>
      <c r="N1902" t="s">
        <v>11032</v>
      </c>
      <c r="O1902" t="s">
        <v>11033</v>
      </c>
      <c r="P1902" t="s">
        <v>11034</v>
      </c>
      <c r="Q1902" t="s">
        <v>11032</v>
      </c>
      <c r="S1902" t="s">
        <v>11035</v>
      </c>
      <c r="T1902">
        <v>41.652080732999998</v>
      </c>
      <c r="U1902">
        <v>-70.281820644999996</v>
      </c>
      <c r="V1902">
        <f>SUM(W1902:X1902)+(Y1902*0.8)+(Z1902*0.4)</f>
        <v>0.15</v>
      </c>
      <c r="W1902">
        <v>0.15</v>
      </c>
      <c r="X1902">
        <v>0</v>
      </c>
      <c r="Y1902">
        <v>0</v>
      </c>
      <c r="Z1902">
        <v>0</v>
      </c>
      <c r="AA1902" t="s">
        <v>43</v>
      </c>
      <c r="AB1902">
        <v>0.15</v>
      </c>
      <c r="AD1902" t="s">
        <v>11036</v>
      </c>
      <c r="AE1902" t="s">
        <v>11037</v>
      </c>
    </row>
    <row r="1903" spans="1:31" x14ac:dyDescent="0.25">
      <c r="A1903" t="s">
        <v>31</v>
      </c>
      <c r="C1903" t="s">
        <v>2684</v>
      </c>
      <c r="D1903" t="s">
        <v>2694</v>
      </c>
      <c r="E1903" t="s">
        <v>34</v>
      </c>
      <c r="F1903" t="s">
        <v>35</v>
      </c>
      <c r="G1903">
        <v>2000</v>
      </c>
      <c r="H1903" t="s">
        <v>36</v>
      </c>
      <c r="I1903" t="s">
        <v>2695</v>
      </c>
      <c r="J1903" t="s">
        <v>31</v>
      </c>
      <c r="K1903" t="s">
        <v>38</v>
      </c>
      <c r="L1903" t="s">
        <v>843</v>
      </c>
      <c r="M1903" t="s">
        <v>1644</v>
      </c>
      <c r="N1903" t="s">
        <v>2055</v>
      </c>
      <c r="O1903" t="s">
        <v>2694</v>
      </c>
      <c r="P1903" t="s">
        <v>2696</v>
      </c>
      <c r="S1903" t="s">
        <v>2697</v>
      </c>
      <c r="T1903">
        <v>47.253284999999998</v>
      </c>
      <c r="U1903">
        <v>-122.436702</v>
      </c>
      <c r="V1903">
        <f>SUM(W1903:X1903)+(Y1903*0.8)+(Z1903*0.4)</f>
        <v>0.15</v>
      </c>
      <c r="W1903">
        <v>0.15</v>
      </c>
      <c r="X1903">
        <v>0</v>
      </c>
      <c r="Y1903">
        <v>0</v>
      </c>
      <c r="Z1903">
        <v>0</v>
      </c>
      <c r="AA1903" t="s">
        <v>43</v>
      </c>
      <c r="AB1903">
        <v>0.15</v>
      </c>
      <c r="AD1903" t="s">
        <v>2698</v>
      </c>
      <c r="AE1903" t="s">
        <v>2699</v>
      </c>
    </row>
    <row r="1904" spans="1:31" x14ac:dyDescent="0.25">
      <c r="A1904" t="s">
        <v>31</v>
      </c>
      <c r="C1904" t="s">
        <v>7218</v>
      </c>
      <c r="D1904" t="s">
        <v>3616</v>
      </c>
      <c r="E1904" t="s">
        <v>362</v>
      </c>
      <c r="F1904" t="s">
        <v>1611</v>
      </c>
      <c r="G1904">
        <v>1990</v>
      </c>
      <c r="H1904" t="s">
        <v>36</v>
      </c>
      <c r="I1904" t="s">
        <v>7446</v>
      </c>
      <c r="J1904" t="s">
        <v>31</v>
      </c>
      <c r="K1904" t="s">
        <v>38</v>
      </c>
      <c r="L1904" t="s">
        <v>2437</v>
      </c>
      <c r="M1904" t="s">
        <v>2438</v>
      </c>
      <c r="N1904" t="s">
        <v>3618</v>
      </c>
      <c r="O1904" t="s">
        <v>3616</v>
      </c>
      <c r="P1904" t="s">
        <v>7447</v>
      </c>
      <c r="T1904">
        <v>34.951135528999998</v>
      </c>
      <c r="U1904">
        <v>-81.932019241999996</v>
      </c>
      <c r="V1904">
        <f>SUM(W1904:X1904)+(Y1904*0.8)+(Z1904*0.4)</f>
        <v>0.15</v>
      </c>
      <c r="W1904">
        <v>0.15</v>
      </c>
      <c r="X1904">
        <v>0</v>
      </c>
      <c r="Y1904">
        <v>0</v>
      </c>
      <c r="Z1904">
        <v>0</v>
      </c>
      <c r="AA1904" t="s">
        <v>43</v>
      </c>
      <c r="AB1904">
        <v>0.15</v>
      </c>
      <c r="AD1904" t="s">
        <v>7448</v>
      </c>
      <c r="AE1904" t="s">
        <v>7449</v>
      </c>
    </row>
    <row r="1905" spans="1:31" x14ac:dyDescent="0.25">
      <c r="A1905" t="s">
        <v>31</v>
      </c>
      <c r="C1905" t="s">
        <v>8963</v>
      </c>
      <c r="D1905" t="s">
        <v>8964</v>
      </c>
      <c r="E1905" t="s">
        <v>34</v>
      </c>
      <c r="F1905" t="s">
        <v>35</v>
      </c>
      <c r="G1905">
        <v>2012</v>
      </c>
      <c r="H1905" t="s">
        <v>36</v>
      </c>
      <c r="I1905" t="s">
        <v>8965</v>
      </c>
      <c r="J1905" t="s">
        <v>31</v>
      </c>
      <c r="K1905" t="s">
        <v>38</v>
      </c>
      <c r="L1905" t="s">
        <v>153</v>
      </c>
      <c r="M1905" t="s">
        <v>154</v>
      </c>
      <c r="N1905" t="s">
        <v>155</v>
      </c>
      <c r="O1905" t="s">
        <v>156</v>
      </c>
      <c r="P1905" t="s">
        <v>8966</v>
      </c>
      <c r="Q1905" t="s">
        <v>156</v>
      </c>
      <c r="T1905">
        <v>41.248027084</v>
      </c>
      <c r="U1905">
        <v>-96.028236809999996</v>
      </c>
      <c r="V1905">
        <f>SUM(W1905:X1905)+(Y1905*0.8)+(Z1905*0.4)</f>
        <v>0.14000000000000001</v>
      </c>
      <c r="W1905">
        <v>0.14000000000000001</v>
      </c>
      <c r="X1905">
        <v>0</v>
      </c>
      <c r="Y1905">
        <v>0</v>
      </c>
      <c r="Z1905">
        <v>0</v>
      </c>
      <c r="AA1905" t="s">
        <v>43</v>
      </c>
      <c r="AB1905">
        <v>0.14000000000000001</v>
      </c>
      <c r="AD1905" t="s">
        <v>8967</v>
      </c>
      <c r="AE1905" t="s">
        <v>8968</v>
      </c>
    </row>
    <row r="1906" spans="1:31" x14ac:dyDescent="0.25">
      <c r="A1906" t="s">
        <v>31</v>
      </c>
      <c r="C1906" t="s">
        <v>11312</v>
      </c>
      <c r="D1906" t="s">
        <v>11313</v>
      </c>
      <c r="E1906" t="s">
        <v>34</v>
      </c>
      <c r="F1906" t="s">
        <v>35</v>
      </c>
      <c r="G1906">
        <v>1993</v>
      </c>
      <c r="H1906" t="s">
        <v>36</v>
      </c>
      <c r="I1906" t="s">
        <v>11314</v>
      </c>
      <c r="J1906" t="s">
        <v>31</v>
      </c>
      <c r="K1906" t="s">
        <v>38</v>
      </c>
      <c r="L1906" t="s">
        <v>86</v>
      </c>
      <c r="M1906" t="s">
        <v>87</v>
      </c>
      <c r="N1906" t="s">
        <v>2215</v>
      </c>
      <c r="O1906" t="s">
        <v>2221</v>
      </c>
      <c r="P1906" t="s">
        <v>2222</v>
      </c>
      <c r="T1906">
        <v>41.796778783000001</v>
      </c>
      <c r="U1906">
        <v>-88.112557777999996</v>
      </c>
      <c r="V1906">
        <f>SUM(W1906:X1906)+(Y1906*0.8)+(Z1906*0.4)</f>
        <v>0.14000000000000001</v>
      </c>
      <c r="W1906">
        <v>0.14000000000000001</v>
      </c>
      <c r="X1906">
        <v>0</v>
      </c>
      <c r="Y1906">
        <v>0</v>
      </c>
      <c r="Z1906">
        <v>0</v>
      </c>
      <c r="AA1906" t="s">
        <v>43</v>
      </c>
      <c r="AB1906">
        <v>7.0000000000000007E-2</v>
      </c>
      <c r="AD1906" t="s">
        <v>11315</v>
      </c>
      <c r="AE1906" t="s">
        <v>11316</v>
      </c>
    </row>
    <row r="1907" spans="1:31" x14ac:dyDescent="0.25">
      <c r="A1907" t="s">
        <v>31</v>
      </c>
      <c r="C1907" t="s">
        <v>6002</v>
      </c>
      <c r="D1907" t="s">
        <v>6003</v>
      </c>
      <c r="E1907" t="s">
        <v>362</v>
      </c>
      <c r="F1907" t="s">
        <v>4135</v>
      </c>
      <c r="G1907">
        <v>2021</v>
      </c>
      <c r="H1907" t="s">
        <v>36</v>
      </c>
      <c r="I1907" t="s">
        <v>6004</v>
      </c>
      <c r="J1907" t="s">
        <v>31</v>
      </c>
      <c r="K1907" t="s">
        <v>38</v>
      </c>
      <c r="L1907" t="s">
        <v>448</v>
      </c>
      <c r="M1907" t="s">
        <v>449</v>
      </c>
      <c r="N1907" t="s">
        <v>564</v>
      </c>
      <c r="O1907" t="s">
        <v>775</v>
      </c>
      <c r="P1907" t="s">
        <v>566</v>
      </c>
      <c r="T1907">
        <v>39.410106401</v>
      </c>
      <c r="U1907">
        <v>-77.437994918000001</v>
      </c>
      <c r="V1907">
        <f>SUM(W1907:X1907)+(Y1907*0.8)+(Z1907*0.4)</f>
        <v>0.13999999999999999</v>
      </c>
      <c r="W1907">
        <v>0</v>
      </c>
      <c r="X1907">
        <v>0</v>
      </c>
      <c r="Y1907">
        <v>0</v>
      </c>
      <c r="Z1907">
        <v>0.35</v>
      </c>
      <c r="AA1907" t="s">
        <v>43</v>
      </c>
      <c r="AB1907">
        <v>0</v>
      </c>
      <c r="AD1907" t="s">
        <v>6005</v>
      </c>
      <c r="AE1907" t="s">
        <v>6006</v>
      </c>
    </row>
    <row r="1908" spans="1:31" x14ac:dyDescent="0.25">
      <c r="A1908" t="s">
        <v>31</v>
      </c>
      <c r="C1908" t="s">
        <v>5694</v>
      </c>
      <c r="D1908" t="s">
        <v>5701</v>
      </c>
      <c r="E1908" t="s">
        <v>34</v>
      </c>
      <c r="F1908" t="s">
        <v>35</v>
      </c>
      <c r="G1908">
        <v>2011</v>
      </c>
      <c r="H1908" t="s">
        <v>36</v>
      </c>
      <c r="I1908" t="s">
        <v>5702</v>
      </c>
      <c r="J1908" t="s">
        <v>31</v>
      </c>
      <c r="K1908" t="s">
        <v>38</v>
      </c>
      <c r="L1908" t="s">
        <v>2263</v>
      </c>
      <c r="M1908" t="s">
        <v>2264</v>
      </c>
      <c r="N1908" t="s">
        <v>5703</v>
      </c>
      <c r="O1908" t="s">
        <v>5704</v>
      </c>
      <c r="P1908" t="s">
        <v>5705</v>
      </c>
      <c r="Q1908" t="s">
        <v>5706</v>
      </c>
      <c r="T1908">
        <v>44.796025554000003</v>
      </c>
      <c r="U1908">
        <v>-68.772333171</v>
      </c>
      <c r="V1908">
        <f>SUM(W1908:X1908)+(Y1908*0.8)+(Z1908*0.4)</f>
        <v>0.125</v>
      </c>
      <c r="W1908">
        <v>0.125</v>
      </c>
      <c r="X1908">
        <v>0</v>
      </c>
      <c r="Y1908">
        <v>0</v>
      </c>
      <c r="Z1908">
        <v>0</v>
      </c>
      <c r="AA1908" t="s">
        <v>43</v>
      </c>
      <c r="AB1908">
        <v>0.12</v>
      </c>
      <c r="AD1908" t="s">
        <v>5707</v>
      </c>
      <c r="AE1908" t="s">
        <v>5708</v>
      </c>
    </row>
    <row r="1909" spans="1:31" x14ac:dyDescent="0.25">
      <c r="A1909" t="s">
        <v>31</v>
      </c>
      <c r="C1909" t="s">
        <v>3999</v>
      </c>
      <c r="D1909" t="s">
        <v>105</v>
      </c>
      <c r="E1909" t="s">
        <v>362</v>
      </c>
      <c r="F1909" t="s">
        <v>381</v>
      </c>
      <c r="G1909">
        <v>2000</v>
      </c>
      <c r="H1909" t="s">
        <v>36</v>
      </c>
      <c r="I1909" t="s">
        <v>4000</v>
      </c>
      <c r="J1909" t="s">
        <v>31</v>
      </c>
      <c r="K1909" t="s">
        <v>38</v>
      </c>
      <c r="L1909" t="s">
        <v>103</v>
      </c>
      <c r="M1909" t="s">
        <v>104</v>
      </c>
      <c r="N1909" t="s">
        <v>4001</v>
      </c>
      <c r="O1909" t="s">
        <v>105</v>
      </c>
      <c r="P1909" t="s">
        <v>4002</v>
      </c>
      <c r="S1909" t="s">
        <v>4003</v>
      </c>
      <c r="T1909">
        <v>21.301536321</v>
      </c>
      <c r="U1909">
        <v>-157.855451956</v>
      </c>
      <c r="V1909">
        <f>SUM(W1909:X1909)+(Y1909*0.8)+(Z1909*0.4)</f>
        <v>0.12</v>
      </c>
      <c r="W1909">
        <v>0.12</v>
      </c>
      <c r="X1909">
        <v>0</v>
      </c>
      <c r="Y1909">
        <v>0</v>
      </c>
      <c r="Z1909">
        <v>0</v>
      </c>
      <c r="AA1909" t="s">
        <v>43</v>
      </c>
      <c r="AB1909">
        <v>0.12</v>
      </c>
      <c r="AD1909" t="s">
        <v>4004</v>
      </c>
      <c r="AE1909" t="s">
        <v>4005</v>
      </c>
    </row>
    <row r="1910" spans="1:31" x14ac:dyDescent="0.25">
      <c r="A1910" t="s">
        <v>31</v>
      </c>
      <c r="C1910" t="s">
        <v>4148</v>
      </c>
      <c r="D1910" t="s">
        <v>4174</v>
      </c>
      <c r="E1910" t="s">
        <v>34</v>
      </c>
      <c r="F1910" t="s">
        <v>35</v>
      </c>
      <c r="G1910">
        <v>2002</v>
      </c>
      <c r="H1910" t="s">
        <v>36</v>
      </c>
      <c r="I1910" t="s">
        <v>4175</v>
      </c>
      <c r="J1910" t="s">
        <v>31</v>
      </c>
      <c r="K1910" t="s">
        <v>38</v>
      </c>
      <c r="L1910" t="s">
        <v>133</v>
      </c>
      <c r="M1910" t="s">
        <v>134</v>
      </c>
      <c r="N1910" t="s">
        <v>419</v>
      </c>
      <c r="O1910" t="s">
        <v>4176</v>
      </c>
      <c r="P1910" t="s">
        <v>4177</v>
      </c>
      <c r="S1910" t="s">
        <v>4178</v>
      </c>
      <c r="T1910">
        <v>45.476378365999999</v>
      </c>
      <c r="U1910">
        <v>-122.77636629</v>
      </c>
      <c r="V1910">
        <f>SUM(W1910:X1910)+(Y1910*0.8)+(Z1910*0.4)</f>
        <v>0.11700000000000001</v>
      </c>
      <c r="W1910">
        <v>0.11700000000000001</v>
      </c>
      <c r="X1910">
        <v>0</v>
      </c>
      <c r="Y1910">
        <v>0</v>
      </c>
      <c r="Z1910">
        <v>0</v>
      </c>
      <c r="AA1910" t="s">
        <v>43</v>
      </c>
      <c r="AB1910">
        <v>0.113</v>
      </c>
      <c r="AD1910" t="s">
        <v>4179</v>
      </c>
      <c r="AE1910" t="s">
        <v>4180</v>
      </c>
    </row>
    <row r="1911" spans="1:31" x14ac:dyDescent="0.25">
      <c r="A1911" t="s">
        <v>31</v>
      </c>
      <c r="C1911" t="s">
        <v>10102</v>
      </c>
      <c r="D1911" t="s">
        <v>10148</v>
      </c>
      <c r="E1911" t="s">
        <v>34</v>
      </c>
      <c r="F1911" t="s">
        <v>35</v>
      </c>
      <c r="G1911">
        <v>2008</v>
      </c>
      <c r="H1911" t="s">
        <v>36</v>
      </c>
      <c r="I1911" t="s">
        <v>10149</v>
      </c>
      <c r="J1911" t="s">
        <v>31</v>
      </c>
      <c r="K1911" t="s">
        <v>38</v>
      </c>
      <c r="L1911" t="s">
        <v>1457</v>
      </c>
      <c r="M1911" t="s">
        <v>1458</v>
      </c>
      <c r="N1911" t="s">
        <v>319</v>
      </c>
      <c r="O1911" t="s">
        <v>7301</v>
      </c>
      <c r="P1911" t="s">
        <v>7491</v>
      </c>
      <c r="S1911" t="s">
        <v>7314</v>
      </c>
      <c r="T1911">
        <v>36.143252275999998</v>
      </c>
      <c r="U1911">
        <v>-115.07750339899999</v>
      </c>
      <c r="V1911">
        <f>SUM(W1911:X1911)+(Y1911*0.8)+(Z1911*0.4)</f>
        <v>0.11600000000000001</v>
      </c>
      <c r="W1911">
        <v>0.11600000000000001</v>
      </c>
      <c r="X1911">
        <v>0</v>
      </c>
      <c r="Y1911">
        <v>0</v>
      </c>
      <c r="Z1911">
        <v>0</v>
      </c>
      <c r="AA1911" t="s">
        <v>43</v>
      </c>
      <c r="AB1911">
        <v>0.11600000000000001</v>
      </c>
      <c r="AD1911" t="s">
        <v>10150</v>
      </c>
      <c r="AE1911" t="s">
        <v>10151</v>
      </c>
    </row>
    <row r="1912" spans="1:31" x14ac:dyDescent="0.25">
      <c r="A1912" t="s">
        <v>31</v>
      </c>
      <c r="C1912" t="s">
        <v>1332</v>
      </c>
      <c r="D1912" t="s">
        <v>1333</v>
      </c>
      <c r="E1912" t="s">
        <v>34</v>
      </c>
      <c r="F1912" t="s">
        <v>35</v>
      </c>
      <c r="G1912">
        <v>2020</v>
      </c>
      <c r="H1912" t="s">
        <v>36</v>
      </c>
      <c r="I1912" t="s">
        <v>1334</v>
      </c>
      <c r="J1912" t="s">
        <v>31</v>
      </c>
      <c r="K1912" t="s">
        <v>38</v>
      </c>
      <c r="L1912" t="s">
        <v>193</v>
      </c>
      <c r="M1912" t="s">
        <v>194</v>
      </c>
      <c r="N1912" t="s">
        <v>1335</v>
      </c>
      <c r="O1912" t="s">
        <v>1336</v>
      </c>
      <c r="P1912" t="s">
        <v>1337</v>
      </c>
      <c r="T1912">
        <v>39.914013883999999</v>
      </c>
      <c r="U1912">
        <v>-105.09974808</v>
      </c>
      <c r="V1912">
        <f>SUM(W1912:X1912)+(Y1912*0.8)+(Z1912*0.4)</f>
        <v>0.1</v>
      </c>
      <c r="W1912">
        <v>0.1</v>
      </c>
      <c r="X1912">
        <v>0</v>
      </c>
      <c r="Y1912">
        <v>0</v>
      </c>
      <c r="Z1912">
        <v>0</v>
      </c>
      <c r="AA1912" t="s">
        <v>43</v>
      </c>
      <c r="AB1912">
        <v>0.05</v>
      </c>
      <c r="AD1912" t="s">
        <v>1338</v>
      </c>
      <c r="AE1912" t="s">
        <v>1339</v>
      </c>
    </row>
    <row r="1913" spans="1:31" x14ac:dyDescent="0.25">
      <c r="A1913" t="s">
        <v>31</v>
      </c>
      <c r="C1913" t="s">
        <v>1332</v>
      </c>
      <c r="D1913" t="s">
        <v>1340</v>
      </c>
      <c r="E1913" t="s">
        <v>34</v>
      </c>
      <c r="F1913" t="s">
        <v>35</v>
      </c>
      <c r="G1913">
        <v>2020</v>
      </c>
      <c r="H1913" t="s">
        <v>36</v>
      </c>
      <c r="I1913" t="s">
        <v>1341</v>
      </c>
      <c r="J1913" t="s">
        <v>31</v>
      </c>
      <c r="K1913" t="s">
        <v>38</v>
      </c>
      <c r="L1913" t="s">
        <v>193</v>
      </c>
      <c r="M1913" t="s">
        <v>194</v>
      </c>
      <c r="N1913" t="s">
        <v>1342</v>
      </c>
      <c r="O1913" t="s">
        <v>1343</v>
      </c>
      <c r="P1913" t="s">
        <v>1344</v>
      </c>
      <c r="S1913" t="s">
        <v>1345</v>
      </c>
      <c r="T1913">
        <v>39.788117808000003</v>
      </c>
      <c r="U1913">
        <v>-104.987832095</v>
      </c>
      <c r="V1913">
        <f>SUM(W1913:X1913)+(Y1913*0.8)+(Z1913*0.4)</f>
        <v>0.1</v>
      </c>
      <c r="W1913">
        <v>0.1</v>
      </c>
      <c r="X1913">
        <v>0</v>
      </c>
      <c r="Y1913">
        <v>0</v>
      </c>
      <c r="Z1913">
        <v>0</v>
      </c>
      <c r="AA1913" t="s">
        <v>43</v>
      </c>
      <c r="AB1913">
        <v>0.05</v>
      </c>
      <c r="AD1913" t="s">
        <v>1346</v>
      </c>
      <c r="AE1913" t="s">
        <v>1347</v>
      </c>
    </row>
    <row r="1914" spans="1:31" x14ac:dyDescent="0.25">
      <c r="A1914" t="s">
        <v>31</v>
      </c>
      <c r="C1914" t="s">
        <v>6964</v>
      </c>
      <c r="D1914" t="s">
        <v>6965</v>
      </c>
      <c r="E1914" t="s">
        <v>34</v>
      </c>
      <c r="F1914" t="s">
        <v>35</v>
      </c>
      <c r="G1914">
        <v>2018</v>
      </c>
      <c r="H1914" t="s">
        <v>36</v>
      </c>
      <c r="I1914" t="s">
        <v>6966</v>
      </c>
      <c r="J1914" t="s">
        <v>31</v>
      </c>
      <c r="K1914" t="s">
        <v>38</v>
      </c>
      <c r="L1914" t="s">
        <v>251</v>
      </c>
      <c r="M1914" t="s">
        <v>252</v>
      </c>
      <c r="N1914" t="s">
        <v>5742</v>
      </c>
      <c r="O1914" t="s">
        <v>6965</v>
      </c>
      <c r="P1914" t="s">
        <v>6967</v>
      </c>
      <c r="T1914">
        <v>42.080620877000001</v>
      </c>
      <c r="U1914">
        <v>-71.021454317999996</v>
      </c>
      <c r="V1914">
        <f>SUM(W1914:X1914)+(Y1914*0.8)+(Z1914*0.4)</f>
        <v>0.1</v>
      </c>
      <c r="W1914">
        <v>0.1</v>
      </c>
      <c r="X1914">
        <v>0</v>
      </c>
      <c r="Y1914">
        <v>0</v>
      </c>
      <c r="Z1914">
        <v>0</v>
      </c>
      <c r="AA1914" t="s">
        <v>43</v>
      </c>
      <c r="AB1914">
        <v>0.09</v>
      </c>
      <c r="AD1914" t="s">
        <v>6968</v>
      </c>
      <c r="AE1914" t="s">
        <v>6969</v>
      </c>
    </row>
    <row r="1915" spans="1:31" x14ac:dyDescent="0.25">
      <c r="A1915" t="s">
        <v>31</v>
      </c>
      <c r="C1915" t="s">
        <v>1387</v>
      </c>
      <c r="D1915" t="s">
        <v>1388</v>
      </c>
      <c r="E1915" t="s">
        <v>362</v>
      </c>
      <c r="F1915" t="s">
        <v>381</v>
      </c>
      <c r="G1915">
        <v>2017</v>
      </c>
      <c r="H1915" t="s">
        <v>36</v>
      </c>
      <c r="I1915" t="s">
        <v>1389</v>
      </c>
      <c r="J1915" t="s">
        <v>31</v>
      </c>
      <c r="K1915" t="s">
        <v>38</v>
      </c>
      <c r="L1915" t="s">
        <v>1390</v>
      </c>
      <c r="M1915" t="s">
        <v>1391</v>
      </c>
      <c r="N1915" t="s">
        <v>1392</v>
      </c>
      <c r="O1915" t="s">
        <v>1393</v>
      </c>
      <c r="P1915" t="s">
        <v>1394</v>
      </c>
      <c r="T1915">
        <v>61.188871632999998</v>
      </c>
      <c r="U1915">
        <v>-149.912255789</v>
      </c>
      <c r="V1915">
        <f>SUM(W1915:X1915)+(Y1915*0.8)+(Z1915*0.4)</f>
        <v>0.1</v>
      </c>
      <c r="W1915">
        <v>0.1</v>
      </c>
      <c r="X1915">
        <v>0</v>
      </c>
      <c r="Y1915">
        <v>0</v>
      </c>
      <c r="Z1915">
        <v>0</v>
      </c>
      <c r="AA1915" t="s">
        <v>43</v>
      </c>
      <c r="AB1915">
        <v>0.1</v>
      </c>
      <c r="AD1915" t="s">
        <v>1395</v>
      </c>
      <c r="AE1915" t="s">
        <v>1396</v>
      </c>
    </row>
    <row r="1916" spans="1:31" x14ac:dyDescent="0.25">
      <c r="A1916" t="s">
        <v>31</v>
      </c>
      <c r="C1916" t="s">
        <v>8906</v>
      </c>
      <c r="D1916" t="s">
        <v>8907</v>
      </c>
      <c r="E1916" t="s">
        <v>34</v>
      </c>
      <c r="F1916" t="s">
        <v>35</v>
      </c>
      <c r="G1916">
        <v>2016</v>
      </c>
      <c r="H1916" t="s">
        <v>36</v>
      </c>
      <c r="I1916" t="s">
        <v>8908</v>
      </c>
      <c r="J1916" t="s">
        <v>31</v>
      </c>
      <c r="K1916" t="s">
        <v>38</v>
      </c>
      <c r="L1916" t="s">
        <v>843</v>
      </c>
      <c r="M1916" t="s">
        <v>1644</v>
      </c>
      <c r="N1916" t="s">
        <v>8909</v>
      </c>
      <c r="O1916" t="s">
        <v>8907</v>
      </c>
      <c r="P1916" t="s">
        <v>8910</v>
      </c>
      <c r="T1916">
        <v>46.080039786999997</v>
      </c>
      <c r="U1916">
        <v>-118.287068998</v>
      </c>
      <c r="V1916">
        <f>SUM(W1916:X1916)+(Y1916*0.8)+(Z1916*0.4)</f>
        <v>0.1</v>
      </c>
      <c r="W1916">
        <v>0.1</v>
      </c>
      <c r="X1916">
        <v>0</v>
      </c>
      <c r="Y1916">
        <v>0</v>
      </c>
      <c r="Z1916">
        <v>0</v>
      </c>
      <c r="AA1916" t="s">
        <v>43</v>
      </c>
      <c r="AB1916">
        <v>0.1</v>
      </c>
      <c r="AD1916" t="s">
        <v>8911</v>
      </c>
      <c r="AE1916" t="s">
        <v>8912</v>
      </c>
    </row>
    <row r="1917" spans="1:31" x14ac:dyDescent="0.25">
      <c r="A1917" t="s">
        <v>31</v>
      </c>
      <c r="C1917" t="s">
        <v>10690</v>
      </c>
      <c r="D1917" t="s">
        <v>10691</v>
      </c>
      <c r="E1917" t="s">
        <v>34</v>
      </c>
      <c r="F1917" t="s">
        <v>35</v>
      </c>
      <c r="G1917">
        <v>2014</v>
      </c>
      <c r="H1917" t="s">
        <v>36</v>
      </c>
      <c r="I1917" t="s">
        <v>10692</v>
      </c>
      <c r="J1917" t="s">
        <v>31</v>
      </c>
      <c r="K1917" t="s">
        <v>38</v>
      </c>
      <c r="L1917" t="s">
        <v>1146</v>
      </c>
      <c r="M1917" t="s">
        <v>1147</v>
      </c>
      <c r="N1917" t="s">
        <v>8224</v>
      </c>
      <c r="O1917" t="s">
        <v>8225</v>
      </c>
      <c r="P1917" t="s">
        <v>8226</v>
      </c>
      <c r="T1917">
        <v>32.398249446000001</v>
      </c>
      <c r="U1917">
        <v>-90.143118333999993</v>
      </c>
      <c r="V1917">
        <f>SUM(W1917:X1917)+(Y1917*0.8)+(Z1917*0.4)</f>
        <v>0.1</v>
      </c>
      <c r="W1917">
        <v>0.1</v>
      </c>
      <c r="X1917">
        <v>0</v>
      </c>
      <c r="Y1917">
        <v>0</v>
      </c>
      <c r="Z1917">
        <v>0</v>
      </c>
      <c r="AA1917" t="s">
        <v>43</v>
      </c>
      <c r="AB1917">
        <v>0.1</v>
      </c>
      <c r="AD1917" t="s">
        <v>10693</v>
      </c>
      <c r="AE1917" t="s">
        <v>10694</v>
      </c>
    </row>
    <row r="1918" spans="1:31" x14ac:dyDescent="0.25">
      <c r="A1918" t="s">
        <v>31</v>
      </c>
      <c r="C1918" t="s">
        <v>10963</v>
      </c>
      <c r="D1918" t="s">
        <v>10970</v>
      </c>
      <c r="E1918" t="s">
        <v>34</v>
      </c>
      <c r="F1918" t="s">
        <v>35</v>
      </c>
      <c r="G1918">
        <v>2013</v>
      </c>
      <c r="H1918" t="s">
        <v>36</v>
      </c>
      <c r="I1918" t="s">
        <v>10971</v>
      </c>
      <c r="J1918" t="s">
        <v>31</v>
      </c>
      <c r="K1918" t="s">
        <v>38</v>
      </c>
      <c r="L1918" t="s">
        <v>828</v>
      </c>
      <c r="M1918" t="s">
        <v>829</v>
      </c>
      <c r="N1918" t="s">
        <v>10972</v>
      </c>
      <c r="O1918" t="s">
        <v>10973</v>
      </c>
      <c r="P1918" t="s">
        <v>10974</v>
      </c>
      <c r="T1918">
        <v>45.541245228000001</v>
      </c>
      <c r="U1918">
        <v>-94.203963252999998</v>
      </c>
      <c r="V1918">
        <f>SUM(W1918:X1918)+(Y1918*0.8)+(Z1918*0.4)</f>
        <v>0.1</v>
      </c>
      <c r="W1918">
        <v>0.1</v>
      </c>
      <c r="X1918">
        <v>0</v>
      </c>
      <c r="Y1918">
        <v>0</v>
      </c>
      <c r="Z1918">
        <v>0</v>
      </c>
      <c r="AA1918" t="s">
        <v>43</v>
      </c>
      <c r="AB1918">
        <v>0.05</v>
      </c>
      <c r="AD1918" t="s">
        <v>10975</v>
      </c>
      <c r="AE1918" t="s">
        <v>10976</v>
      </c>
    </row>
    <row r="1919" spans="1:31" x14ac:dyDescent="0.25">
      <c r="A1919" t="s">
        <v>31</v>
      </c>
      <c r="C1919" t="s">
        <v>7468</v>
      </c>
      <c r="D1919" t="s">
        <v>7469</v>
      </c>
      <c r="E1919" t="s">
        <v>362</v>
      </c>
      <c r="F1919" t="s">
        <v>381</v>
      </c>
      <c r="G1919">
        <v>2007</v>
      </c>
      <c r="H1919" t="s">
        <v>36</v>
      </c>
      <c r="I1919" t="s">
        <v>7470</v>
      </c>
      <c r="J1919" t="s">
        <v>31</v>
      </c>
      <c r="K1919" t="s">
        <v>38</v>
      </c>
      <c r="L1919" t="s">
        <v>843</v>
      </c>
      <c r="M1919" t="s">
        <v>1644</v>
      </c>
      <c r="N1919" t="s">
        <v>7471</v>
      </c>
      <c r="O1919" t="s">
        <v>7469</v>
      </c>
      <c r="P1919" t="s">
        <v>7472</v>
      </c>
      <c r="S1919" t="s">
        <v>7473</v>
      </c>
      <c r="T1919">
        <v>48.759175878999997</v>
      </c>
      <c r="U1919">
        <v>-122.503485209</v>
      </c>
      <c r="V1919">
        <f>SUM(W1919:X1919)+(Y1919*0.8)+(Z1919*0.4)</f>
        <v>0.1</v>
      </c>
      <c r="W1919">
        <v>0.1</v>
      </c>
      <c r="X1919">
        <v>0</v>
      </c>
      <c r="Y1919">
        <v>0</v>
      </c>
      <c r="Z1919">
        <v>0</v>
      </c>
      <c r="AA1919" t="s">
        <v>43</v>
      </c>
      <c r="AB1919">
        <v>0.1</v>
      </c>
      <c r="AD1919" t="s">
        <v>7474</v>
      </c>
      <c r="AE1919" t="s">
        <v>7475</v>
      </c>
    </row>
    <row r="1920" spans="1:31" x14ac:dyDescent="0.25">
      <c r="A1920" t="s">
        <v>31</v>
      </c>
      <c r="C1920" t="s">
        <v>8431</v>
      </c>
      <c r="D1920" t="s">
        <v>8432</v>
      </c>
      <c r="E1920" t="s">
        <v>34</v>
      </c>
      <c r="F1920" t="s">
        <v>35</v>
      </c>
      <c r="G1920">
        <v>2006</v>
      </c>
      <c r="H1920" t="s">
        <v>36</v>
      </c>
      <c r="I1920" t="s">
        <v>8433</v>
      </c>
      <c r="J1920" t="s">
        <v>31</v>
      </c>
      <c r="K1920" t="s">
        <v>38</v>
      </c>
      <c r="L1920" t="s">
        <v>49</v>
      </c>
      <c r="M1920" t="s">
        <v>50</v>
      </c>
      <c r="N1920" t="s">
        <v>8434</v>
      </c>
      <c r="O1920" t="s">
        <v>8435</v>
      </c>
      <c r="P1920" t="s">
        <v>8436</v>
      </c>
      <c r="Q1920" t="s">
        <v>8435</v>
      </c>
      <c r="T1920">
        <v>42.285566051000004</v>
      </c>
      <c r="U1920">
        <v>-83.233509463999994</v>
      </c>
      <c r="V1920">
        <f>SUM(W1920:X1920)+(Y1920*0.8)+(Z1920*0.4)</f>
        <v>0.1</v>
      </c>
      <c r="W1920">
        <v>0.1</v>
      </c>
      <c r="X1920">
        <v>0</v>
      </c>
      <c r="Y1920">
        <v>0</v>
      </c>
      <c r="Z1920">
        <v>0</v>
      </c>
      <c r="AA1920" t="s">
        <v>43</v>
      </c>
      <c r="AB1920">
        <v>0.06</v>
      </c>
      <c r="AD1920" t="s">
        <v>8437</v>
      </c>
      <c r="AE1920" t="s">
        <v>8438</v>
      </c>
    </row>
    <row r="1921" spans="1:31" x14ac:dyDescent="0.25">
      <c r="A1921" t="s">
        <v>31</v>
      </c>
      <c r="C1921" t="s">
        <v>7582</v>
      </c>
      <c r="D1921" t="s">
        <v>7583</v>
      </c>
      <c r="E1921" t="s">
        <v>362</v>
      </c>
      <c r="F1921" t="s">
        <v>4135</v>
      </c>
      <c r="G1921">
        <v>2004</v>
      </c>
      <c r="H1921" t="s">
        <v>36</v>
      </c>
      <c r="I1921" t="s">
        <v>7584</v>
      </c>
      <c r="J1921" t="s">
        <v>31</v>
      </c>
      <c r="K1921" t="s">
        <v>38</v>
      </c>
      <c r="L1921" t="s">
        <v>103</v>
      </c>
      <c r="M1921" t="s">
        <v>104</v>
      </c>
      <c r="N1921" t="s">
        <v>4001</v>
      </c>
      <c r="P1921" t="s">
        <v>7585</v>
      </c>
      <c r="T1921">
        <v>21.444886245999999</v>
      </c>
      <c r="U1921">
        <v>-157.76191735500001</v>
      </c>
      <c r="V1921">
        <f>SUM(W1921:X1921)+(Y1921*0.8)+(Z1921*0.4)</f>
        <v>0.1</v>
      </c>
      <c r="W1921">
        <v>0.1</v>
      </c>
      <c r="X1921">
        <v>0</v>
      </c>
      <c r="Y1921">
        <v>0</v>
      </c>
      <c r="Z1921">
        <v>0</v>
      </c>
      <c r="AA1921" t="s">
        <v>43</v>
      </c>
      <c r="AB1921">
        <v>0.1</v>
      </c>
      <c r="AD1921" t="s">
        <v>7586</v>
      </c>
      <c r="AE1921" t="s">
        <v>7587</v>
      </c>
    </row>
    <row r="1922" spans="1:31" x14ac:dyDescent="0.25">
      <c r="A1922" t="s">
        <v>31</v>
      </c>
      <c r="C1922" t="s">
        <v>4695</v>
      </c>
      <c r="D1922" t="s">
        <v>4696</v>
      </c>
      <c r="E1922" t="s">
        <v>34</v>
      </c>
      <c r="F1922" t="s">
        <v>35</v>
      </c>
      <c r="G1922">
        <v>2003</v>
      </c>
      <c r="H1922" t="s">
        <v>36</v>
      </c>
      <c r="I1922" t="s">
        <v>4697</v>
      </c>
      <c r="J1922" t="s">
        <v>31</v>
      </c>
      <c r="K1922" t="s">
        <v>38</v>
      </c>
      <c r="L1922" t="s">
        <v>77</v>
      </c>
      <c r="M1922" t="s">
        <v>78</v>
      </c>
      <c r="N1922" t="s">
        <v>3361</v>
      </c>
      <c r="O1922" t="s">
        <v>4698</v>
      </c>
      <c r="P1922" t="s">
        <v>4699</v>
      </c>
      <c r="T1922">
        <v>40.860608306000003</v>
      </c>
      <c r="U1922">
        <v>-79.907479539999997</v>
      </c>
      <c r="V1922">
        <f>SUM(W1922:X1922)+(Y1922*0.8)+(Z1922*0.4)</f>
        <v>0.1</v>
      </c>
      <c r="W1922">
        <v>0.1</v>
      </c>
      <c r="X1922">
        <v>0</v>
      </c>
      <c r="Y1922">
        <v>0</v>
      </c>
      <c r="Z1922">
        <v>0</v>
      </c>
      <c r="AA1922" t="s">
        <v>43</v>
      </c>
      <c r="AB1922">
        <v>9.7000000000000003E-2</v>
      </c>
      <c r="AD1922" t="s">
        <v>4700</v>
      </c>
      <c r="AE1922" t="s">
        <v>4701</v>
      </c>
    </row>
    <row r="1923" spans="1:31" x14ac:dyDescent="0.25">
      <c r="A1923" t="s">
        <v>31</v>
      </c>
      <c r="C1923" t="s">
        <v>10977</v>
      </c>
      <c r="D1923" t="s">
        <v>11014</v>
      </c>
      <c r="E1923" t="s">
        <v>362</v>
      </c>
      <c r="F1923" t="s">
        <v>1611</v>
      </c>
      <c r="G1923">
        <v>2001</v>
      </c>
      <c r="H1923" t="s">
        <v>36</v>
      </c>
      <c r="I1923" t="s">
        <v>11015</v>
      </c>
      <c r="J1923" t="s">
        <v>31</v>
      </c>
      <c r="K1923" t="s">
        <v>38</v>
      </c>
      <c r="L1923" t="s">
        <v>251</v>
      </c>
      <c r="M1923" t="s">
        <v>252</v>
      </c>
      <c r="N1923" t="s">
        <v>253</v>
      </c>
      <c r="O1923" t="s">
        <v>1622</v>
      </c>
      <c r="P1923" t="s">
        <v>1624</v>
      </c>
      <c r="Q1923" t="s">
        <v>1622</v>
      </c>
      <c r="T1923">
        <v>42.369560907</v>
      </c>
      <c r="U1923">
        <v>-71.087867806999995</v>
      </c>
      <c r="V1923">
        <f>SUM(W1923:X1923)+(Y1923*0.8)+(Z1923*0.4)</f>
        <v>0.1</v>
      </c>
      <c r="W1923">
        <v>0.1</v>
      </c>
      <c r="X1923">
        <v>0</v>
      </c>
      <c r="Y1923">
        <v>0</v>
      </c>
      <c r="Z1923">
        <v>0</v>
      </c>
      <c r="AA1923" t="s">
        <v>43</v>
      </c>
      <c r="AB1923">
        <v>0.1</v>
      </c>
      <c r="AD1923" t="s">
        <v>11016</v>
      </c>
      <c r="AE1923" t="s">
        <v>11017</v>
      </c>
    </row>
    <row r="1924" spans="1:31" x14ac:dyDescent="0.25">
      <c r="A1924" t="s">
        <v>31</v>
      </c>
      <c r="C1924" t="s">
        <v>9856</v>
      </c>
      <c r="D1924" t="s">
        <v>9857</v>
      </c>
      <c r="E1924" t="s">
        <v>362</v>
      </c>
      <c r="F1924" t="s">
        <v>381</v>
      </c>
      <c r="G1924">
        <v>2001</v>
      </c>
      <c r="H1924" t="s">
        <v>36</v>
      </c>
      <c r="I1924" t="s">
        <v>9858</v>
      </c>
      <c r="J1924" t="s">
        <v>31</v>
      </c>
      <c r="K1924" t="s">
        <v>38</v>
      </c>
      <c r="L1924" t="s">
        <v>172</v>
      </c>
      <c r="M1924" t="s">
        <v>173</v>
      </c>
      <c r="N1924" t="s">
        <v>2023</v>
      </c>
      <c r="O1924" t="s">
        <v>2021</v>
      </c>
      <c r="P1924" t="s">
        <v>2024</v>
      </c>
      <c r="T1924">
        <v>32.830339578</v>
      </c>
      <c r="U1924">
        <v>-117.136803531</v>
      </c>
      <c r="V1924">
        <f>SUM(W1924:X1924)+(Y1924*0.8)+(Z1924*0.4)</f>
        <v>0.1</v>
      </c>
      <c r="W1924">
        <v>0.1</v>
      </c>
      <c r="X1924">
        <v>0</v>
      </c>
      <c r="Y1924">
        <v>0</v>
      </c>
      <c r="Z1924">
        <v>0</v>
      </c>
      <c r="AA1924" t="s">
        <v>43</v>
      </c>
      <c r="AB1924">
        <v>0.1</v>
      </c>
      <c r="AD1924" t="s">
        <v>9859</v>
      </c>
      <c r="AE1924" t="s">
        <v>9860</v>
      </c>
    </row>
    <row r="1925" spans="1:31" x14ac:dyDescent="0.25">
      <c r="A1925" t="s">
        <v>31</v>
      </c>
      <c r="C1925" t="s">
        <v>5989</v>
      </c>
      <c r="D1925" t="s">
        <v>5990</v>
      </c>
      <c r="E1925" t="s">
        <v>34</v>
      </c>
      <c r="F1925" t="s">
        <v>35</v>
      </c>
      <c r="G1925">
        <v>2001</v>
      </c>
      <c r="H1925" t="s">
        <v>36</v>
      </c>
      <c r="I1925" t="s">
        <v>5991</v>
      </c>
      <c r="J1925" t="s">
        <v>31</v>
      </c>
      <c r="K1925" t="s">
        <v>38</v>
      </c>
      <c r="L1925" t="s">
        <v>843</v>
      </c>
      <c r="M1925" t="s">
        <v>1644</v>
      </c>
      <c r="N1925" t="s">
        <v>665</v>
      </c>
      <c r="O1925" t="s">
        <v>5992</v>
      </c>
      <c r="P1925" t="s">
        <v>5993</v>
      </c>
      <c r="T1925">
        <v>46.229215932999999</v>
      </c>
      <c r="U1925">
        <v>-119.106578459</v>
      </c>
      <c r="V1925">
        <f>SUM(W1925:X1925)+(Y1925*0.8)+(Z1925*0.4)</f>
        <v>0.1</v>
      </c>
      <c r="W1925">
        <v>0.1</v>
      </c>
      <c r="X1925">
        <v>0</v>
      </c>
      <c r="Y1925">
        <v>0</v>
      </c>
      <c r="Z1925">
        <v>0</v>
      </c>
      <c r="AA1925" t="s">
        <v>43</v>
      </c>
      <c r="AB1925">
        <v>0.1</v>
      </c>
      <c r="AD1925" t="s">
        <v>5994</v>
      </c>
      <c r="AE1925" t="s">
        <v>5995</v>
      </c>
    </row>
    <row r="1926" spans="1:31" x14ac:dyDescent="0.25">
      <c r="A1926" t="s">
        <v>31</v>
      </c>
      <c r="C1926" t="s">
        <v>10977</v>
      </c>
      <c r="D1926" t="s">
        <v>11018</v>
      </c>
      <c r="E1926" t="s">
        <v>362</v>
      </c>
      <c r="F1926" t="s">
        <v>1611</v>
      </c>
      <c r="G1926">
        <v>2000</v>
      </c>
      <c r="H1926" t="s">
        <v>36</v>
      </c>
      <c r="I1926" t="s">
        <v>11019</v>
      </c>
      <c r="J1926" t="s">
        <v>31</v>
      </c>
      <c r="K1926" t="s">
        <v>38</v>
      </c>
      <c r="L1926" t="s">
        <v>251</v>
      </c>
      <c r="M1926" t="s">
        <v>252</v>
      </c>
      <c r="N1926" t="s">
        <v>229</v>
      </c>
      <c r="O1926" t="s">
        <v>5549</v>
      </c>
      <c r="P1926" t="s">
        <v>11020</v>
      </c>
      <c r="Q1926" t="s">
        <v>11021</v>
      </c>
      <c r="S1926" t="s">
        <v>11022</v>
      </c>
      <c r="T1926">
        <v>42.302821358999999</v>
      </c>
      <c r="U1926">
        <v>-71.060990735000004</v>
      </c>
      <c r="V1926">
        <f>SUM(W1926:X1926)+(Y1926*0.8)+(Z1926*0.4)</f>
        <v>0.1</v>
      </c>
      <c r="W1926">
        <v>0.1</v>
      </c>
      <c r="X1926">
        <v>0</v>
      </c>
      <c r="Y1926">
        <v>0</v>
      </c>
      <c r="Z1926">
        <v>0</v>
      </c>
      <c r="AA1926" t="s">
        <v>43</v>
      </c>
      <c r="AB1926">
        <v>0.1</v>
      </c>
      <c r="AD1926" t="s">
        <v>11023</v>
      </c>
      <c r="AE1926" t="s">
        <v>11024</v>
      </c>
    </row>
    <row r="1927" spans="1:31" x14ac:dyDescent="0.25">
      <c r="A1927" t="s">
        <v>31</v>
      </c>
      <c r="C1927" t="s">
        <v>10977</v>
      </c>
      <c r="D1927" t="s">
        <v>3509</v>
      </c>
      <c r="E1927" t="s">
        <v>362</v>
      </c>
      <c r="F1927" t="s">
        <v>1611</v>
      </c>
      <c r="G1927">
        <v>2000</v>
      </c>
      <c r="H1927" t="s">
        <v>36</v>
      </c>
      <c r="I1927" t="s">
        <v>11049</v>
      </c>
      <c r="J1927" t="s">
        <v>31</v>
      </c>
      <c r="K1927" t="s">
        <v>38</v>
      </c>
      <c r="L1927" t="s">
        <v>251</v>
      </c>
      <c r="M1927" t="s">
        <v>252</v>
      </c>
      <c r="N1927" t="s">
        <v>4198</v>
      </c>
      <c r="O1927" t="s">
        <v>3509</v>
      </c>
      <c r="P1927" t="s">
        <v>11050</v>
      </c>
      <c r="Q1927" t="s">
        <v>11051</v>
      </c>
      <c r="T1927">
        <v>42.255892934999999</v>
      </c>
      <c r="U1927">
        <v>-71.006634379000005</v>
      </c>
      <c r="V1927">
        <f>SUM(W1927:X1927)+(Y1927*0.8)+(Z1927*0.4)</f>
        <v>0.1</v>
      </c>
      <c r="W1927">
        <v>0.1</v>
      </c>
      <c r="X1927">
        <v>0</v>
      </c>
      <c r="Y1927">
        <v>0</v>
      </c>
      <c r="Z1927">
        <v>0</v>
      </c>
      <c r="AA1927" t="s">
        <v>43</v>
      </c>
      <c r="AB1927">
        <v>0.1</v>
      </c>
      <c r="AD1927" t="s">
        <v>11052</v>
      </c>
      <c r="AE1927" t="s">
        <v>11053</v>
      </c>
    </row>
    <row r="1928" spans="1:31" x14ac:dyDescent="0.25">
      <c r="A1928" t="s">
        <v>31</v>
      </c>
      <c r="C1928" t="s">
        <v>8448</v>
      </c>
      <c r="D1928" t="s">
        <v>8449</v>
      </c>
      <c r="E1928" t="s">
        <v>34</v>
      </c>
      <c r="F1928" t="s">
        <v>35</v>
      </c>
      <c r="G1928">
        <v>2000</v>
      </c>
      <c r="H1928" t="s">
        <v>36</v>
      </c>
      <c r="I1928" t="s">
        <v>8450</v>
      </c>
      <c r="J1928" t="s">
        <v>31</v>
      </c>
      <c r="K1928" t="s">
        <v>38</v>
      </c>
      <c r="L1928" t="s">
        <v>260</v>
      </c>
      <c r="M1928" t="s">
        <v>261</v>
      </c>
      <c r="N1928" t="s">
        <v>8451</v>
      </c>
      <c r="O1928" t="s">
        <v>8452</v>
      </c>
      <c r="P1928" t="s">
        <v>8453</v>
      </c>
      <c r="T1928">
        <v>35.965385269000002</v>
      </c>
      <c r="U1928">
        <v>-83.921343891000006</v>
      </c>
      <c r="V1928">
        <f>SUM(W1928:X1928)+(Y1928*0.8)+(Z1928*0.4)</f>
        <v>0.1</v>
      </c>
      <c r="W1928">
        <v>0.1</v>
      </c>
      <c r="X1928">
        <v>0</v>
      </c>
      <c r="Y1928">
        <v>0</v>
      </c>
      <c r="Z1928">
        <v>0</v>
      </c>
      <c r="AA1928" t="s">
        <v>43</v>
      </c>
      <c r="AB1928">
        <v>0.05</v>
      </c>
      <c r="AD1928" t="s">
        <v>8454</v>
      </c>
      <c r="AE1928" t="s">
        <v>8455</v>
      </c>
    </row>
    <row r="1929" spans="1:31" x14ac:dyDescent="0.25">
      <c r="A1929" t="s">
        <v>31</v>
      </c>
      <c r="C1929" t="s">
        <v>7218</v>
      </c>
      <c r="D1929" t="s">
        <v>7279</v>
      </c>
      <c r="E1929" t="s">
        <v>362</v>
      </c>
      <c r="F1929" t="s">
        <v>1611</v>
      </c>
      <c r="G1929">
        <v>2000</v>
      </c>
      <c r="H1929" t="s">
        <v>36</v>
      </c>
      <c r="I1929" t="s">
        <v>7280</v>
      </c>
      <c r="J1929" t="s">
        <v>31</v>
      </c>
      <c r="K1929" t="s">
        <v>38</v>
      </c>
      <c r="L1929" t="s">
        <v>260</v>
      </c>
      <c r="M1929" t="s">
        <v>261</v>
      </c>
      <c r="N1929" t="s">
        <v>262</v>
      </c>
      <c r="O1929" t="s">
        <v>263</v>
      </c>
      <c r="P1929" t="s">
        <v>7281</v>
      </c>
      <c r="S1929" t="s">
        <v>7282</v>
      </c>
      <c r="T1929">
        <v>36.149722083999997</v>
      </c>
      <c r="U1929">
        <v>-86.679695546000005</v>
      </c>
      <c r="V1929">
        <f>SUM(W1929:X1929)+(Y1929*0.8)+(Z1929*0.4)</f>
        <v>0.1</v>
      </c>
      <c r="W1929">
        <v>0.1</v>
      </c>
      <c r="X1929">
        <v>0</v>
      </c>
      <c r="Y1929">
        <v>0</v>
      </c>
      <c r="Z1929">
        <v>0</v>
      </c>
      <c r="AA1929" t="s">
        <v>43</v>
      </c>
      <c r="AB1929">
        <v>0.1</v>
      </c>
      <c r="AD1929" t="s">
        <v>7283</v>
      </c>
      <c r="AE1929" t="s">
        <v>7284</v>
      </c>
    </row>
    <row r="1930" spans="1:31" x14ac:dyDescent="0.25">
      <c r="A1930" t="s">
        <v>31</v>
      </c>
      <c r="C1930" t="s">
        <v>7218</v>
      </c>
      <c r="D1930" t="s">
        <v>2037</v>
      </c>
      <c r="E1930" t="s">
        <v>362</v>
      </c>
      <c r="F1930" t="s">
        <v>1611</v>
      </c>
      <c r="G1930">
        <v>2000</v>
      </c>
      <c r="H1930" t="s">
        <v>36</v>
      </c>
      <c r="I1930" t="s">
        <v>7356</v>
      </c>
      <c r="J1930" t="s">
        <v>31</v>
      </c>
      <c r="K1930" t="s">
        <v>38</v>
      </c>
      <c r="L1930" t="s">
        <v>143</v>
      </c>
      <c r="M1930" t="s">
        <v>144</v>
      </c>
      <c r="N1930" t="s">
        <v>3891</v>
      </c>
      <c r="O1930" t="s">
        <v>2037</v>
      </c>
      <c r="P1930" t="s">
        <v>3892</v>
      </c>
      <c r="T1930">
        <v>39.741486868000003</v>
      </c>
      <c r="U1930">
        <v>-86.150875963000004</v>
      </c>
      <c r="V1930">
        <f>SUM(W1930:X1930)+(Y1930*0.8)+(Z1930*0.4)</f>
        <v>0.1</v>
      </c>
      <c r="W1930">
        <v>0.1</v>
      </c>
      <c r="X1930">
        <v>0</v>
      </c>
      <c r="Y1930">
        <v>0</v>
      </c>
      <c r="Z1930">
        <v>0</v>
      </c>
      <c r="AA1930" t="s">
        <v>43</v>
      </c>
      <c r="AB1930">
        <v>0.1</v>
      </c>
      <c r="AD1930" t="s">
        <v>7357</v>
      </c>
      <c r="AE1930" t="s">
        <v>7358</v>
      </c>
    </row>
    <row r="1931" spans="1:31" x14ac:dyDescent="0.25">
      <c r="A1931" t="s">
        <v>31</v>
      </c>
      <c r="C1931" t="s">
        <v>7218</v>
      </c>
      <c r="D1931" t="s">
        <v>7442</v>
      </c>
      <c r="E1931" t="s">
        <v>362</v>
      </c>
      <c r="F1931" t="s">
        <v>1611</v>
      </c>
      <c r="G1931">
        <v>2000</v>
      </c>
      <c r="H1931" t="s">
        <v>36</v>
      </c>
      <c r="I1931" t="s">
        <v>7443</v>
      </c>
      <c r="J1931" t="s">
        <v>31</v>
      </c>
      <c r="K1931" t="s">
        <v>38</v>
      </c>
      <c r="L1931" t="s">
        <v>143</v>
      </c>
      <c r="M1931" t="s">
        <v>144</v>
      </c>
      <c r="N1931" t="s">
        <v>145</v>
      </c>
      <c r="O1931" t="s">
        <v>146</v>
      </c>
      <c r="P1931" t="s">
        <v>147</v>
      </c>
      <c r="T1931">
        <v>41.662512798000002</v>
      </c>
      <c r="U1931">
        <v>-86.254402802000001</v>
      </c>
      <c r="V1931">
        <f>SUM(W1931:X1931)+(Y1931*0.8)+(Z1931*0.4)</f>
        <v>0.1</v>
      </c>
      <c r="W1931">
        <v>0.1</v>
      </c>
      <c r="X1931">
        <v>0</v>
      </c>
      <c r="Y1931">
        <v>0</v>
      </c>
      <c r="Z1931">
        <v>0</v>
      </c>
      <c r="AA1931" t="s">
        <v>43</v>
      </c>
      <c r="AB1931">
        <v>0.1</v>
      </c>
      <c r="AD1931" t="s">
        <v>7444</v>
      </c>
      <c r="AE1931" t="s">
        <v>7445</v>
      </c>
    </row>
    <row r="1932" spans="1:31" x14ac:dyDescent="0.25">
      <c r="A1932" t="s">
        <v>31</v>
      </c>
      <c r="C1932" t="s">
        <v>6089</v>
      </c>
      <c r="D1932" t="s">
        <v>6095</v>
      </c>
      <c r="E1932" t="s">
        <v>34</v>
      </c>
      <c r="F1932" t="s">
        <v>35</v>
      </c>
      <c r="G1932">
        <v>2000</v>
      </c>
      <c r="H1932" t="s">
        <v>36</v>
      </c>
      <c r="I1932" t="s">
        <v>6096</v>
      </c>
      <c r="J1932" t="s">
        <v>31</v>
      </c>
      <c r="K1932" t="s">
        <v>38</v>
      </c>
      <c r="L1932" t="s">
        <v>143</v>
      </c>
      <c r="M1932" t="s">
        <v>144</v>
      </c>
      <c r="N1932" t="s">
        <v>145</v>
      </c>
      <c r="O1932" t="s">
        <v>146</v>
      </c>
      <c r="P1932" t="s">
        <v>147</v>
      </c>
      <c r="T1932">
        <v>41.668635356999999</v>
      </c>
      <c r="U1932">
        <v>-86.255275032</v>
      </c>
      <c r="V1932">
        <f>SUM(W1932:X1932)+(Y1932*0.8)+(Z1932*0.4)</f>
        <v>0.1</v>
      </c>
      <c r="W1932">
        <v>0.1</v>
      </c>
      <c r="X1932">
        <v>0</v>
      </c>
      <c r="Y1932">
        <v>0</v>
      </c>
      <c r="Z1932">
        <v>0</v>
      </c>
      <c r="AA1932" t="s">
        <v>43</v>
      </c>
      <c r="AB1932">
        <v>0.1</v>
      </c>
      <c r="AD1932" t="s">
        <v>6097</v>
      </c>
      <c r="AE1932" t="s">
        <v>6098</v>
      </c>
    </row>
    <row r="1933" spans="1:31" x14ac:dyDescent="0.25">
      <c r="A1933" t="s">
        <v>31</v>
      </c>
      <c r="C1933" t="s">
        <v>7190</v>
      </c>
      <c r="D1933" t="s">
        <v>2134</v>
      </c>
      <c r="E1933" t="s">
        <v>34</v>
      </c>
      <c r="F1933" t="s">
        <v>35</v>
      </c>
      <c r="G1933">
        <v>1999</v>
      </c>
      <c r="H1933" t="s">
        <v>36</v>
      </c>
      <c r="I1933" t="s">
        <v>7201</v>
      </c>
      <c r="J1933" t="s">
        <v>31</v>
      </c>
      <c r="K1933" t="s">
        <v>38</v>
      </c>
      <c r="L1933" t="s">
        <v>68</v>
      </c>
      <c r="M1933" t="s">
        <v>69</v>
      </c>
      <c r="N1933" t="s">
        <v>540</v>
      </c>
      <c r="O1933" t="s">
        <v>2134</v>
      </c>
      <c r="P1933" t="s">
        <v>5172</v>
      </c>
      <c r="Q1933" t="s">
        <v>5173</v>
      </c>
      <c r="T1933">
        <v>32.751633282999997</v>
      </c>
      <c r="U1933">
        <v>-97.331666829</v>
      </c>
      <c r="V1933">
        <f>SUM(W1933:X1933)+(Y1933*0.8)+(Z1933*0.4)</f>
        <v>0.1</v>
      </c>
      <c r="W1933">
        <v>0.1</v>
      </c>
      <c r="X1933">
        <v>0</v>
      </c>
      <c r="Y1933">
        <v>0</v>
      </c>
      <c r="Z1933">
        <v>0</v>
      </c>
      <c r="AA1933" t="s">
        <v>43</v>
      </c>
      <c r="AB1933">
        <v>0.09</v>
      </c>
      <c r="AD1933" t="s">
        <v>7202</v>
      </c>
      <c r="AE1933" t="s">
        <v>7203</v>
      </c>
    </row>
    <row r="1934" spans="1:31" x14ac:dyDescent="0.25">
      <c r="A1934" t="s">
        <v>31</v>
      </c>
      <c r="C1934" t="s">
        <v>2516</v>
      </c>
      <c r="D1934" t="s">
        <v>2517</v>
      </c>
      <c r="E1934" t="s">
        <v>34</v>
      </c>
      <c r="F1934" t="s">
        <v>35</v>
      </c>
      <c r="G1934">
        <v>1999</v>
      </c>
      <c r="H1934" t="s">
        <v>36</v>
      </c>
      <c r="I1934" t="s">
        <v>2518</v>
      </c>
      <c r="J1934" t="s">
        <v>31</v>
      </c>
      <c r="K1934" t="s">
        <v>38</v>
      </c>
      <c r="L1934" t="s">
        <v>2519</v>
      </c>
      <c r="M1934" t="s">
        <v>2520</v>
      </c>
      <c r="N1934" t="s">
        <v>2521</v>
      </c>
      <c r="O1934" t="s">
        <v>2522</v>
      </c>
      <c r="P1934" t="s">
        <v>2523</v>
      </c>
      <c r="Q1934" t="s">
        <v>2524</v>
      </c>
      <c r="T1934">
        <v>44.506679466999998</v>
      </c>
      <c r="U1934">
        <v>-73.132645820999997</v>
      </c>
      <c r="V1934">
        <f>SUM(W1934:X1934)+(Y1934*0.8)+(Z1934*0.4)</f>
        <v>0.1</v>
      </c>
      <c r="W1934">
        <v>0.1</v>
      </c>
      <c r="X1934">
        <v>0</v>
      </c>
      <c r="Y1934">
        <v>0</v>
      </c>
      <c r="Z1934">
        <v>0</v>
      </c>
      <c r="AA1934" t="s">
        <v>43</v>
      </c>
      <c r="AB1934">
        <v>9.5000000000000001E-2</v>
      </c>
      <c r="AD1934" t="s">
        <v>2525</v>
      </c>
      <c r="AE1934" t="s">
        <v>2526</v>
      </c>
    </row>
    <row r="1935" spans="1:31" x14ac:dyDescent="0.25">
      <c r="A1935" t="s">
        <v>31</v>
      </c>
      <c r="C1935" t="s">
        <v>11183</v>
      </c>
      <c r="D1935" t="s">
        <v>11191</v>
      </c>
      <c r="E1935" t="s">
        <v>362</v>
      </c>
      <c r="F1935" t="s">
        <v>1611</v>
      </c>
      <c r="G1935">
        <v>1998</v>
      </c>
      <c r="H1935" t="s">
        <v>36</v>
      </c>
      <c r="I1935" t="s">
        <v>11192</v>
      </c>
      <c r="J1935" t="s">
        <v>31</v>
      </c>
      <c r="K1935" t="s">
        <v>38</v>
      </c>
      <c r="L1935" t="s">
        <v>123</v>
      </c>
      <c r="M1935" t="s">
        <v>124</v>
      </c>
      <c r="N1935" t="s">
        <v>8501</v>
      </c>
      <c r="O1935" t="s">
        <v>11193</v>
      </c>
      <c r="P1935" t="s">
        <v>11194</v>
      </c>
      <c r="Q1935" t="s">
        <v>138</v>
      </c>
      <c r="T1935">
        <v>43.050222097999999</v>
      </c>
      <c r="U1935">
        <v>-76.150374006000007</v>
      </c>
      <c r="V1935">
        <f>SUM(W1935:X1935)+(Y1935*0.8)+(Z1935*0.4)</f>
        <v>0.1</v>
      </c>
      <c r="W1935">
        <v>0.1</v>
      </c>
      <c r="X1935">
        <v>0</v>
      </c>
      <c r="Y1935">
        <v>0</v>
      </c>
      <c r="Z1935">
        <v>0</v>
      </c>
      <c r="AA1935" t="s">
        <v>43</v>
      </c>
      <c r="AB1935">
        <v>0.1</v>
      </c>
      <c r="AD1935" t="s">
        <v>11195</v>
      </c>
      <c r="AE1935" t="s">
        <v>11196</v>
      </c>
    </row>
    <row r="1936" spans="1:31" x14ac:dyDescent="0.25">
      <c r="A1936" t="s">
        <v>31</v>
      </c>
      <c r="C1936" t="s">
        <v>4658</v>
      </c>
      <c r="D1936" t="s">
        <v>4659</v>
      </c>
      <c r="E1936" t="s">
        <v>34</v>
      </c>
      <c r="F1936" t="s">
        <v>35</v>
      </c>
      <c r="G1936">
        <v>1998</v>
      </c>
      <c r="H1936" t="s">
        <v>36</v>
      </c>
      <c r="I1936" t="s">
        <v>4660</v>
      </c>
      <c r="J1936" t="s">
        <v>31</v>
      </c>
      <c r="K1936" t="s">
        <v>38</v>
      </c>
      <c r="L1936" t="s">
        <v>172</v>
      </c>
      <c r="M1936" t="s">
        <v>173</v>
      </c>
      <c r="N1936" t="s">
        <v>4661</v>
      </c>
      <c r="O1936" t="s">
        <v>4662</v>
      </c>
      <c r="P1936" t="s">
        <v>4663</v>
      </c>
      <c r="T1936">
        <v>35.255350945000004</v>
      </c>
      <c r="U1936">
        <v>-120.641497996</v>
      </c>
      <c r="V1936">
        <f>SUM(W1936:X1936)+(Y1936*0.8)+(Z1936*0.4)</f>
        <v>0.1</v>
      </c>
      <c r="W1936">
        <v>0.1</v>
      </c>
      <c r="X1936">
        <v>0</v>
      </c>
      <c r="Y1936">
        <v>0</v>
      </c>
      <c r="Z1936">
        <v>0</v>
      </c>
      <c r="AA1936" t="s">
        <v>43</v>
      </c>
      <c r="AB1936">
        <v>0.1</v>
      </c>
      <c r="AD1936" t="s">
        <v>4664</v>
      </c>
      <c r="AE1936" t="s">
        <v>4665</v>
      </c>
    </row>
    <row r="1937" spans="1:31" x14ac:dyDescent="0.25">
      <c r="A1937" t="s">
        <v>31</v>
      </c>
      <c r="C1937" t="s">
        <v>7218</v>
      </c>
      <c r="D1937" t="s">
        <v>2396</v>
      </c>
      <c r="E1937" t="s">
        <v>362</v>
      </c>
      <c r="F1937" t="s">
        <v>1611</v>
      </c>
      <c r="G1937">
        <v>1997</v>
      </c>
      <c r="H1937" t="s">
        <v>36</v>
      </c>
      <c r="I1937" t="s">
        <v>7346</v>
      </c>
      <c r="J1937" t="s">
        <v>31</v>
      </c>
      <c r="K1937" t="s">
        <v>38</v>
      </c>
      <c r="L1937" t="s">
        <v>383</v>
      </c>
      <c r="M1937" t="s">
        <v>384</v>
      </c>
      <c r="N1937" t="s">
        <v>1319</v>
      </c>
      <c r="O1937" t="s">
        <v>2396</v>
      </c>
      <c r="P1937" t="s">
        <v>7347</v>
      </c>
      <c r="T1937">
        <v>36.068947033000001</v>
      </c>
      <c r="U1937">
        <v>-79.951626442999995</v>
      </c>
      <c r="V1937">
        <f>SUM(W1937:X1937)+(Y1937*0.8)+(Z1937*0.4)</f>
        <v>0.1</v>
      </c>
      <c r="W1937">
        <v>0.1</v>
      </c>
      <c r="X1937">
        <v>0</v>
      </c>
      <c r="Y1937">
        <v>0</v>
      </c>
      <c r="Z1937">
        <v>0</v>
      </c>
      <c r="AA1937" t="s">
        <v>43</v>
      </c>
      <c r="AB1937">
        <v>0.1</v>
      </c>
      <c r="AD1937" t="s">
        <v>7348</v>
      </c>
      <c r="AE1937" t="s">
        <v>7349</v>
      </c>
    </row>
    <row r="1938" spans="1:31" x14ac:dyDescent="0.25">
      <c r="A1938" t="s">
        <v>31</v>
      </c>
      <c r="C1938" t="s">
        <v>4695</v>
      </c>
      <c r="D1938" t="s">
        <v>4702</v>
      </c>
      <c r="E1938" t="s">
        <v>34</v>
      </c>
      <c r="F1938" t="s">
        <v>35</v>
      </c>
      <c r="G1938">
        <v>1997</v>
      </c>
      <c r="H1938" t="s">
        <v>36</v>
      </c>
      <c r="I1938" t="s">
        <v>4703</v>
      </c>
      <c r="J1938" t="s">
        <v>31</v>
      </c>
      <c r="K1938" t="s">
        <v>38</v>
      </c>
      <c r="L1938" t="s">
        <v>77</v>
      </c>
      <c r="M1938" t="s">
        <v>78</v>
      </c>
      <c r="N1938" t="s">
        <v>1358</v>
      </c>
      <c r="O1938" t="s">
        <v>1518</v>
      </c>
      <c r="P1938" t="s">
        <v>4704</v>
      </c>
      <c r="Q1938" t="s">
        <v>4705</v>
      </c>
      <c r="T1938">
        <v>40.438922681000001</v>
      </c>
      <c r="U1938">
        <v>-80.000543127</v>
      </c>
      <c r="V1938">
        <f>SUM(W1938:X1938)+(Y1938*0.8)+(Z1938*0.4)</f>
        <v>0.1</v>
      </c>
      <c r="W1938">
        <v>0.1</v>
      </c>
      <c r="X1938">
        <v>0</v>
      </c>
      <c r="Y1938">
        <v>0</v>
      </c>
      <c r="Z1938">
        <v>0</v>
      </c>
      <c r="AA1938" t="s">
        <v>43</v>
      </c>
      <c r="AB1938">
        <v>0.09</v>
      </c>
      <c r="AD1938" t="s">
        <v>4706</v>
      </c>
      <c r="AE1938" t="s">
        <v>4707</v>
      </c>
    </row>
    <row r="1939" spans="1:31" x14ac:dyDescent="0.25">
      <c r="A1939" t="s">
        <v>31</v>
      </c>
      <c r="C1939" t="s">
        <v>8498</v>
      </c>
      <c r="D1939" t="s">
        <v>8506</v>
      </c>
      <c r="E1939" t="s">
        <v>34</v>
      </c>
      <c r="F1939" t="s">
        <v>35</v>
      </c>
      <c r="G1939">
        <v>1995</v>
      </c>
      <c r="H1939" t="s">
        <v>36</v>
      </c>
      <c r="I1939" t="s">
        <v>8507</v>
      </c>
      <c r="J1939" t="s">
        <v>31</v>
      </c>
      <c r="K1939" t="s">
        <v>38</v>
      </c>
      <c r="L1939" t="s">
        <v>123</v>
      </c>
      <c r="M1939" t="s">
        <v>124</v>
      </c>
      <c r="N1939" t="s">
        <v>8508</v>
      </c>
      <c r="O1939" t="s">
        <v>8509</v>
      </c>
      <c r="P1939" t="s">
        <v>8510</v>
      </c>
      <c r="Q1939" t="s">
        <v>8509</v>
      </c>
      <c r="T1939">
        <v>43.099796402999999</v>
      </c>
      <c r="U1939">
        <v>-75.235347126999997</v>
      </c>
      <c r="V1939">
        <f>SUM(W1939:X1939)+(Y1939*0.8)+(Z1939*0.4)</f>
        <v>0.1</v>
      </c>
      <c r="W1939">
        <v>0.1</v>
      </c>
      <c r="X1939">
        <v>0</v>
      </c>
      <c r="Y1939">
        <v>0</v>
      </c>
      <c r="Z1939">
        <v>0</v>
      </c>
      <c r="AA1939" t="s">
        <v>43</v>
      </c>
      <c r="AB1939">
        <v>9.6000000000000002E-2</v>
      </c>
      <c r="AD1939" t="s">
        <v>8511</v>
      </c>
      <c r="AE1939" t="s">
        <v>8512</v>
      </c>
    </row>
    <row r="1940" spans="1:31" x14ac:dyDescent="0.25">
      <c r="A1940" t="s">
        <v>31</v>
      </c>
      <c r="C1940" t="s">
        <v>2584</v>
      </c>
      <c r="D1940" t="s">
        <v>434</v>
      </c>
      <c r="E1940" t="s">
        <v>34</v>
      </c>
      <c r="F1940" t="s">
        <v>35</v>
      </c>
      <c r="G1940">
        <v>1995</v>
      </c>
      <c r="H1940" t="s">
        <v>36</v>
      </c>
      <c r="I1940" t="s">
        <v>2585</v>
      </c>
      <c r="J1940" t="s">
        <v>31</v>
      </c>
      <c r="K1940" t="s">
        <v>38</v>
      </c>
      <c r="L1940" t="s">
        <v>172</v>
      </c>
      <c r="M1940" t="s">
        <v>173</v>
      </c>
      <c r="N1940" t="s">
        <v>433</v>
      </c>
      <c r="O1940" t="s">
        <v>434</v>
      </c>
      <c r="P1940" t="s">
        <v>2586</v>
      </c>
      <c r="T1940">
        <v>33.831810005000001</v>
      </c>
      <c r="U1940">
        <v>-117.91821790199999</v>
      </c>
      <c r="V1940">
        <f>SUM(W1940:X1940)+(Y1940*0.8)+(Z1940*0.4)</f>
        <v>0.1</v>
      </c>
      <c r="W1940">
        <v>0.1</v>
      </c>
      <c r="X1940">
        <v>0</v>
      </c>
      <c r="Y1940">
        <v>0</v>
      </c>
      <c r="Z1940">
        <v>0</v>
      </c>
      <c r="AA1940" t="s">
        <v>43</v>
      </c>
      <c r="AB1940">
        <v>0.09</v>
      </c>
      <c r="AD1940" t="s">
        <v>2587</v>
      </c>
      <c r="AE1940" t="s">
        <v>2588</v>
      </c>
    </row>
    <row r="1941" spans="1:31" x14ac:dyDescent="0.25">
      <c r="A1941" t="s">
        <v>31</v>
      </c>
      <c r="C1941" t="s">
        <v>2033</v>
      </c>
      <c r="D1941" t="s">
        <v>1952</v>
      </c>
      <c r="E1941" t="s">
        <v>362</v>
      </c>
      <c r="F1941" t="s">
        <v>381</v>
      </c>
      <c r="G1941">
        <v>1994</v>
      </c>
      <c r="H1941" t="s">
        <v>36</v>
      </c>
      <c r="I1941" t="s">
        <v>2041</v>
      </c>
      <c r="J1941" t="s">
        <v>31</v>
      </c>
      <c r="K1941" t="s">
        <v>38</v>
      </c>
      <c r="L1941" t="s">
        <v>68</v>
      </c>
      <c r="M1941" t="s">
        <v>69</v>
      </c>
      <c r="N1941" t="s">
        <v>1951</v>
      </c>
      <c r="O1941" t="s">
        <v>1952</v>
      </c>
      <c r="P1941" t="s">
        <v>2042</v>
      </c>
      <c r="S1941" t="s">
        <v>2043</v>
      </c>
      <c r="T1941">
        <v>29.727162151999998</v>
      </c>
      <c r="U1941">
        <v>-95.554562020999995</v>
      </c>
      <c r="V1941">
        <f>SUM(W1941:X1941)+(Y1941*0.8)+(Z1941*0.4)</f>
        <v>0.1</v>
      </c>
      <c r="W1941">
        <v>0.1</v>
      </c>
      <c r="X1941">
        <v>0</v>
      </c>
      <c r="Y1941">
        <v>0</v>
      </c>
      <c r="Z1941">
        <v>0</v>
      </c>
      <c r="AA1941" t="s">
        <v>43</v>
      </c>
      <c r="AB1941">
        <v>0.1</v>
      </c>
      <c r="AD1941" t="s">
        <v>2044</v>
      </c>
      <c r="AE1941" t="s">
        <v>2045</v>
      </c>
    </row>
    <row r="1942" spans="1:31" x14ac:dyDescent="0.25">
      <c r="A1942" t="s">
        <v>31</v>
      </c>
      <c r="C1942" t="s">
        <v>2301</v>
      </c>
      <c r="D1942" t="s">
        <v>2352</v>
      </c>
      <c r="E1942" t="s">
        <v>34</v>
      </c>
      <c r="F1942" t="s">
        <v>35</v>
      </c>
      <c r="G1942">
        <v>2003</v>
      </c>
      <c r="H1942" t="s">
        <v>36</v>
      </c>
      <c r="I1942" t="s">
        <v>2353</v>
      </c>
      <c r="J1942" t="s">
        <v>31</v>
      </c>
      <c r="K1942" t="s">
        <v>38</v>
      </c>
      <c r="L1942" t="s">
        <v>133</v>
      </c>
      <c r="M1942" t="s">
        <v>134</v>
      </c>
      <c r="N1942" t="s">
        <v>2354</v>
      </c>
      <c r="O1942" t="s">
        <v>2355</v>
      </c>
      <c r="P1942" t="s">
        <v>2356</v>
      </c>
      <c r="S1942" t="s">
        <v>2357</v>
      </c>
      <c r="T1942">
        <v>44.118339835</v>
      </c>
      <c r="U1942">
        <v>-123.16792373</v>
      </c>
      <c r="V1942">
        <f>SUM(W1942:X1942)+(Y1942*0.8)+(Z1942*0.4)</f>
        <v>0.08</v>
      </c>
      <c r="W1942">
        <v>0.08</v>
      </c>
      <c r="X1942">
        <v>0</v>
      </c>
      <c r="Y1942">
        <v>0</v>
      </c>
      <c r="Z1942">
        <v>0</v>
      </c>
      <c r="AA1942" t="s">
        <v>43</v>
      </c>
      <c r="AB1942">
        <v>0.08</v>
      </c>
      <c r="AD1942" t="s">
        <v>2358</v>
      </c>
      <c r="AE1942" t="s">
        <v>2359</v>
      </c>
    </row>
    <row r="1943" spans="1:31" x14ac:dyDescent="0.25">
      <c r="A1943" t="s">
        <v>31</v>
      </c>
      <c r="C1943" t="s">
        <v>6725</v>
      </c>
      <c r="D1943" t="s">
        <v>6726</v>
      </c>
      <c r="E1943" t="s">
        <v>362</v>
      </c>
      <c r="F1943" t="s">
        <v>1611</v>
      </c>
      <c r="G1943">
        <v>1997</v>
      </c>
      <c r="H1943" t="s">
        <v>36</v>
      </c>
      <c r="I1943" t="s">
        <v>6727</v>
      </c>
      <c r="J1943" t="s">
        <v>31</v>
      </c>
      <c r="K1943" t="s">
        <v>38</v>
      </c>
      <c r="L1943" t="s">
        <v>1433</v>
      </c>
      <c r="M1943" t="s">
        <v>1434</v>
      </c>
      <c r="N1943" t="s">
        <v>6728</v>
      </c>
      <c r="O1943" t="s">
        <v>6729</v>
      </c>
      <c r="P1943" t="s">
        <v>6730</v>
      </c>
      <c r="T1943">
        <v>42.499648061000002</v>
      </c>
      <c r="U1943">
        <v>-96.389914309000005</v>
      </c>
      <c r="V1943">
        <f>SUM(W1943:X1943)+(Y1943*0.8)+(Z1943*0.4)</f>
        <v>0.08</v>
      </c>
      <c r="W1943">
        <v>0.08</v>
      </c>
      <c r="X1943">
        <v>0</v>
      </c>
      <c r="Y1943">
        <v>0</v>
      </c>
      <c r="Z1943">
        <v>0</v>
      </c>
      <c r="AA1943" t="s">
        <v>43</v>
      </c>
      <c r="AB1943">
        <v>0.08</v>
      </c>
      <c r="AD1943" t="s">
        <v>6731</v>
      </c>
      <c r="AE1943" t="s">
        <v>6732</v>
      </c>
    </row>
    <row r="1944" spans="1:31" x14ac:dyDescent="0.25">
      <c r="A1944" t="s">
        <v>31</v>
      </c>
      <c r="C1944" t="s">
        <v>7596</v>
      </c>
      <c r="D1944" t="s">
        <v>7597</v>
      </c>
      <c r="E1944" t="s">
        <v>362</v>
      </c>
      <c r="F1944" t="s">
        <v>630</v>
      </c>
      <c r="G1944">
        <v>2000</v>
      </c>
      <c r="H1944" t="s">
        <v>36</v>
      </c>
      <c r="I1944" t="s">
        <v>7598</v>
      </c>
      <c r="J1944" t="s">
        <v>31</v>
      </c>
      <c r="K1944" t="s">
        <v>38</v>
      </c>
      <c r="L1944" t="s">
        <v>383</v>
      </c>
      <c r="M1944" t="s">
        <v>384</v>
      </c>
      <c r="N1944" t="s">
        <v>7599</v>
      </c>
      <c r="T1944">
        <v>35.199689573000001</v>
      </c>
      <c r="U1944">
        <v>-82.872990637000001</v>
      </c>
      <c r="V1944">
        <f>SUM(W1944:X1944)+(Y1944*0.8)+(Z1944*0.4)</f>
        <v>7.0000000000000007E-2</v>
      </c>
      <c r="W1944">
        <v>7.0000000000000007E-2</v>
      </c>
      <c r="X1944">
        <v>0</v>
      </c>
      <c r="Y1944">
        <v>0</v>
      </c>
      <c r="Z1944">
        <v>0</v>
      </c>
      <c r="AA1944" t="s">
        <v>43</v>
      </c>
      <c r="AB1944">
        <v>7.0000000000000007E-2</v>
      </c>
      <c r="AD1944" t="s">
        <v>7600</v>
      </c>
      <c r="AE1944" t="s">
        <v>7601</v>
      </c>
    </row>
    <row r="1945" spans="1:31" x14ac:dyDescent="0.25">
      <c r="A1945" t="s">
        <v>31</v>
      </c>
      <c r="C1945" t="s">
        <v>7483</v>
      </c>
      <c r="D1945" t="s">
        <v>7484</v>
      </c>
      <c r="E1945" t="s">
        <v>362</v>
      </c>
      <c r="F1945" t="s">
        <v>1611</v>
      </c>
      <c r="G1945">
        <v>1994</v>
      </c>
      <c r="H1945" t="s">
        <v>36</v>
      </c>
      <c r="I1945" t="s">
        <v>7485</v>
      </c>
      <c r="J1945" t="s">
        <v>31</v>
      </c>
      <c r="K1945" t="s">
        <v>38</v>
      </c>
      <c r="L1945" t="s">
        <v>1457</v>
      </c>
      <c r="M1945" t="s">
        <v>1458</v>
      </c>
      <c r="N1945" t="s">
        <v>319</v>
      </c>
      <c r="O1945" t="s">
        <v>3904</v>
      </c>
      <c r="P1945" t="s">
        <v>5838</v>
      </c>
      <c r="S1945" t="s">
        <v>7486</v>
      </c>
      <c r="T1945">
        <v>36.156397183999999</v>
      </c>
      <c r="U1945">
        <v>-115.15205971499999</v>
      </c>
      <c r="V1945">
        <f>SUM(W1945:X1945)+(Y1945*0.8)+(Z1945*0.4)</f>
        <v>6.5000000000000002E-2</v>
      </c>
      <c r="W1945">
        <v>6.5000000000000002E-2</v>
      </c>
      <c r="X1945">
        <v>0</v>
      </c>
      <c r="Y1945">
        <v>0</v>
      </c>
      <c r="Z1945">
        <v>0</v>
      </c>
      <c r="AA1945" t="s">
        <v>43</v>
      </c>
      <c r="AB1945">
        <v>6.5000000000000002E-2</v>
      </c>
      <c r="AD1945" t="s">
        <v>7487</v>
      </c>
      <c r="AE1945" t="s">
        <v>7488</v>
      </c>
    </row>
    <row r="1946" spans="1:31" x14ac:dyDescent="0.25">
      <c r="A1946" t="s">
        <v>31</v>
      </c>
      <c r="C1946" t="s">
        <v>1332</v>
      </c>
      <c r="D1946" t="s">
        <v>1356</v>
      </c>
      <c r="E1946" t="s">
        <v>34</v>
      </c>
      <c r="F1946" t="s">
        <v>35</v>
      </c>
      <c r="G1946">
        <v>2021</v>
      </c>
      <c r="H1946" t="s">
        <v>36</v>
      </c>
      <c r="I1946" t="s">
        <v>1357</v>
      </c>
      <c r="J1946" t="s">
        <v>31</v>
      </c>
      <c r="K1946" t="s">
        <v>38</v>
      </c>
      <c r="L1946" t="s">
        <v>77</v>
      </c>
      <c r="M1946" t="s">
        <v>78</v>
      </c>
      <c r="N1946" t="s">
        <v>1358</v>
      </c>
      <c r="O1946" t="s">
        <v>1359</v>
      </c>
      <c r="P1946" t="s">
        <v>1360</v>
      </c>
      <c r="Q1946" t="s">
        <v>1361</v>
      </c>
      <c r="T1946">
        <v>40.396868374999997</v>
      </c>
      <c r="U1946">
        <v>-79.977530880000003</v>
      </c>
      <c r="V1946">
        <f>SUM(W1946:X1946)+(Y1946*0.8)+(Z1946*0.4)</f>
        <v>0.05</v>
      </c>
      <c r="W1946">
        <v>0.05</v>
      </c>
      <c r="X1946">
        <v>0</v>
      </c>
      <c r="Y1946">
        <v>0</v>
      </c>
      <c r="Z1946">
        <v>0</v>
      </c>
      <c r="AA1946" t="s">
        <v>43</v>
      </c>
      <c r="AB1946">
        <v>4.2999999999999997E-2</v>
      </c>
      <c r="AD1946" t="s">
        <v>1362</v>
      </c>
      <c r="AE1946" t="s">
        <v>1363</v>
      </c>
    </row>
    <row r="1947" spans="1:31" x14ac:dyDescent="0.25">
      <c r="A1947" t="s">
        <v>31</v>
      </c>
      <c r="C1947" t="s">
        <v>1332</v>
      </c>
      <c r="D1947" t="s">
        <v>1348</v>
      </c>
      <c r="E1947" t="s">
        <v>34</v>
      </c>
      <c r="F1947" t="s">
        <v>35</v>
      </c>
      <c r="G1947">
        <v>2020</v>
      </c>
      <c r="H1947" t="s">
        <v>36</v>
      </c>
      <c r="I1947" t="s">
        <v>1349</v>
      </c>
      <c r="J1947" t="s">
        <v>31</v>
      </c>
      <c r="K1947" t="s">
        <v>38</v>
      </c>
      <c r="L1947" t="s">
        <v>68</v>
      </c>
      <c r="M1947" t="s">
        <v>69</v>
      </c>
      <c r="N1947" t="s">
        <v>1350</v>
      </c>
      <c r="O1947" t="s">
        <v>1351</v>
      </c>
      <c r="P1947" t="s">
        <v>1352</v>
      </c>
      <c r="Q1947" t="s">
        <v>1353</v>
      </c>
      <c r="T1947">
        <v>30.2790541</v>
      </c>
      <c r="U1947">
        <v>-97.760270570000003</v>
      </c>
      <c r="V1947">
        <f>SUM(W1947:X1947)+(Y1947*0.8)+(Z1947*0.4)</f>
        <v>0.05</v>
      </c>
      <c r="W1947">
        <v>0.05</v>
      </c>
      <c r="X1947">
        <v>0</v>
      </c>
      <c r="Y1947">
        <v>0</v>
      </c>
      <c r="Z1947">
        <v>0</v>
      </c>
      <c r="AA1947" t="s">
        <v>43</v>
      </c>
      <c r="AB1947">
        <v>0.04</v>
      </c>
      <c r="AD1947" t="s">
        <v>1354</v>
      </c>
      <c r="AE1947" t="s">
        <v>1355</v>
      </c>
    </row>
    <row r="1948" spans="1:31" x14ac:dyDescent="0.25">
      <c r="A1948" t="s">
        <v>31</v>
      </c>
      <c r="C1948" t="s">
        <v>5958</v>
      </c>
      <c r="D1948" t="s">
        <v>2618</v>
      </c>
      <c r="E1948" t="s">
        <v>34</v>
      </c>
      <c r="F1948" t="s">
        <v>35</v>
      </c>
      <c r="G1948">
        <v>2011</v>
      </c>
      <c r="H1948" t="s">
        <v>36</v>
      </c>
      <c r="I1948" t="s">
        <v>5959</v>
      </c>
      <c r="J1948" t="s">
        <v>31</v>
      </c>
      <c r="K1948" t="s">
        <v>38</v>
      </c>
      <c r="L1948" t="s">
        <v>2620</v>
      </c>
      <c r="M1948" t="s">
        <v>2621</v>
      </c>
      <c r="N1948" t="s">
        <v>2622</v>
      </c>
      <c r="O1948" t="s">
        <v>2618</v>
      </c>
      <c r="P1948" t="s">
        <v>5960</v>
      </c>
      <c r="S1948" t="s">
        <v>2624</v>
      </c>
      <c r="T1948">
        <v>29.952914717999999</v>
      </c>
      <c r="U1948">
        <v>-90.073150650000002</v>
      </c>
      <c r="V1948">
        <f>SUM(W1948:X1948)+(Y1948*0.8)+(Z1948*0.4)</f>
        <v>0.05</v>
      </c>
      <c r="W1948">
        <v>0.05</v>
      </c>
      <c r="X1948">
        <v>0</v>
      </c>
      <c r="Y1948">
        <v>0</v>
      </c>
      <c r="Z1948">
        <v>0</v>
      </c>
      <c r="AA1948" t="s">
        <v>43</v>
      </c>
      <c r="AB1948">
        <v>3.5000000000000003E-2</v>
      </c>
      <c r="AD1948" t="s">
        <v>5961</v>
      </c>
      <c r="AE1948" t="s">
        <v>5962</v>
      </c>
    </row>
    <row r="1949" spans="1:31" x14ac:dyDescent="0.25">
      <c r="A1949" t="s">
        <v>31</v>
      </c>
      <c r="C1949" t="s">
        <v>8812</v>
      </c>
      <c r="D1949" t="s">
        <v>4053</v>
      </c>
      <c r="E1949" t="s">
        <v>34</v>
      </c>
      <c r="F1949" t="s">
        <v>35</v>
      </c>
      <c r="G1949">
        <v>2007</v>
      </c>
      <c r="H1949" t="s">
        <v>36</v>
      </c>
      <c r="I1949" t="s">
        <v>8813</v>
      </c>
      <c r="J1949" t="s">
        <v>31</v>
      </c>
      <c r="K1949" t="s">
        <v>38</v>
      </c>
      <c r="L1949" t="s">
        <v>260</v>
      </c>
      <c r="M1949" t="s">
        <v>261</v>
      </c>
      <c r="N1949" t="s">
        <v>2036</v>
      </c>
      <c r="O1949" t="s">
        <v>4053</v>
      </c>
      <c r="P1949" t="s">
        <v>8814</v>
      </c>
      <c r="T1949">
        <v>35.037393379000001</v>
      </c>
      <c r="U1949">
        <v>-85.293129363999995</v>
      </c>
      <c r="V1949">
        <f>SUM(W1949:X1949)+(Y1949*0.8)+(Z1949*0.4)</f>
        <v>0.05</v>
      </c>
      <c r="W1949">
        <v>0.05</v>
      </c>
      <c r="X1949">
        <v>0</v>
      </c>
      <c r="Y1949">
        <v>0</v>
      </c>
      <c r="Z1949">
        <v>0</v>
      </c>
      <c r="AA1949" t="s">
        <v>43</v>
      </c>
      <c r="AB1949">
        <v>0.05</v>
      </c>
      <c r="AD1949" t="s">
        <v>8815</v>
      </c>
      <c r="AE1949" t="s">
        <v>8816</v>
      </c>
    </row>
    <row r="1950" spans="1:31" x14ac:dyDescent="0.25">
      <c r="A1950" t="s">
        <v>31</v>
      </c>
      <c r="C1950" t="s">
        <v>7483</v>
      </c>
      <c r="D1950" t="s">
        <v>7489</v>
      </c>
      <c r="E1950" t="s">
        <v>362</v>
      </c>
      <c r="F1950" t="s">
        <v>1611</v>
      </c>
      <c r="G1950">
        <v>2007</v>
      </c>
      <c r="H1950" t="s">
        <v>36</v>
      </c>
      <c r="I1950" t="s">
        <v>7490</v>
      </c>
      <c r="J1950" t="s">
        <v>31</v>
      </c>
      <c r="K1950" t="s">
        <v>38</v>
      </c>
      <c r="L1950" t="s">
        <v>1457</v>
      </c>
      <c r="M1950" t="s">
        <v>1458</v>
      </c>
      <c r="N1950" t="s">
        <v>319</v>
      </c>
      <c r="O1950" t="s">
        <v>7301</v>
      </c>
      <c r="P1950" t="s">
        <v>7491</v>
      </c>
      <c r="S1950" t="s">
        <v>7492</v>
      </c>
      <c r="T1950">
        <v>36.157591379000003</v>
      </c>
      <c r="U1950">
        <v>-115.113972676</v>
      </c>
      <c r="V1950">
        <f>SUM(W1950:X1950)+(Y1950*0.8)+(Z1950*0.4)</f>
        <v>0.05</v>
      </c>
      <c r="W1950">
        <v>0.05</v>
      </c>
      <c r="X1950">
        <v>0</v>
      </c>
      <c r="Y1950">
        <v>0</v>
      </c>
      <c r="Z1950">
        <v>0</v>
      </c>
      <c r="AA1950" t="s">
        <v>43</v>
      </c>
      <c r="AB1950">
        <v>0.05</v>
      </c>
      <c r="AD1950" t="s">
        <v>7493</v>
      </c>
      <c r="AE1950" t="s">
        <v>7494</v>
      </c>
    </row>
    <row r="1951" spans="1:31" x14ac:dyDescent="0.25">
      <c r="A1951" t="s">
        <v>31</v>
      </c>
      <c r="C1951" t="s">
        <v>4143</v>
      </c>
      <c r="D1951" t="s">
        <v>6024</v>
      </c>
      <c r="E1951" t="s">
        <v>34</v>
      </c>
      <c r="F1951" t="s">
        <v>35</v>
      </c>
      <c r="G1951">
        <v>2001</v>
      </c>
      <c r="H1951" t="s">
        <v>36</v>
      </c>
      <c r="I1951" t="s">
        <v>6761</v>
      </c>
      <c r="J1951" t="s">
        <v>31</v>
      </c>
      <c r="K1951" t="s">
        <v>38</v>
      </c>
      <c r="L1951" t="s">
        <v>143</v>
      </c>
      <c r="M1951" t="s">
        <v>144</v>
      </c>
      <c r="N1951" t="s">
        <v>6023</v>
      </c>
      <c r="O1951" t="s">
        <v>6024</v>
      </c>
      <c r="P1951" t="s">
        <v>6762</v>
      </c>
      <c r="Q1951" t="s">
        <v>6763</v>
      </c>
      <c r="T1951">
        <v>41.118264078999999</v>
      </c>
      <c r="U1951">
        <v>-85.151641728000001</v>
      </c>
      <c r="V1951">
        <f>SUM(W1951:X1951)+(Y1951*0.8)+(Z1951*0.4)</f>
        <v>0.05</v>
      </c>
      <c r="W1951">
        <v>0.05</v>
      </c>
      <c r="X1951">
        <v>0</v>
      </c>
      <c r="Y1951">
        <v>0</v>
      </c>
      <c r="Z1951">
        <v>0</v>
      </c>
      <c r="AA1951" t="s">
        <v>43</v>
      </c>
      <c r="AB1951">
        <v>0.05</v>
      </c>
      <c r="AD1951" t="s">
        <v>6764</v>
      </c>
      <c r="AE1951" t="s">
        <v>6765</v>
      </c>
    </row>
    <row r="1952" spans="1:31" x14ac:dyDescent="0.25">
      <c r="A1952" t="s">
        <v>31</v>
      </c>
      <c r="C1952" t="s">
        <v>6089</v>
      </c>
      <c r="D1952" t="s">
        <v>6090</v>
      </c>
      <c r="E1952" t="s">
        <v>34</v>
      </c>
      <c r="F1952" t="s">
        <v>35</v>
      </c>
      <c r="G1952">
        <v>2000</v>
      </c>
      <c r="H1952" t="s">
        <v>36</v>
      </c>
      <c r="I1952" t="s">
        <v>6091</v>
      </c>
      <c r="J1952" t="s">
        <v>31</v>
      </c>
      <c r="K1952" t="s">
        <v>38</v>
      </c>
      <c r="L1952" t="s">
        <v>143</v>
      </c>
      <c r="M1952" t="s">
        <v>144</v>
      </c>
      <c r="N1952" t="s">
        <v>3891</v>
      </c>
      <c r="O1952" t="s">
        <v>2037</v>
      </c>
      <c r="P1952" t="s">
        <v>6092</v>
      </c>
      <c r="S1952" t="s">
        <v>3899</v>
      </c>
      <c r="T1952">
        <v>39.758825672</v>
      </c>
      <c r="U1952">
        <v>-86.172323907999996</v>
      </c>
      <c r="V1952">
        <f>SUM(W1952:X1952)+(Y1952*0.8)+(Z1952*0.4)</f>
        <v>0.05</v>
      </c>
      <c r="W1952">
        <v>0.05</v>
      </c>
      <c r="X1952">
        <v>0</v>
      </c>
      <c r="Y1952">
        <v>0</v>
      </c>
      <c r="Z1952">
        <v>0</v>
      </c>
      <c r="AA1952" t="s">
        <v>43</v>
      </c>
      <c r="AB1952">
        <v>0.05</v>
      </c>
      <c r="AD1952" t="s">
        <v>6093</v>
      </c>
      <c r="AE1952" t="s">
        <v>6094</v>
      </c>
    </row>
    <row r="1953" spans="1:31" x14ac:dyDescent="0.25">
      <c r="A1953" t="s">
        <v>31</v>
      </c>
      <c r="C1953" t="s">
        <v>2584</v>
      </c>
      <c r="D1953" t="s">
        <v>2618</v>
      </c>
      <c r="E1953" t="s">
        <v>362</v>
      </c>
      <c r="F1953" t="s">
        <v>1611</v>
      </c>
      <c r="G1953">
        <v>2000</v>
      </c>
      <c r="H1953" t="s">
        <v>36</v>
      </c>
      <c r="I1953" t="s">
        <v>2619</v>
      </c>
      <c r="J1953" t="s">
        <v>31</v>
      </c>
      <c r="K1953" t="s">
        <v>38</v>
      </c>
      <c r="L1953" t="s">
        <v>2620</v>
      </c>
      <c r="M1953" t="s">
        <v>2621</v>
      </c>
      <c r="N1953" t="s">
        <v>2622</v>
      </c>
      <c r="O1953" t="s">
        <v>2618</v>
      </c>
      <c r="P1953" t="s">
        <v>2623</v>
      </c>
      <c r="S1953" t="s">
        <v>2624</v>
      </c>
      <c r="T1953">
        <v>29.949025276</v>
      </c>
      <c r="U1953">
        <v>-90.070008193999996</v>
      </c>
      <c r="V1953">
        <f>SUM(W1953:X1953)+(Y1953*0.8)+(Z1953*0.4)</f>
        <v>0.05</v>
      </c>
      <c r="W1953">
        <v>0.05</v>
      </c>
      <c r="X1953">
        <v>0</v>
      </c>
      <c r="Y1953">
        <v>0</v>
      </c>
      <c r="Z1953">
        <v>0</v>
      </c>
      <c r="AA1953" t="s">
        <v>43</v>
      </c>
      <c r="AB1953">
        <v>0.05</v>
      </c>
      <c r="AD1953" t="s">
        <v>2625</v>
      </c>
      <c r="AE1953" t="s">
        <v>2626</v>
      </c>
    </row>
    <row r="1954" spans="1:31" x14ac:dyDescent="0.25">
      <c r="A1954" t="s">
        <v>31</v>
      </c>
      <c r="C1954" t="s">
        <v>8744</v>
      </c>
      <c r="D1954" t="s">
        <v>8744</v>
      </c>
      <c r="E1954" t="s">
        <v>362</v>
      </c>
      <c r="F1954" t="s">
        <v>649</v>
      </c>
      <c r="G1954">
        <v>1999</v>
      </c>
      <c r="H1954" t="s">
        <v>36</v>
      </c>
      <c r="I1954" t="s">
        <v>8745</v>
      </c>
      <c r="J1954" t="s">
        <v>31</v>
      </c>
      <c r="K1954" t="s">
        <v>38</v>
      </c>
      <c r="L1954" t="s">
        <v>143</v>
      </c>
      <c r="M1954" t="s">
        <v>144</v>
      </c>
      <c r="N1954" t="s">
        <v>2036</v>
      </c>
      <c r="O1954" t="s">
        <v>8746</v>
      </c>
      <c r="P1954" t="s">
        <v>8747</v>
      </c>
      <c r="Q1954" t="s">
        <v>8748</v>
      </c>
      <c r="T1954">
        <v>40.045456319000003</v>
      </c>
      <c r="U1954">
        <v>-86.013920276999997</v>
      </c>
      <c r="V1954">
        <f>SUM(W1954:X1954)+(Y1954*0.8)+(Z1954*0.4)</f>
        <v>0.05</v>
      </c>
      <c r="W1954">
        <v>0.05</v>
      </c>
      <c r="X1954">
        <v>0</v>
      </c>
      <c r="Y1954">
        <v>0</v>
      </c>
      <c r="Z1954">
        <v>0</v>
      </c>
      <c r="AA1954" t="s">
        <v>43</v>
      </c>
      <c r="AB1954">
        <v>0.05</v>
      </c>
      <c r="AD1954" t="s">
        <v>8749</v>
      </c>
      <c r="AE1954" t="s">
        <v>8750</v>
      </c>
    </row>
    <row r="1955" spans="1:31" x14ac:dyDescent="0.25">
      <c r="A1955" t="s">
        <v>31</v>
      </c>
      <c r="C1955" t="s">
        <v>11112</v>
      </c>
      <c r="D1955" t="s">
        <v>11130</v>
      </c>
      <c r="E1955" t="s">
        <v>34</v>
      </c>
      <c r="F1955" t="s">
        <v>35</v>
      </c>
      <c r="G1955">
        <v>2006</v>
      </c>
      <c r="H1955" t="s">
        <v>36</v>
      </c>
      <c r="I1955" t="s">
        <v>11131</v>
      </c>
      <c r="J1955" t="s">
        <v>31</v>
      </c>
      <c r="K1955" t="s">
        <v>38</v>
      </c>
      <c r="L1955" t="s">
        <v>1833</v>
      </c>
      <c r="M1955" t="s">
        <v>1834</v>
      </c>
      <c r="N1955" t="s">
        <v>11132</v>
      </c>
      <c r="O1955" t="s">
        <v>11133</v>
      </c>
      <c r="P1955" t="s">
        <v>11134</v>
      </c>
      <c r="Q1955" t="s">
        <v>11135</v>
      </c>
      <c r="T1955">
        <v>46.883543330000002</v>
      </c>
      <c r="U1955">
        <v>-114.019358903</v>
      </c>
      <c r="V1955">
        <f>SUM(W1955:X1955)+(Y1955*0.8)+(Z1955*0.4)</f>
        <v>0.03</v>
      </c>
      <c r="W1955">
        <v>0.03</v>
      </c>
      <c r="X1955">
        <v>0</v>
      </c>
      <c r="Y1955">
        <v>0</v>
      </c>
      <c r="Z1955">
        <v>0</v>
      </c>
      <c r="AA1955" t="s">
        <v>43</v>
      </c>
      <c r="AB1955">
        <v>0.03</v>
      </c>
      <c r="AD1955" t="s">
        <v>11136</v>
      </c>
      <c r="AE1955" t="s">
        <v>11137</v>
      </c>
    </row>
    <row r="1956" spans="1:31" x14ac:dyDescent="0.25">
      <c r="A1956" t="s">
        <v>31</v>
      </c>
      <c r="C1956" t="s">
        <v>9513</v>
      </c>
      <c r="D1956" t="s">
        <v>9514</v>
      </c>
      <c r="E1956" t="s">
        <v>34</v>
      </c>
      <c r="F1956" t="s">
        <v>35</v>
      </c>
      <c r="G1956">
        <v>2006</v>
      </c>
      <c r="H1956" t="s">
        <v>36</v>
      </c>
      <c r="I1956" t="s">
        <v>9515</v>
      </c>
      <c r="J1956" t="s">
        <v>31</v>
      </c>
      <c r="K1956" t="s">
        <v>38</v>
      </c>
      <c r="L1956" t="s">
        <v>1457</v>
      </c>
      <c r="M1956" t="s">
        <v>1458</v>
      </c>
      <c r="N1956" t="s">
        <v>1459</v>
      </c>
      <c r="O1956" t="s">
        <v>1455</v>
      </c>
      <c r="P1956" t="s">
        <v>9516</v>
      </c>
      <c r="T1956">
        <v>39.469280908000002</v>
      </c>
      <c r="U1956">
        <v>-119.76945462899999</v>
      </c>
      <c r="V1956">
        <f>SUM(W1956:X1956)+(Y1956*0.8)+(Z1956*0.4)</f>
        <v>0.02</v>
      </c>
      <c r="W1956">
        <v>0.02</v>
      </c>
      <c r="X1956">
        <v>0</v>
      </c>
      <c r="Y1956">
        <v>0</v>
      </c>
      <c r="Z1956">
        <v>0</v>
      </c>
      <c r="AA1956" t="s">
        <v>43</v>
      </c>
      <c r="AB1956">
        <v>0.02</v>
      </c>
      <c r="AD1956" t="s">
        <v>9517</v>
      </c>
      <c r="AE1956" t="s">
        <v>9518</v>
      </c>
    </row>
    <row r="1957" spans="1:31" x14ac:dyDescent="0.25">
      <c r="A1957" t="s">
        <v>31</v>
      </c>
      <c r="C1957" t="s">
        <v>8359</v>
      </c>
      <c r="D1957" t="s">
        <v>8360</v>
      </c>
      <c r="E1957" t="s">
        <v>34</v>
      </c>
      <c r="F1957" t="s">
        <v>35</v>
      </c>
      <c r="G1957">
        <v>2001</v>
      </c>
      <c r="H1957" t="s">
        <v>36</v>
      </c>
      <c r="I1957" t="s">
        <v>8361</v>
      </c>
      <c r="J1957" t="s">
        <v>31</v>
      </c>
      <c r="K1957" t="s">
        <v>38</v>
      </c>
      <c r="L1957" t="s">
        <v>1146</v>
      </c>
      <c r="M1957" t="s">
        <v>1147</v>
      </c>
      <c r="N1957" t="s">
        <v>8224</v>
      </c>
      <c r="O1957" t="s">
        <v>8225</v>
      </c>
      <c r="P1957" t="s">
        <v>8362</v>
      </c>
      <c r="T1957">
        <v>32.309058888000003</v>
      </c>
      <c r="U1957">
        <v>-90.178095251000002</v>
      </c>
      <c r="V1957">
        <f>SUM(W1957:X1957)+(Y1957*0.8)+(Z1957*0.4)</f>
        <v>0.02</v>
      </c>
      <c r="W1957">
        <v>0.02</v>
      </c>
      <c r="X1957">
        <v>0</v>
      </c>
      <c r="Y1957">
        <v>0</v>
      </c>
      <c r="Z1957">
        <v>0</v>
      </c>
      <c r="AA1957" t="s">
        <v>43</v>
      </c>
      <c r="AB1957">
        <v>0.01</v>
      </c>
      <c r="AD1957" t="s">
        <v>8363</v>
      </c>
      <c r="AE1957" t="s">
        <v>8364</v>
      </c>
    </row>
    <row r="1958" spans="1:31" x14ac:dyDescent="0.25">
      <c r="A1958" t="s">
        <v>31</v>
      </c>
      <c r="C1958" t="s">
        <v>1665</v>
      </c>
      <c r="D1958" t="s">
        <v>1673</v>
      </c>
      <c r="E1958" t="s">
        <v>34</v>
      </c>
      <c r="F1958" t="s">
        <v>43</v>
      </c>
      <c r="G1958">
        <v>2036</v>
      </c>
      <c r="H1958" t="s">
        <v>36</v>
      </c>
      <c r="I1958" t="s">
        <v>1674</v>
      </c>
      <c r="J1958" t="s">
        <v>31</v>
      </c>
      <c r="K1958" t="s">
        <v>38</v>
      </c>
      <c r="L1958" t="s">
        <v>185</v>
      </c>
      <c r="M1958" t="s">
        <v>186</v>
      </c>
      <c r="N1958" t="s">
        <v>1668</v>
      </c>
      <c r="P1958" t="s">
        <v>1675</v>
      </c>
      <c r="T1958">
        <v>33.704777438999997</v>
      </c>
      <c r="U1958">
        <v>-85.065452496999995</v>
      </c>
      <c r="V1958">
        <f>SUM(W1958:X1958)+(Y1958*0.8)+(Z1958*0.4)</f>
        <v>0</v>
      </c>
      <c r="W1958">
        <v>0</v>
      </c>
      <c r="X1958">
        <v>0</v>
      </c>
      <c r="Y1958">
        <v>0</v>
      </c>
      <c r="Z1958">
        <v>0</v>
      </c>
      <c r="AA1958" t="s">
        <v>43</v>
      </c>
      <c r="AB1958">
        <v>0</v>
      </c>
      <c r="AD1958" t="s">
        <v>1676</v>
      </c>
      <c r="AE1958" t="s">
        <v>1677</v>
      </c>
    </row>
    <row r="1959" spans="1:31" x14ac:dyDescent="0.25">
      <c r="A1959" t="s">
        <v>31</v>
      </c>
      <c r="C1959" t="s">
        <v>1785</v>
      </c>
      <c r="D1959" t="s">
        <v>1786</v>
      </c>
      <c r="E1959" t="s">
        <v>34</v>
      </c>
      <c r="F1959" t="s">
        <v>66</v>
      </c>
      <c r="G1959">
        <v>2032</v>
      </c>
      <c r="H1959" t="s">
        <v>36</v>
      </c>
      <c r="I1959" t="s">
        <v>1115</v>
      </c>
      <c r="J1959" t="s">
        <v>31</v>
      </c>
      <c r="K1959" t="s">
        <v>38</v>
      </c>
      <c r="L1959" t="s">
        <v>112</v>
      </c>
      <c r="M1959" t="s">
        <v>113</v>
      </c>
      <c r="N1959" t="s">
        <v>1787</v>
      </c>
      <c r="O1959" t="s">
        <v>1788</v>
      </c>
      <c r="P1959" t="s">
        <v>1789</v>
      </c>
      <c r="Q1959" t="s">
        <v>1790</v>
      </c>
      <c r="T1959">
        <v>44.938366307999999</v>
      </c>
      <c r="U1959">
        <v>-91.859508149000007</v>
      </c>
      <c r="V1959">
        <f>SUM(W1959:X1959)+(Y1959*0.8)+(Z1959*0.4)</f>
        <v>0</v>
      </c>
      <c r="W1959">
        <v>0</v>
      </c>
      <c r="X1959">
        <v>0</v>
      </c>
      <c r="Y1959">
        <v>0</v>
      </c>
      <c r="Z1959">
        <v>0</v>
      </c>
      <c r="AA1959">
        <v>131.11799999999999</v>
      </c>
      <c r="AB1959">
        <v>0</v>
      </c>
      <c r="AD1959" t="s">
        <v>1791</v>
      </c>
      <c r="AE1959" t="s">
        <v>1792</v>
      </c>
    </row>
    <row r="1960" spans="1:31" x14ac:dyDescent="0.25">
      <c r="A1960" t="s">
        <v>31</v>
      </c>
      <c r="C1960" t="s">
        <v>6375</v>
      </c>
      <c r="D1960" t="s">
        <v>6376</v>
      </c>
      <c r="E1960" t="s">
        <v>34</v>
      </c>
      <c r="F1960" t="s">
        <v>66</v>
      </c>
      <c r="G1960">
        <v>2031</v>
      </c>
      <c r="H1960" t="s">
        <v>36</v>
      </c>
      <c r="I1960" t="s">
        <v>6377</v>
      </c>
      <c r="J1960" t="s">
        <v>31</v>
      </c>
      <c r="K1960" t="s">
        <v>38</v>
      </c>
      <c r="L1960" t="s">
        <v>68</v>
      </c>
      <c r="M1960" t="s">
        <v>69</v>
      </c>
      <c r="N1960" t="s">
        <v>540</v>
      </c>
      <c r="O1960" t="s">
        <v>2134</v>
      </c>
      <c r="P1960" t="s">
        <v>6378</v>
      </c>
      <c r="S1960" t="s">
        <v>3431</v>
      </c>
      <c r="T1960">
        <v>32.907015008000002</v>
      </c>
      <c r="U1960">
        <v>-97.394424908000005</v>
      </c>
      <c r="V1960">
        <f>SUM(W1960:X1960)+(Y1960*0.8)+(Z1960*0.4)</f>
        <v>0</v>
      </c>
      <c r="W1960">
        <v>0</v>
      </c>
      <c r="X1960">
        <v>0</v>
      </c>
      <c r="Y1960">
        <v>0</v>
      </c>
      <c r="Z1960">
        <v>0</v>
      </c>
      <c r="AA1960" t="s">
        <v>43</v>
      </c>
      <c r="AB1960">
        <v>0</v>
      </c>
      <c r="AD1960" t="s">
        <v>6379</v>
      </c>
      <c r="AE1960" t="s">
        <v>6380</v>
      </c>
    </row>
    <row r="1961" spans="1:31" x14ac:dyDescent="0.25">
      <c r="A1961" t="s">
        <v>31</v>
      </c>
      <c r="C1961" t="s">
        <v>10876</v>
      </c>
      <c r="D1961" t="s">
        <v>10877</v>
      </c>
      <c r="E1961" t="s">
        <v>34</v>
      </c>
      <c r="F1961" t="s">
        <v>66</v>
      </c>
      <c r="G1961">
        <v>2028</v>
      </c>
      <c r="H1961" t="s">
        <v>36</v>
      </c>
      <c r="I1961" t="s">
        <v>10878</v>
      </c>
      <c r="J1961" t="s">
        <v>31</v>
      </c>
      <c r="K1961" t="s">
        <v>38</v>
      </c>
      <c r="L1961" t="s">
        <v>172</v>
      </c>
      <c r="M1961" t="s">
        <v>173</v>
      </c>
      <c r="N1961" t="s">
        <v>780</v>
      </c>
      <c r="O1961" t="s">
        <v>2067</v>
      </c>
      <c r="P1961" t="s">
        <v>2068</v>
      </c>
      <c r="S1961" t="s">
        <v>8158</v>
      </c>
      <c r="T1961">
        <v>37.426121729999998</v>
      </c>
      <c r="U1961">
        <v>-121.960302853</v>
      </c>
      <c r="V1961">
        <f>SUM(W1961:X1961)+(Y1961*0.8)+(Z1961*0.4)</f>
        <v>0</v>
      </c>
      <c r="W1961">
        <v>0</v>
      </c>
      <c r="X1961">
        <v>0</v>
      </c>
      <c r="Y1961">
        <v>0</v>
      </c>
      <c r="Z1961">
        <v>0</v>
      </c>
      <c r="AA1961" t="s">
        <v>43</v>
      </c>
      <c r="AB1961">
        <v>0</v>
      </c>
      <c r="AD1961" t="s">
        <v>10879</v>
      </c>
      <c r="AE1961" t="s">
        <v>10880</v>
      </c>
    </row>
    <row r="1962" spans="1:31" x14ac:dyDescent="0.25">
      <c r="A1962" t="s">
        <v>31</v>
      </c>
      <c r="C1962" t="s">
        <v>10876</v>
      </c>
      <c r="D1962" t="s">
        <v>10906</v>
      </c>
      <c r="E1962" t="s">
        <v>34</v>
      </c>
      <c r="F1962" t="s">
        <v>66</v>
      </c>
      <c r="G1962">
        <v>2028</v>
      </c>
      <c r="H1962" t="s">
        <v>36</v>
      </c>
      <c r="I1962" t="s">
        <v>10907</v>
      </c>
      <c r="J1962" t="s">
        <v>31</v>
      </c>
      <c r="K1962" t="s">
        <v>38</v>
      </c>
      <c r="L1962" t="s">
        <v>326</v>
      </c>
      <c r="M1962" t="s">
        <v>327</v>
      </c>
      <c r="N1962" t="s">
        <v>328</v>
      </c>
      <c r="O1962" t="s">
        <v>9329</v>
      </c>
      <c r="P1962" t="s">
        <v>9330</v>
      </c>
      <c r="T1962">
        <v>33.517484369999998</v>
      </c>
      <c r="U1962">
        <v>-112.425831148</v>
      </c>
      <c r="V1962">
        <f>SUM(W1962:X1962)+(Y1962*0.8)+(Z1962*0.4)</f>
        <v>0</v>
      </c>
      <c r="W1962">
        <v>0</v>
      </c>
      <c r="X1962">
        <v>0</v>
      </c>
      <c r="Y1962">
        <v>0</v>
      </c>
      <c r="Z1962">
        <v>0</v>
      </c>
      <c r="AA1962">
        <v>13.759</v>
      </c>
      <c r="AB1962">
        <v>0</v>
      </c>
      <c r="AD1962" t="s">
        <v>10908</v>
      </c>
      <c r="AE1962" t="s">
        <v>10909</v>
      </c>
    </row>
    <row r="1963" spans="1:31" x14ac:dyDescent="0.25">
      <c r="A1963" t="s">
        <v>31</v>
      </c>
      <c r="C1963" t="s">
        <v>10607</v>
      </c>
      <c r="D1963" t="s">
        <v>10611</v>
      </c>
      <c r="E1963" t="s">
        <v>34</v>
      </c>
      <c r="F1963" t="s">
        <v>66</v>
      </c>
      <c r="G1963">
        <v>2028</v>
      </c>
      <c r="H1963" t="s">
        <v>36</v>
      </c>
      <c r="I1963" t="s">
        <v>10612</v>
      </c>
      <c r="J1963" t="s">
        <v>31</v>
      </c>
      <c r="K1963" t="s">
        <v>38</v>
      </c>
      <c r="L1963" t="s">
        <v>68</v>
      </c>
      <c r="M1963" t="s">
        <v>69</v>
      </c>
      <c r="N1963" t="s">
        <v>10613</v>
      </c>
      <c r="T1963">
        <v>29.919018282</v>
      </c>
      <c r="U1963">
        <v>-97.764392710999999</v>
      </c>
      <c r="V1963">
        <f>SUM(W1963:X1963)+(Y1963*0.8)+(Z1963*0.4)</f>
        <v>0</v>
      </c>
      <c r="W1963">
        <v>0</v>
      </c>
      <c r="X1963">
        <v>0</v>
      </c>
      <c r="Y1963">
        <v>0</v>
      </c>
      <c r="Z1963">
        <v>0</v>
      </c>
      <c r="AA1963">
        <v>613.09900000000005</v>
      </c>
      <c r="AB1963">
        <v>0</v>
      </c>
      <c r="AD1963" t="s">
        <v>10614</v>
      </c>
      <c r="AE1963" t="s">
        <v>10615</v>
      </c>
    </row>
    <row r="1964" spans="1:31" x14ac:dyDescent="0.25">
      <c r="A1964" t="s">
        <v>31</v>
      </c>
      <c r="C1964" t="s">
        <v>8402</v>
      </c>
      <c r="D1964" t="s">
        <v>8403</v>
      </c>
      <c r="E1964" t="s">
        <v>362</v>
      </c>
      <c r="F1964" t="s">
        <v>363</v>
      </c>
      <c r="G1964">
        <v>2028</v>
      </c>
      <c r="H1964" t="s">
        <v>411</v>
      </c>
      <c r="I1964" t="s">
        <v>8404</v>
      </c>
      <c r="J1964" t="s">
        <v>31</v>
      </c>
      <c r="K1964" t="s">
        <v>38</v>
      </c>
      <c r="L1964" t="s">
        <v>1959</v>
      </c>
      <c r="M1964" t="s">
        <v>1960</v>
      </c>
      <c r="N1964" t="s">
        <v>8405</v>
      </c>
      <c r="O1964" t="s">
        <v>8406</v>
      </c>
      <c r="P1964" t="s">
        <v>8407</v>
      </c>
      <c r="T1964">
        <v>33.395312509999997</v>
      </c>
      <c r="U1964">
        <v>-103.71271054899999</v>
      </c>
      <c r="V1964">
        <f>SUM(W1964:X1964)+(Y1964*0.8)+(Z1964*0.4)</f>
        <v>0</v>
      </c>
      <c r="W1964">
        <v>0</v>
      </c>
      <c r="X1964">
        <v>0</v>
      </c>
      <c r="Y1964">
        <v>0</v>
      </c>
      <c r="Z1964">
        <v>0</v>
      </c>
      <c r="AA1964">
        <v>1416.4</v>
      </c>
      <c r="AB1964">
        <v>0</v>
      </c>
      <c r="AD1964" t="s">
        <v>8408</v>
      </c>
      <c r="AE1964" t="s">
        <v>8409</v>
      </c>
    </row>
    <row r="1965" spans="1:31" x14ac:dyDescent="0.25">
      <c r="A1965" t="s">
        <v>31</v>
      </c>
      <c r="C1965" t="s">
        <v>8342</v>
      </c>
      <c r="D1965" t="s">
        <v>8343</v>
      </c>
      <c r="E1965" t="s">
        <v>362</v>
      </c>
      <c r="F1965" t="s">
        <v>43</v>
      </c>
      <c r="G1965">
        <v>2028</v>
      </c>
      <c r="H1965" t="s">
        <v>36</v>
      </c>
      <c r="I1965" t="s">
        <v>8344</v>
      </c>
      <c r="J1965" t="s">
        <v>31</v>
      </c>
      <c r="K1965" t="s">
        <v>38</v>
      </c>
      <c r="L1965" t="s">
        <v>1900</v>
      </c>
      <c r="M1965" t="s">
        <v>1901</v>
      </c>
      <c r="N1965" t="s">
        <v>5058</v>
      </c>
      <c r="O1965" t="s">
        <v>1574</v>
      </c>
      <c r="P1965" t="s">
        <v>8345</v>
      </c>
      <c r="Q1965" t="s">
        <v>8346</v>
      </c>
      <c r="T1965">
        <v>39.109499999999997</v>
      </c>
      <c r="U1965">
        <v>-94.316559999999996</v>
      </c>
      <c r="V1965">
        <f>SUM(W1965:X1965)+(Y1965*0.8)+(Z1965*0.4)</f>
        <v>0</v>
      </c>
      <c r="W1965">
        <v>0</v>
      </c>
      <c r="X1965">
        <v>0</v>
      </c>
      <c r="Y1965">
        <v>0</v>
      </c>
      <c r="Z1965">
        <v>0</v>
      </c>
      <c r="AA1965" t="s">
        <v>43</v>
      </c>
      <c r="AB1965">
        <v>0</v>
      </c>
      <c r="AD1965" t="s">
        <v>8347</v>
      </c>
      <c r="AE1965" t="s">
        <v>8348</v>
      </c>
    </row>
    <row r="1966" spans="1:31" x14ac:dyDescent="0.25">
      <c r="A1966" t="s">
        <v>31</v>
      </c>
      <c r="B1966" t="s">
        <v>11350</v>
      </c>
      <c r="C1966" t="s">
        <v>7684</v>
      </c>
      <c r="D1966" t="s">
        <v>5950</v>
      </c>
      <c r="E1966" t="s">
        <v>362</v>
      </c>
      <c r="F1966" t="s">
        <v>43</v>
      </c>
      <c r="G1966">
        <v>2028</v>
      </c>
      <c r="H1966" t="s">
        <v>36</v>
      </c>
      <c r="I1966" t="s">
        <v>7711</v>
      </c>
      <c r="J1966" t="s">
        <v>31</v>
      </c>
      <c r="K1966" t="s">
        <v>38</v>
      </c>
      <c r="L1966" t="s">
        <v>68</v>
      </c>
      <c r="M1966" t="s">
        <v>69</v>
      </c>
      <c r="N1966" t="s">
        <v>5949</v>
      </c>
      <c r="O1966" t="s">
        <v>5950</v>
      </c>
      <c r="P1966" t="s">
        <v>7712</v>
      </c>
      <c r="T1966">
        <v>31.994884872</v>
      </c>
      <c r="U1966">
        <v>-106.40290516100001</v>
      </c>
      <c r="V1966">
        <f>SUM(W1966:X1966)+(Y1966*0.8)+(Z1966*0.4)</f>
        <v>0</v>
      </c>
      <c r="W1966">
        <v>0</v>
      </c>
      <c r="X1966">
        <v>0</v>
      </c>
      <c r="Y1966">
        <v>0</v>
      </c>
      <c r="Z1966">
        <v>0</v>
      </c>
      <c r="AA1966" t="s">
        <v>43</v>
      </c>
      <c r="AB1966">
        <v>0</v>
      </c>
      <c r="AD1966" t="s">
        <v>7713</v>
      </c>
      <c r="AE1966" t="s">
        <v>7714</v>
      </c>
    </row>
    <row r="1967" spans="1:31" x14ac:dyDescent="0.25">
      <c r="A1967" t="s">
        <v>31</v>
      </c>
      <c r="C1967" t="s">
        <v>6813</v>
      </c>
      <c r="D1967" t="s">
        <v>6826</v>
      </c>
      <c r="E1967" t="s">
        <v>34</v>
      </c>
      <c r="F1967" t="s">
        <v>76</v>
      </c>
      <c r="G1967">
        <v>2028</v>
      </c>
      <c r="H1967" t="s">
        <v>36</v>
      </c>
      <c r="I1967" t="s">
        <v>6827</v>
      </c>
      <c r="J1967" t="s">
        <v>31</v>
      </c>
      <c r="K1967" t="s">
        <v>38</v>
      </c>
      <c r="L1967" t="s">
        <v>68</v>
      </c>
      <c r="M1967" t="s">
        <v>69</v>
      </c>
      <c r="N1967" t="s">
        <v>6822</v>
      </c>
      <c r="O1967" t="s">
        <v>6828</v>
      </c>
      <c r="P1967" t="s">
        <v>6829</v>
      </c>
      <c r="T1967">
        <v>32.925407851999999</v>
      </c>
      <c r="U1967">
        <v>-100.216768874</v>
      </c>
      <c r="V1967">
        <f>SUM(W1967:X1967)+(Y1967*0.8)+(Z1967*0.4)</f>
        <v>0</v>
      </c>
      <c r="W1967">
        <v>0</v>
      </c>
      <c r="X1967">
        <v>0</v>
      </c>
      <c r="Y1967">
        <v>0</v>
      </c>
      <c r="Z1967">
        <v>0</v>
      </c>
      <c r="AA1967" t="s">
        <v>43</v>
      </c>
      <c r="AB1967">
        <v>0</v>
      </c>
      <c r="AD1967" t="s">
        <v>6830</v>
      </c>
      <c r="AE1967" t="s">
        <v>6831</v>
      </c>
    </row>
    <row r="1968" spans="1:31" x14ac:dyDescent="0.25">
      <c r="A1968" t="s">
        <v>31</v>
      </c>
      <c r="C1968" t="s">
        <v>1831</v>
      </c>
      <c r="D1968" t="s">
        <v>1832</v>
      </c>
      <c r="E1968" t="s">
        <v>34</v>
      </c>
      <c r="F1968" t="s">
        <v>66</v>
      </c>
      <c r="G1968">
        <v>2028</v>
      </c>
      <c r="H1968" t="s">
        <v>36</v>
      </c>
      <c r="J1968" t="s">
        <v>31</v>
      </c>
      <c r="K1968" t="s">
        <v>38</v>
      </c>
      <c r="L1968" t="s">
        <v>1833</v>
      </c>
      <c r="M1968" t="s">
        <v>1834</v>
      </c>
      <c r="N1968" t="s">
        <v>1835</v>
      </c>
      <c r="O1968" t="s">
        <v>1836</v>
      </c>
      <c r="P1968" t="s">
        <v>1837</v>
      </c>
      <c r="T1968">
        <v>46.056962493999997</v>
      </c>
      <c r="U1968">
        <v>-108.850527124</v>
      </c>
      <c r="V1968">
        <f>SUM(W1968:X1968)+(Y1968*0.8)+(Z1968*0.4)</f>
        <v>0</v>
      </c>
      <c r="W1968">
        <v>0</v>
      </c>
      <c r="X1968">
        <v>0</v>
      </c>
      <c r="Y1968">
        <v>0</v>
      </c>
      <c r="Z1968">
        <v>0</v>
      </c>
      <c r="AA1968">
        <v>2101.5650000000001</v>
      </c>
      <c r="AB1968">
        <v>0</v>
      </c>
      <c r="AD1968" t="s">
        <v>1838</v>
      </c>
      <c r="AE1968" t="s">
        <v>1839</v>
      </c>
    </row>
    <row r="1969" spans="1:31" x14ac:dyDescent="0.25">
      <c r="A1969" t="s">
        <v>31</v>
      </c>
      <c r="C1969" t="s">
        <v>10876</v>
      </c>
      <c r="D1969" t="s">
        <v>10902</v>
      </c>
      <c r="E1969" t="s">
        <v>34</v>
      </c>
      <c r="F1969" t="s">
        <v>66</v>
      </c>
      <c r="G1969">
        <v>2027</v>
      </c>
      <c r="H1969" t="s">
        <v>36</v>
      </c>
      <c r="I1969" t="s">
        <v>10903</v>
      </c>
      <c r="J1969" t="s">
        <v>31</v>
      </c>
      <c r="K1969" t="s">
        <v>38</v>
      </c>
      <c r="L1969" t="s">
        <v>326</v>
      </c>
      <c r="M1969" t="s">
        <v>327</v>
      </c>
      <c r="N1969" t="s">
        <v>328</v>
      </c>
      <c r="O1969" t="s">
        <v>329</v>
      </c>
      <c r="P1969" t="s">
        <v>2878</v>
      </c>
      <c r="T1969">
        <v>33.405493737</v>
      </c>
      <c r="U1969">
        <v>-112.373101085</v>
      </c>
      <c r="V1969">
        <f>SUM(W1969:X1969)+(Y1969*0.8)+(Z1969*0.4)</f>
        <v>0</v>
      </c>
      <c r="W1969">
        <v>0</v>
      </c>
      <c r="X1969">
        <v>0</v>
      </c>
      <c r="Y1969">
        <v>0</v>
      </c>
      <c r="Z1969">
        <v>0</v>
      </c>
      <c r="AA1969" t="s">
        <v>43</v>
      </c>
      <c r="AB1969">
        <v>0</v>
      </c>
      <c r="AD1969" t="s">
        <v>10904</v>
      </c>
      <c r="AE1969" t="s">
        <v>10905</v>
      </c>
    </row>
    <row r="1970" spans="1:31" x14ac:dyDescent="0.25">
      <c r="A1970" t="s">
        <v>31</v>
      </c>
      <c r="C1970" t="s">
        <v>10745</v>
      </c>
      <c r="D1970" t="s">
        <v>10746</v>
      </c>
      <c r="E1970" t="s">
        <v>362</v>
      </c>
      <c r="F1970" t="s">
        <v>363</v>
      </c>
      <c r="G1970">
        <v>2027</v>
      </c>
      <c r="H1970" t="s">
        <v>36</v>
      </c>
      <c r="I1970" t="s">
        <v>10747</v>
      </c>
      <c r="J1970" t="s">
        <v>31</v>
      </c>
      <c r="K1970" t="s">
        <v>38</v>
      </c>
      <c r="L1970" t="s">
        <v>68</v>
      </c>
      <c r="M1970" t="s">
        <v>69</v>
      </c>
      <c r="N1970" t="s">
        <v>297</v>
      </c>
      <c r="O1970" t="s">
        <v>2357</v>
      </c>
      <c r="P1970" t="s">
        <v>8982</v>
      </c>
      <c r="T1970">
        <v>32.853400000000001</v>
      </c>
      <c r="U1970">
        <v>-96.918199999999999</v>
      </c>
      <c r="V1970">
        <f>SUM(W1970:X1970)+(Y1970*0.8)+(Z1970*0.4)</f>
        <v>0</v>
      </c>
      <c r="W1970">
        <v>0</v>
      </c>
      <c r="X1970">
        <v>0</v>
      </c>
      <c r="Y1970">
        <v>0</v>
      </c>
      <c r="Z1970">
        <v>0</v>
      </c>
      <c r="AA1970" t="s">
        <v>43</v>
      </c>
      <c r="AB1970">
        <v>0</v>
      </c>
      <c r="AD1970" t="s">
        <v>10748</v>
      </c>
      <c r="AE1970" t="s">
        <v>10749</v>
      </c>
    </row>
    <row r="1971" spans="1:31" x14ac:dyDescent="0.25">
      <c r="A1971" t="s">
        <v>31</v>
      </c>
      <c r="C1971" t="s">
        <v>10351</v>
      </c>
      <c r="D1971" t="s">
        <v>10352</v>
      </c>
      <c r="E1971" t="s">
        <v>34</v>
      </c>
      <c r="F1971" t="s">
        <v>66</v>
      </c>
      <c r="G1971">
        <v>2027</v>
      </c>
      <c r="H1971" t="s">
        <v>36</v>
      </c>
      <c r="I1971" t="s">
        <v>10353</v>
      </c>
      <c r="J1971" t="s">
        <v>31</v>
      </c>
      <c r="K1971" t="s">
        <v>38</v>
      </c>
      <c r="L1971" t="s">
        <v>172</v>
      </c>
      <c r="M1971" t="s">
        <v>173</v>
      </c>
      <c r="N1971" t="s">
        <v>780</v>
      </c>
      <c r="O1971" t="s">
        <v>2067</v>
      </c>
      <c r="P1971" t="s">
        <v>10354</v>
      </c>
      <c r="S1971" t="s">
        <v>8158</v>
      </c>
      <c r="T1971">
        <v>37.423817630000002</v>
      </c>
      <c r="U1971">
        <v>-121.973858011</v>
      </c>
      <c r="V1971">
        <f>SUM(W1971:X1971)+(Y1971*0.8)+(Z1971*0.4)</f>
        <v>0</v>
      </c>
      <c r="W1971">
        <v>0</v>
      </c>
      <c r="X1971">
        <v>0</v>
      </c>
      <c r="Y1971">
        <v>0</v>
      </c>
      <c r="Z1971">
        <v>0</v>
      </c>
      <c r="AA1971">
        <v>1.5</v>
      </c>
      <c r="AB1971">
        <v>0</v>
      </c>
      <c r="AD1971" t="s">
        <v>10355</v>
      </c>
      <c r="AE1971" t="s">
        <v>10356</v>
      </c>
    </row>
    <row r="1972" spans="1:31" x14ac:dyDescent="0.25">
      <c r="A1972" t="s">
        <v>31</v>
      </c>
      <c r="C1972" t="s">
        <v>9713</v>
      </c>
      <c r="D1972" t="s">
        <v>9731</v>
      </c>
      <c r="E1972" t="s">
        <v>34</v>
      </c>
      <c r="F1972" t="s">
        <v>66</v>
      </c>
      <c r="G1972">
        <v>2027</v>
      </c>
      <c r="H1972" t="s">
        <v>36</v>
      </c>
      <c r="I1972" t="s">
        <v>9732</v>
      </c>
      <c r="J1972" t="s">
        <v>31</v>
      </c>
      <c r="K1972" t="s">
        <v>38</v>
      </c>
      <c r="L1972" t="s">
        <v>68</v>
      </c>
      <c r="M1972" t="s">
        <v>69</v>
      </c>
      <c r="N1972" t="s">
        <v>1951</v>
      </c>
      <c r="O1972" t="s">
        <v>1952</v>
      </c>
      <c r="P1972" t="s">
        <v>9733</v>
      </c>
      <c r="T1972">
        <v>29.995753304000001</v>
      </c>
      <c r="U1972">
        <v>-95.563009477999998</v>
      </c>
      <c r="V1972">
        <f>SUM(W1972:X1972)+(Y1972*0.8)+(Z1972*0.4)</f>
        <v>0</v>
      </c>
      <c r="W1972">
        <v>0</v>
      </c>
      <c r="X1972">
        <v>0</v>
      </c>
      <c r="Y1972">
        <v>0</v>
      </c>
      <c r="Z1972">
        <v>0</v>
      </c>
      <c r="AA1972" t="s">
        <v>43</v>
      </c>
      <c r="AB1972">
        <v>0</v>
      </c>
      <c r="AD1972" t="s">
        <v>9734</v>
      </c>
      <c r="AE1972" t="s">
        <v>9735</v>
      </c>
    </row>
    <row r="1973" spans="1:31" x14ac:dyDescent="0.25">
      <c r="A1973" t="s">
        <v>31</v>
      </c>
      <c r="C1973" t="s">
        <v>9700</v>
      </c>
      <c r="D1973" t="s">
        <v>9701</v>
      </c>
      <c r="E1973" t="s">
        <v>34</v>
      </c>
      <c r="F1973" t="s">
        <v>43</v>
      </c>
      <c r="G1973">
        <v>2027</v>
      </c>
      <c r="H1973" t="s">
        <v>411</v>
      </c>
      <c r="I1973" t="s">
        <v>9702</v>
      </c>
      <c r="J1973" t="s">
        <v>31</v>
      </c>
      <c r="K1973" t="s">
        <v>38</v>
      </c>
      <c r="L1973" t="s">
        <v>153</v>
      </c>
      <c r="M1973" t="s">
        <v>154</v>
      </c>
      <c r="N1973" t="s">
        <v>7560</v>
      </c>
      <c r="O1973" t="s">
        <v>7561</v>
      </c>
      <c r="P1973" t="s">
        <v>9703</v>
      </c>
      <c r="T1973">
        <v>40.726739999999999</v>
      </c>
      <c r="U1973">
        <v>-99.045379999999994</v>
      </c>
      <c r="V1973">
        <f>SUM(W1973:X1973)+(Y1973*0.8)+(Z1973*0.4)</f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D1973" t="s">
        <v>9704</v>
      </c>
      <c r="AE1973" t="s">
        <v>9705</v>
      </c>
    </row>
    <row r="1974" spans="1:31" x14ac:dyDescent="0.25">
      <c r="A1974" t="s">
        <v>31</v>
      </c>
      <c r="C1974" t="s">
        <v>8948</v>
      </c>
      <c r="D1974" t="s">
        <v>8949</v>
      </c>
      <c r="E1974" t="s">
        <v>34</v>
      </c>
      <c r="F1974" t="s">
        <v>66</v>
      </c>
      <c r="G1974">
        <v>2027</v>
      </c>
      <c r="H1974" t="s">
        <v>411</v>
      </c>
      <c r="I1974" t="s">
        <v>8950</v>
      </c>
      <c r="J1974" t="s">
        <v>31</v>
      </c>
      <c r="K1974" t="s">
        <v>38</v>
      </c>
      <c r="L1974" t="s">
        <v>68</v>
      </c>
      <c r="M1974" t="s">
        <v>69</v>
      </c>
      <c r="N1974" t="s">
        <v>8951</v>
      </c>
      <c r="P1974" t="s">
        <v>8952</v>
      </c>
      <c r="T1974">
        <v>30.962306777999999</v>
      </c>
      <c r="U1974">
        <v>-102.845264223</v>
      </c>
      <c r="V1974">
        <f>SUM(W1974:X1974)+(Y1974*0.8)+(Z1974*0.4)</f>
        <v>0</v>
      </c>
      <c r="W1974">
        <v>0</v>
      </c>
      <c r="X1974">
        <v>0</v>
      </c>
      <c r="Y1974">
        <v>0</v>
      </c>
      <c r="Z1974">
        <v>0</v>
      </c>
      <c r="AA1974" t="s">
        <v>43</v>
      </c>
      <c r="AB1974">
        <v>0</v>
      </c>
      <c r="AD1974" t="s">
        <v>8953</v>
      </c>
      <c r="AE1974" t="s">
        <v>8954</v>
      </c>
    </row>
    <row r="1975" spans="1:31" x14ac:dyDescent="0.25">
      <c r="A1975" t="s">
        <v>31</v>
      </c>
      <c r="C1975" t="s">
        <v>7165</v>
      </c>
      <c r="D1975" t="s">
        <v>7166</v>
      </c>
      <c r="E1975" t="s">
        <v>34</v>
      </c>
      <c r="F1975" t="s">
        <v>35</v>
      </c>
      <c r="G1975">
        <v>2027</v>
      </c>
      <c r="H1975" t="s">
        <v>36</v>
      </c>
      <c r="I1975" t="s">
        <v>7167</v>
      </c>
      <c r="J1975" t="s">
        <v>31</v>
      </c>
      <c r="K1975" t="s">
        <v>38</v>
      </c>
      <c r="L1975" t="s">
        <v>1900</v>
      </c>
      <c r="M1975" t="s">
        <v>1901</v>
      </c>
      <c r="N1975" t="s">
        <v>7168</v>
      </c>
      <c r="O1975" t="s">
        <v>4786</v>
      </c>
      <c r="P1975" t="s">
        <v>7169</v>
      </c>
      <c r="Q1975" t="s">
        <v>7170</v>
      </c>
      <c r="T1975">
        <v>38.671989136999997</v>
      </c>
      <c r="U1975">
        <v>-90.296012602000005</v>
      </c>
      <c r="V1975">
        <f>SUM(W1975:X1975)+(Y1975*0.8)+(Z1975*0.4)</f>
        <v>0</v>
      </c>
      <c r="W1975">
        <v>0</v>
      </c>
      <c r="X1975">
        <v>0</v>
      </c>
      <c r="Y1975">
        <v>0</v>
      </c>
      <c r="Z1975">
        <v>0</v>
      </c>
      <c r="AA1975">
        <v>6</v>
      </c>
      <c r="AB1975">
        <v>0</v>
      </c>
      <c r="AD1975" t="s">
        <v>7171</v>
      </c>
      <c r="AE1975" t="s">
        <v>7172</v>
      </c>
    </row>
    <row r="1976" spans="1:31" x14ac:dyDescent="0.25">
      <c r="A1976" t="s">
        <v>31</v>
      </c>
      <c r="C1976" t="s">
        <v>6582</v>
      </c>
      <c r="D1976" t="s">
        <v>6583</v>
      </c>
      <c r="E1976" t="s">
        <v>362</v>
      </c>
      <c r="F1976" t="s">
        <v>363</v>
      </c>
      <c r="G1976">
        <v>2027</v>
      </c>
      <c r="H1976" t="s">
        <v>36</v>
      </c>
      <c r="I1976" t="s">
        <v>6584</v>
      </c>
      <c r="J1976" t="s">
        <v>31</v>
      </c>
      <c r="K1976" t="s">
        <v>38</v>
      </c>
      <c r="L1976" t="s">
        <v>77</v>
      </c>
      <c r="M1976" t="s">
        <v>78</v>
      </c>
      <c r="N1976" t="s">
        <v>6585</v>
      </c>
      <c r="O1976" t="s">
        <v>3893</v>
      </c>
      <c r="P1976" t="s">
        <v>6586</v>
      </c>
      <c r="S1976" t="s">
        <v>6587</v>
      </c>
      <c r="T1976">
        <v>40.513391253999998</v>
      </c>
      <c r="U1976">
        <v>-79.196561287999998</v>
      </c>
      <c r="V1976">
        <f>SUM(W1976:X1976)+(Y1976*0.8)+(Z1976*0.4)</f>
        <v>0</v>
      </c>
      <c r="W1976">
        <v>0</v>
      </c>
      <c r="X1976">
        <v>0</v>
      </c>
      <c r="Y1976">
        <v>0</v>
      </c>
      <c r="Z1976">
        <v>0</v>
      </c>
      <c r="AA1976">
        <v>1294.9939999999999</v>
      </c>
      <c r="AB1976">
        <v>0</v>
      </c>
      <c r="AD1976" t="s">
        <v>6588</v>
      </c>
      <c r="AE1976" t="s">
        <v>6589</v>
      </c>
    </row>
    <row r="1977" spans="1:31" x14ac:dyDescent="0.25">
      <c r="A1977" t="s">
        <v>31</v>
      </c>
      <c r="C1977" t="s">
        <v>5181</v>
      </c>
      <c r="D1977" t="s">
        <v>5191</v>
      </c>
      <c r="E1977" t="s">
        <v>34</v>
      </c>
      <c r="F1977" t="s">
        <v>76</v>
      </c>
      <c r="G1977">
        <v>2027</v>
      </c>
      <c r="H1977" t="s">
        <v>36</v>
      </c>
      <c r="J1977" t="s">
        <v>31</v>
      </c>
      <c r="K1977" t="s">
        <v>38</v>
      </c>
      <c r="L1977" t="s">
        <v>185</v>
      </c>
      <c r="M1977" t="s">
        <v>186</v>
      </c>
      <c r="N1977" t="s">
        <v>4804</v>
      </c>
      <c r="O1977" t="s">
        <v>5192</v>
      </c>
      <c r="P1977" t="s">
        <v>5193</v>
      </c>
      <c r="T1977">
        <v>33.365457847000002</v>
      </c>
      <c r="U1977">
        <v>-84.319790287000004</v>
      </c>
      <c r="V1977">
        <f>SUM(W1977:X1977)+(Y1977*0.8)+(Z1977*0.4)</f>
        <v>0</v>
      </c>
      <c r="W1977">
        <v>0</v>
      </c>
      <c r="X1977">
        <v>0</v>
      </c>
      <c r="Y1977">
        <v>0</v>
      </c>
      <c r="Z1977">
        <v>0</v>
      </c>
      <c r="AA1977" t="s">
        <v>43</v>
      </c>
      <c r="AB1977">
        <v>0</v>
      </c>
      <c r="AD1977" t="s">
        <v>5194</v>
      </c>
      <c r="AE1977" t="s">
        <v>5195</v>
      </c>
    </row>
    <row r="1978" spans="1:31" x14ac:dyDescent="0.25">
      <c r="A1978" t="s">
        <v>31</v>
      </c>
      <c r="C1978" t="s">
        <v>3849</v>
      </c>
      <c r="D1978" t="s">
        <v>4364</v>
      </c>
      <c r="E1978" t="s">
        <v>34</v>
      </c>
      <c r="F1978" t="s">
        <v>66</v>
      </c>
      <c r="G1978">
        <v>2027</v>
      </c>
      <c r="H1978" t="s">
        <v>36</v>
      </c>
      <c r="I1978" t="s">
        <v>4365</v>
      </c>
      <c r="J1978" t="s">
        <v>31</v>
      </c>
      <c r="K1978" t="s">
        <v>38</v>
      </c>
      <c r="L1978" t="s">
        <v>172</v>
      </c>
      <c r="M1978" t="s">
        <v>173</v>
      </c>
      <c r="N1978" t="s">
        <v>493</v>
      </c>
      <c r="O1978" t="s">
        <v>494</v>
      </c>
      <c r="P1978" t="s">
        <v>3107</v>
      </c>
      <c r="S1978" t="s">
        <v>138</v>
      </c>
      <c r="T1978">
        <v>34.046636092999996</v>
      </c>
      <c r="U1978">
        <v>-118.257696954</v>
      </c>
      <c r="V1978">
        <f>SUM(W1978:X1978)+(Y1978*0.8)+(Z1978*0.4)</f>
        <v>0</v>
      </c>
      <c r="W1978">
        <v>0</v>
      </c>
      <c r="X1978">
        <v>0</v>
      </c>
      <c r="Y1978">
        <v>0</v>
      </c>
      <c r="Z1978">
        <v>0</v>
      </c>
      <c r="AA1978">
        <v>0.43</v>
      </c>
      <c r="AB1978">
        <v>0</v>
      </c>
      <c r="AD1978" t="s">
        <v>4366</v>
      </c>
      <c r="AE1978" t="s">
        <v>4367</v>
      </c>
    </row>
    <row r="1979" spans="1:31" x14ac:dyDescent="0.25">
      <c r="A1979" t="s">
        <v>31</v>
      </c>
      <c r="B1979" t="s">
        <v>11350</v>
      </c>
      <c r="C1979" t="s">
        <v>7857</v>
      </c>
      <c r="D1979" t="s">
        <v>8121</v>
      </c>
      <c r="E1979" t="s">
        <v>362</v>
      </c>
      <c r="F1979" t="s">
        <v>649</v>
      </c>
      <c r="G1979">
        <v>2026</v>
      </c>
      <c r="H1979" t="s">
        <v>36</v>
      </c>
      <c r="I1979" t="s">
        <v>8122</v>
      </c>
      <c r="J1979" t="s">
        <v>31</v>
      </c>
      <c r="K1979" t="s">
        <v>38</v>
      </c>
      <c r="L1979" t="s">
        <v>1433</v>
      </c>
      <c r="M1979" t="s">
        <v>1434</v>
      </c>
      <c r="N1979" t="s">
        <v>1144</v>
      </c>
      <c r="O1979" t="s">
        <v>8123</v>
      </c>
      <c r="P1979" t="s">
        <v>8124</v>
      </c>
      <c r="T1979">
        <v>41.499519667000001</v>
      </c>
      <c r="U1979">
        <v>-93.802553232999998</v>
      </c>
      <c r="V1979">
        <f>SUM(W1979:X1979)+(Y1979*0.8)+(Z1979*0.4)</f>
        <v>0</v>
      </c>
      <c r="W1979">
        <v>0</v>
      </c>
      <c r="X1979">
        <v>0</v>
      </c>
      <c r="Y1979">
        <v>0</v>
      </c>
      <c r="Z1979">
        <v>0</v>
      </c>
      <c r="AA1979">
        <v>14.7</v>
      </c>
      <c r="AB1979">
        <v>0</v>
      </c>
      <c r="AD1979" t="s">
        <v>8125</v>
      </c>
      <c r="AE1979" t="s">
        <v>8126</v>
      </c>
    </row>
    <row r="1980" spans="1:31" x14ac:dyDescent="0.25">
      <c r="A1980" t="s">
        <v>31</v>
      </c>
      <c r="C1980" t="s">
        <v>6813</v>
      </c>
      <c r="D1980" t="s">
        <v>6820</v>
      </c>
      <c r="E1980" t="s">
        <v>34</v>
      </c>
      <c r="F1980" t="s">
        <v>76</v>
      </c>
      <c r="G1980">
        <v>2026</v>
      </c>
      <c r="H1980" t="s">
        <v>36</v>
      </c>
      <c r="I1980" t="s">
        <v>6821</v>
      </c>
      <c r="J1980" t="s">
        <v>31</v>
      </c>
      <c r="K1980" t="s">
        <v>38</v>
      </c>
      <c r="L1980" t="s">
        <v>68</v>
      </c>
      <c r="M1980" t="s">
        <v>69</v>
      </c>
      <c r="N1980" t="s">
        <v>6822</v>
      </c>
      <c r="O1980" t="s">
        <v>399</v>
      </c>
      <c r="P1980" t="s">
        <v>6823</v>
      </c>
      <c r="T1980">
        <v>32.631508046999997</v>
      </c>
      <c r="U1980">
        <v>-100.546908043</v>
      </c>
      <c r="V1980">
        <f>SUM(W1980:X1980)+(Y1980*0.8)+(Z1980*0.4)</f>
        <v>0</v>
      </c>
      <c r="W1980">
        <v>0</v>
      </c>
      <c r="X1980">
        <v>0</v>
      </c>
      <c r="Y1980">
        <v>0</v>
      </c>
      <c r="Z1980">
        <v>0</v>
      </c>
      <c r="AA1980" t="s">
        <v>43</v>
      </c>
      <c r="AB1980">
        <v>0</v>
      </c>
      <c r="AD1980" t="s">
        <v>6824</v>
      </c>
      <c r="AE1980" t="s">
        <v>6825</v>
      </c>
    </row>
    <row r="1981" spans="1:31" x14ac:dyDescent="0.25">
      <c r="A1981" t="s">
        <v>31</v>
      </c>
      <c r="C1981" t="s">
        <v>9037</v>
      </c>
      <c r="D1981" t="s">
        <v>9046</v>
      </c>
      <c r="E1981" t="s">
        <v>34</v>
      </c>
      <c r="F1981" t="s">
        <v>35</v>
      </c>
      <c r="G1981">
        <v>2025</v>
      </c>
      <c r="H1981" t="s">
        <v>36</v>
      </c>
      <c r="I1981" t="s">
        <v>9047</v>
      </c>
      <c r="J1981" t="s">
        <v>31</v>
      </c>
      <c r="K1981" t="s">
        <v>38</v>
      </c>
      <c r="L1981" t="s">
        <v>68</v>
      </c>
      <c r="M1981" t="s">
        <v>69</v>
      </c>
      <c r="N1981" t="s">
        <v>297</v>
      </c>
      <c r="O1981" t="s">
        <v>2116</v>
      </c>
      <c r="P1981" t="s">
        <v>3176</v>
      </c>
      <c r="T1981">
        <v>32.837614197999997</v>
      </c>
      <c r="U1981">
        <v>-96.880563875999997</v>
      </c>
      <c r="V1981">
        <f>SUM(W1981:X1981)+(Y1981*0.8)+(Z1981*0.4)</f>
        <v>0</v>
      </c>
      <c r="W1981">
        <v>0</v>
      </c>
      <c r="X1981">
        <v>0</v>
      </c>
      <c r="Y1981">
        <v>0</v>
      </c>
      <c r="Z1981">
        <v>0</v>
      </c>
      <c r="AA1981" t="s">
        <v>43</v>
      </c>
      <c r="AB1981">
        <v>0</v>
      </c>
      <c r="AD1981" t="s">
        <v>9048</v>
      </c>
      <c r="AE1981" t="s">
        <v>9049</v>
      </c>
    </row>
    <row r="1982" spans="1:31" x14ac:dyDescent="0.25">
      <c r="A1982" t="s">
        <v>31</v>
      </c>
      <c r="B1982" t="s">
        <v>11350</v>
      </c>
      <c r="C1982" t="s">
        <v>7857</v>
      </c>
      <c r="D1982" t="s">
        <v>8137</v>
      </c>
      <c r="E1982" t="s">
        <v>362</v>
      </c>
      <c r="F1982" t="s">
        <v>649</v>
      </c>
      <c r="G1982">
        <v>2025</v>
      </c>
      <c r="H1982" t="s">
        <v>36</v>
      </c>
      <c r="I1982" t="s">
        <v>8138</v>
      </c>
      <c r="J1982" t="s">
        <v>31</v>
      </c>
      <c r="K1982" t="s">
        <v>38</v>
      </c>
      <c r="L1982" t="s">
        <v>172</v>
      </c>
      <c r="M1982" t="s">
        <v>173</v>
      </c>
      <c r="N1982" t="s">
        <v>780</v>
      </c>
      <c r="O1982" t="s">
        <v>2067</v>
      </c>
      <c r="P1982" t="s">
        <v>8139</v>
      </c>
      <c r="Q1982" t="s">
        <v>2069</v>
      </c>
      <c r="T1982">
        <v>37.380370497000001</v>
      </c>
      <c r="U1982">
        <v>-121.93371845599999</v>
      </c>
      <c r="V1982">
        <f>SUM(W1982:X1982)+(Y1982*0.8)+(Z1982*0.4)</f>
        <v>0</v>
      </c>
      <c r="W1982">
        <v>0</v>
      </c>
      <c r="X1982">
        <v>0</v>
      </c>
      <c r="Y1982">
        <v>0</v>
      </c>
      <c r="Z1982">
        <v>0</v>
      </c>
      <c r="AA1982" t="s">
        <v>43</v>
      </c>
      <c r="AB1982">
        <v>0</v>
      </c>
      <c r="AD1982" t="s">
        <v>8140</v>
      </c>
      <c r="AE1982" t="s">
        <v>8141</v>
      </c>
    </row>
    <row r="1983" spans="1:31" x14ac:dyDescent="0.25">
      <c r="A1983" t="s">
        <v>31</v>
      </c>
      <c r="C1983" t="s">
        <v>1761</v>
      </c>
      <c r="D1983" t="s">
        <v>1762</v>
      </c>
      <c r="E1983" t="s">
        <v>34</v>
      </c>
      <c r="F1983" t="s">
        <v>66</v>
      </c>
      <c r="G1983">
        <v>2025</v>
      </c>
      <c r="H1983" t="s">
        <v>36</v>
      </c>
      <c r="I1983" t="s">
        <v>1182</v>
      </c>
      <c r="J1983" t="s">
        <v>31</v>
      </c>
      <c r="K1983" t="s">
        <v>38</v>
      </c>
      <c r="L1983" t="s">
        <v>112</v>
      </c>
      <c r="M1983" t="s">
        <v>113</v>
      </c>
      <c r="N1983" t="s">
        <v>114</v>
      </c>
      <c r="O1983" t="s">
        <v>115</v>
      </c>
      <c r="P1983" t="s">
        <v>1763</v>
      </c>
      <c r="Q1983" t="s">
        <v>115</v>
      </c>
      <c r="S1983" t="s">
        <v>1764</v>
      </c>
      <c r="T1983">
        <v>43.071575416000002</v>
      </c>
      <c r="U1983">
        <v>-87.913231784999994</v>
      </c>
      <c r="V1983">
        <f>SUM(W1983:X1983)+(Y1983*0.8)+(Z1983*0.4)</f>
        <v>0</v>
      </c>
      <c r="W1983">
        <v>0</v>
      </c>
      <c r="X1983">
        <v>0</v>
      </c>
      <c r="Y1983">
        <v>0</v>
      </c>
      <c r="Z1983">
        <v>0</v>
      </c>
      <c r="AA1983" t="s">
        <v>43</v>
      </c>
      <c r="AB1983">
        <v>0</v>
      </c>
      <c r="AD1983" t="s">
        <v>1765</v>
      </c>
      <c r="AE1983" t="s">
        <v>1766</v>
      </c>
    </row>
    <row r="1984" spans="1:31" x14ac:dyDescent="0.25">
      <c r="A1984" t="s">
        <v>31</v>
      </c>
      <c r="B1984" t="s">
        <v>11350</v>
      </c>
      <c r="C1984" t="s">
        <v>647</v>
      </c>
      <c r="D1984" t="s">
        <v>785</v>
      </c>
      <c r="E1984" t="s">
        <v>362</v>
      </c>
      <c r="F1984" t="s">
        <v>649</v>
      </c>
      <c r="G1984">
        <v>2025</v>
      </c>
      <c r="H1984" t="s">
        <v>36</v>
      </c>
      <c r="I1984" t="s">
        <v>786</v>
      </c>
      <c r="J1984" t="s">
        <v>31</v>
      </c>
      <c r="K1984" t="s">
        <v>38</v>
      </c>
      <c r="L1984" t="s">
        <v>172</v>
      </c>
      <c r="M1984" t="s">
        <v>173</v>
      </c>
      <c r="N1984" t="s">
        <v>780</v>
      </c>
      <c r="O1984" t="s">
        <v>781</v>
      </c>
      <c r="P1984" t="s">
        <v>787</v>
      </c>
      <c r="S1984" t="s">
        <v>788</v>
      </c>
      <c r="T1984">
        <v>37.372970107999997</v>
      </c>
      <c r="U1984">
        <v>-121.954050615</v>
      </c>
      <c r="V1984">
        <f>SUM(W1984:X1984)+(Y1984*0.8)+(Z1984*0.4)</f>
        <v>0</v>
      </c>
      <c r="W1984">
        <v>0</v>
      </c>
      <c r="X1984">
        <v>0</v>
      </c>
      <c r="Y1984">
        <v>0</v>
      </c>
      <c r="Z1984">
        <v>0</v>
      </c>
      <c r="AA1984" t="s">
        <v>43</v>
      </c>
      <c r="AB1984">
        <v>0</v>
      </c>
      <c r="AD1984" t="s">
        <v>789</v>
      </c>
      <c r="AE1984" t="s">
        <v>790</v>
      </c>
    </row>
    <row r="1985" spans="1:31" x14ac:dyDescent="0.25">
      <c r="A1985" t="s">
        <v>31</v>
      </c>
      <c r="C1985" t="s">
        <v>1691</v>
      </c>
      <c r="D1985" t="s">
        <v>1692</v>
      </c>
      <c r="E1985" t="s">
        <v>362</v>
      </c>
      <c r="F1985" t="s">
        <v>372</v>
      </c>
      <c r="G1985">
        <v>2022</v>
      </c>
      <c r="H1985" t="s">
        <v>36</v>
      </c>
      <c r="I1985" t="s">
        <v>1693</v>
      </c>
      <c r="J1985" t="s">
        <v>31</v>
      </c>
      <c r="K1985" t="s">
        <v>38</v>
      </c>
      <c r="L1985" t="s">
        <v>353</v>
      </c>
      <c r="M1985" t="s">
        <v>354</v>
      </c>
      <c r="N1985" t="s">
        <v>1694</v>
      </c>
      <c r="O1985" t="s">
        <v>1692</v>
      </c>
      <c r="P1985" t="s">
        <v>1695</v>
      </c>
      <c r="Q1985" t="s">
        <v>1696</v>
      </c>
      <c r="T1985">
        <v>48.14591755</v>
      </c>
      <c r="U1985">
        <v>-103.774300516</v>
      </c>
      <c r="V1985">
        <f>SUM(W1985:X1985)+(Y1985*0.8)+(Z1985*0.4)</f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D1985" t="s">
        <v>1697</v>
      </c>
      <c r="AE1985" t="s">
        <v>1698</v>
      </c>
    </row>
    <row r="1986" spans="1:31" x14ac:dyDescent="0.25">
      <c r="A1986" t="s">
        <v>31</v>
      </c>
      <c r="C1986" t="s">
        <v>2052</v>
      </c>
      <c r="D1986" t="s">
        <v>2060</v>
      </c>
      <c r="E1986" t="s">
        <v>34</v>
      </c>
      <c r="F1986" t="s">
        <v>76</v>
      </c>
      <c r="G1986">
        <v>2017</v>
      </c>
      <c r="H1986" t="s">
        <v>36</v>
      </c>
      <c r="I1986" t="s">
        <v>2061</v>
      </c>
      <c r="J1986" t="s">
        <v>31</v>
      </c>
      <c r="K1986" t="s">
        <v>38</v>
      </c>
      <c r="L1986" t="s">
        <v>843</v>
      </c>
      <c r="M1986" t="s">
        <v>1644</v>
      </c>
      <c r="N1986" t="s">
        <v>2055</v>
      </c>
      <c r="O1986" t="s">
        <v>2056</v>
      </c>
      <c r="P1986" t="s">
        <v>2057</v>
      </c>
      <c r="T1986">
        <v>47.159023840000003</v>
      </c>
      <c r="U1986">
        <v>-122.27985720700001</v>
      </c>
      <c r="V1986">
        <f>SUM(W1986:X1986)+(Y1986*0.8)+(Z1986*0.4)</f>
        <v>0</v>
      </c>
      <c r="W1986">
        <v>0</v>
      </c>
      <c r="X1986">
        <v>0</v>
      </c>
      <c r="Y1986">
        <v>0</v>
      </c>
      <c r="Z1986">
        <v>0</v>
      </c>
      <c r="AA1986" t="s">
        <v>43</v>
      </c>
      <c r="AB1986">
        <v>0</v>
      </c>
      <c r="AD1986" t="s">
        <v>2062</v>
      </c>
      <c r="AE1986" t="s">
        <v>2063</v>
      </c>
    </row>
    <row r="1987" spans="1:31" x14ac:dyDescent="0.25">
      <c r="A1987" t="s">
        <v>31</v>
      </c>
      <c r="C1987" t="s">
        <v>10815</v>
      </c>
      <c r="D1987" t="s">
        <v>10844</v>
      </c>
      <c r="E1987" t="s">
        <v>34</v>
      </c>
      <c r="F1987" t="s">
        <v>35</v>
      </c>
      <c r="G1987">
        <v>2010</v>
      </c>
      <c r="H1987" t="s">
        <v>36</v>
      </c>
      <c r="I1987" t="s">
        <v>8685</v>
      </c>
      <c r="J1987" t="s">
        <v>31</v>
      </c>
      <c r="K1987" t="s">
        <v>38</v>
      </c>
      <c r="L1987" t="s">
        <v>828</v>
      </c>
      <c r="M1987" t="s">
        <v>829</v>
      </c>
      <c r="N1987" t="s">
        <v>2769</v>
      </c>
      <c r="O1987" t="s">
        <v>4889</v>
      </c>
      <c r="P1987" t="s">
        <v>4890</v>
      </c>
      <c r="Q1987" t="s">
        <v>4889</v>
      </c>
      <c r="T1987">
        <v>44.854700000000001</v>
      </c>
      <c r="U1987">
        <v>-93.470799999999997</v>
      </c>
      <c r="V1987">
        <f>SUM(W1987:X1987)+(Y1987*0.8)+(Z1987*0.4)</f>
        <v>0</v>
      </c>
      <c r="W1987">
        <v>0</v>
      </c>
      <c r="X1987">
        <v>0</v>
      </c>
      <c r="Y1987">
        <v>0</v>
      </c>
      <c r="Z1987">
        <v>0</v>
      </c>
      <c r="AA1987" t="s">
        <v>43</v>
      </c>
      <c r="AB1987">
        <v>0</v>
      </c>
      <c r="AD1987" t="s">
        <v>10845</v>
      </c>
      <c r="AE1987" t="s">
        <v>10846</v>
      </c>
    </row>
    <row r="1988" spans="1:31" x14ac:dyDescent="0.25">
      <c r="A1988" t="s">
        <v>31</v>
      </c>
      <c r="C1988" t="s">
        <v>10815</v>
      </c>
      <c r="D1988" t="s">
        <v>10847</v>
      </c>
      <c r="E1988" t="s">
        <v>34</v>
      </c>
      <c r="F1988" t="s">
        <v>35</v>
      </c>
      <c r="G1988">
        <v>2010</v>
      </c>
      <c r="H1988" t="s">
        <v>36</v>
      </c>
      <c r="I1988" t="s">
        <v>10848</v>
      </c>
      <c r="J1988" t="s">
        <v>31</v>
      </c>
      <c r="K1988" t="s">
        <v>38</v>
      </c>
      <c r="L1988" t="s">
        <v>133</v>
      </c>
      <c r="M1988" t="s">
        <v>134</v>
      </c>
      <c r="N1988" t="s">
        <v>2931</v>
      </c>
      <c r="O1988" t="s">
        <v>2932</v>
      </c>
      <c r="P1988" t="s">
        <v>8676</v>
      </c>
      <c r="T1988">
        <v>44.086238000000002</v>
      </c>
      <c r="U1988">
        <v>-121.282971</v>
      </c>
      <c r="V1988">
        <f>SUM(W1988:X1988)+(Y1988*0.8)+(Z1988*0.4)</f>
        <v>0</v>
      </c>
      <c r="AA1988" t="s">
        <v>43</v>
      </c>
      <c r="AB1988" t="e">
        <f>SUBTOTAL(9,#REF!)</f>
        <v>#REF!</v>
      </c>
      <c r="AD1988" t="s">
        <v>10849</v>
      </c>
      <c r="AE1988" t="s">
        <v>10850</v>
      </c>
    </row>
    <row r="1989" spans="1:31" x14ac:dyDescent="0.25">
      <c r="A1989" t="s">
        <v>31</v>
      </c>
      <c r="C1989" t="s">
        <v>10815</v>
      </c>
      <c r="D1989" t="s">
        <v>10854</v>
      </c>
      <c r="E1989" t="s">
        <v>34</v>
      </c>
      <c r="F1989" t="s">
        <v>35</v>
      </c>
      <c r="G1989">
        <v>2008</v>
      </c>
      <c r="H1989" t="s">
        <v>36</v>
      </c>
      <c r="I1989" t="s">
        <v>10855</v>
      </c>
      <c r="J1989" t="s">
        <v>31</v>
      </c>
      <c r="K1989" t="s">
        <v>38</v>
      </c>
      <c r="L1989" t="s">
        <v>112</v>
      </c>
      <c r="M1989" t="s">
        <v>113</v>
      </c>
      <c r="N1989" t="s">
        <v>345</v>
      </c>
      <c r="O1989" t="s">
        <v>8680</v>
      </c>
      <c r="P1989" t="s">
        <v>8681</v>
      </c>
      <c r="S1989" t="s">
        <v>8682</v>
      </c>
      <c r="T1989">
        <v>42.994700000000002</v>
      </c>
      <c r="U1989">
        <v>-89.423599999999993</v>
      </c>
      <c r="V1989">
        <f>SUM(W1989:X1989)+(Y1989*0.8)+(Z1989*0.4)</f>
        <v>0</v>
      </c>
      <c r="W1989">
        <v>0</v>
      </c>
      <c r="X1989">
        <v>0</v>
      </c>
      <c r="Y1989">
        <v>0</v>
      </c>
      <c r="Z1989">
        <v>0</v>
      </c>
      <c r="AA1989" t="s">
        <v>43</v>
      </c>
      <c r="AB1989">
        <v>0</v>
      </c>
      <c r="AD1989" t="s">
        <v>10856</v>
      </c>
      <c r="AE1989" t="s">
        <v>10857</v>
      </c>
    </row>
    <row r="1990" spans="1:31" x14ac:dyDescent="0.25">
      <c r="A1990" t="s">
        <v>31</v>
      </c>
      <c r="C1990" t="s">
        <v>11203</v>
      </c>
      <c r="D1990" t="s">
        <v>11213</v>
      </c>
      <c r="E1990" t="s">
        <v>34</v>
      </c>
      <c r="F1990" t="s">
        <v>43</v>
      </c>
      <c r="H1990" t="s">
        <v>411</v>
      </c>
      <c r="I1990" t="s">
        <v>1182</v>
      </c>
      <c r="J1990" t="s">
        <v>31</v>
      </c>
      <c r="K1990" t="s">
        <v>38</v>
      </c>
      <c r="L1990" t="s">
        <v>86</v>
      </c>
      <c r="M1990" t="s">
        <v>87</v>
      </c>
      <c r="N1990" t="s">
        <v>11214</v>
      </c>
      <c r="O1990" t="s">
        <v>11215</v>
      </c>
      <c r="P1990" t="s">
        <v>11216</v>
      </c>
      <c r="Q1990" t="s">
        <v>11217</v>
      </c>
      <c r="T1990">
        <v>41.254593</v>
      </c>
      <c r="U1990">
        <v>-88.241608999999997</v>
      </c>
      <c r="V1990">
        <f>SUM(W1990:X1990)+(Y1990*0.8)+(Z1990*0.4)</f>
        <v>0</v>
      </c>
      <c r="W1990">
        <v>0</v>
      </c>
      <c r="X1990">
        <v>0</v>
      </c>
      <c r="Y1990">
        <v>0</v>
      </c>
      <c r="Z1990">
        <v>0</v>
      </c>
      <c r="AA1990" t="s">
        <v>43</v>
      </c>
      <c r="AB1990">
        <v>0</v>
      </c>
      <c r="AD1990" t="s">
        <v>11218</v>
      </c>
      <c r="AE1990" t="s">
        <v>11219</v>
      </c>
    </row>
    <row r="1991" spans="1:31" x14ac:dyDescent="0.25">
      <c r="A1991" t="s">
        <v>31</v>
      </c>
      <c r="C1991" t="s">
        <v>11203</v>
      </c>
      <c r="D1991" t="s">
        <v>11220</v>
      </c>
      <c r="E1991" t="s">
        <v>34</v>
      </c>
      <c r="F1991" t="s">
        <v>66</v>
      </c>
      <c r="H1991" t="s">
        <v>36</v>
      </c>
      <c r="I1991" t="s">
        <v>325</v>
      </c>
      <c r="J1991" t="s">
        <v>31</v>
      </c>
      <c r="K1991" t="s">
        <v>38</v>
      </c>
      <c r="L1991" t="s">
        <v>86</v>
      </c>
      <c r="M1991" t="s">
        <v>87</v>
      </c>
      <c r="N1991" t="s">
        <v>11221</v>
      </c>
      <c r="O1991" t="s">
        <v>11222</v>
      </c>
      <c r="P1991" t="s">
        <v>11223</v>
      </c>
      <c r="Q1991" t="s">
        <v>11224</v>
      </c>
      <c r="T1991">
        <v>40.587607847999998</v>
      </c>
      <c r="U1991">
        <v>-89.607597100000007</v>
      </c>
      <c r="V1991">
        <f>SUM(W1991:X1991)+(Y1991*0.8)+(Z1991*0.4)</f>
        <v>0</v>
      </c>
      <c r="W1991">
        <v>0</v>
      </c>
      <c r="X1991">
        <v>0</v>
      </c>
      <c r="Y1991">
        <v>0</v>
      </c>
      <c r="Z1991">
        <v>0</v>
      </c>
      <c r="AA1991" t="s">
        <v>43</v>
      </c>
      <c r="AB1991">
        <v>0</v>
      </c>
      <c r="AD1991" t="s">
        <v>11225</v>
      </c>
      <c r="AE1991" t="s">
        <v>11226</v>
      </c>
    </row>
    <row r="1992" spans="1:31" x14ac:dyDescent="0.25">
      <c r="A1992" t="s">
        <v>31</v>
      </c>
      <c r="C1992" t="s">
        <v>10766</v>
      </c>
      <c r="D1992" t="s">
        <v>10767</v>
      </c>
      <c r="E1992" t="s">
        <v>362</v>
      </c>
      <c r="F1992" t="s">
        <v>363</v>
      </c>
      <c r="H1992" t="s">
        <v>36</v>
      </c>
      <c r="I1992" t="s">
        <v>325</v>
      </c>
      <c r="J1992" t="s">
        <v>31</v>
      </c>
      <c r="K1992" t="s">
        <v>38</v>
      </c>
      <c r="L1992" t="s">
        <v>49</v>
      </c>
      <c r="M1992" t="s">
        <v>50</v>
      </c>
      <c r="N1992" t="s">
        <v>9495</v>
      </c>
      <c r="O1992" t="s">
        <v>10768</v>
      </c>
      <c r="P1992" t="s">
        <v>10769</v>
      </c>
      <c r="T1992">
        <v>42.20769542</v>
      </c>
      <c r="U1992">
        <v>-83.549806918000002</v>
      </c>
      <c r="V1992">
        <f>SUM(W1992:X1992)+(Y1992*0.8)+(Z1992*0.4)</f>
        <v>0</v>
      </c>
      <c r="W1992">
        <v>0</v>
      </c>
      <c r="X1992">
        <v>0</v>
      </c>
      <c r="Y1992">
        <v>0</v>
      </c>
      <c r="Z1992">
        <v>0</v>
      </c>
      <c r="AA1992" t="s">
        <v>43</v>
      </c>
      <c r="AB1992">
        <v>0</v>
      </c>
      <c r="AD1992" t="s">
        <v>10770</v>
      </c>
      <c r="AE1992" t="s">
        <v>10771</v>
      </c>
    </row>
    <row r="1993" spans="1:31" x14ac:dyDescent="0.25">
      <c r="A1993" t="s">
        <v>31</v>
      </c>
      <c r="C1993" t="s">
        <v>6953</v>
      </c>
      <c r="D1993" t="s">
        <v>10698</v>
      </c>
      <c r="E1993" t="s">
        <v>34</v>
      </c>
      <c r="F1993" t="s">
        <v>66</v>
      </c>
      <c r="H1993" t="s">
        <v>36</v>
      </c>
      <c r="I1993" t="s">
        <v>10699</v>
      </c>
      <c r="J1993" t="s">
        <v>31</v>
      </c>
      <c r="K1993" t="s">
        <v>38</v>
      </c>
      <c r="L1993" t="s">
        <v>49</v>
      </c>
      <c r="M1993" t="s">
        <v>50</v>
      </c>
      <c r="N1993" t="s">
        <v>10700</v>
      </c>
      <c r="O1993" t="s">
        <v>10701</v>
      </c>
      <c r="P1993" t="s">
        <v>10702</v>
      </c>
      <c r="T1993">
        <v>42.100928441000001</v>
      </c>
      <c r="U1993">
        <v>-86.387270794000003</v>
      </c>
      <c r="V1993">
        <f>SUM(W1993:X1993)+(Y1993*0.8)+(Z1993*0.4)</f>
        <v>0</v>
      </c>
      <c r="W1993">
        <v>0</v>
      </c>
      <c r="X1993">
        <v>0</v>
      </c>
      <c r="Y1993">
        <v>0</v>
      </c>
      <c r="Z1993">
        <v>0</v>
      </c>
      <c r="AA1993">
        <v>113</v>
      </c>
      <c r="AB1993">
        <v>0</v>
      </c>
      <c r="AD1993" t="s">
        <v>10703</v>
      </c>
      <c r="AE1993" t="s">
        <v>10704</v>
      </c>
    </row>
    <row r="1994" spans="1:31" x14ac:dyDescent="0.25">
      <c r="A1994" t="s">
        <v>31</v>
      </c>
      <c r="C1994" t="s">
        <v>6953</v>
      </c>
      <c r="D1994" t="s">
        <v>10711</v>
      </c>
      <c r="E1994" t="s">
        <v>362</v>
      </c>
      <c r="F1994" t="s">
        <v>372</v>
      </c>
      <c r="H1994" t="s">
        <v>36</v>
      </c>
      <c r="I1994" t="s">
        <v>10712</v>
      </c>
      <c r="J1994" t="s">
        <v>31</v>
      </c>
      <c r="K1994" t="s">
        <v>38</v>
      </c>
      <c r="L1994" t="s">
        <v>77</v>
      </c>
      <c r="M1994" t="s">
        <v>78</v>
      </c>
      <c r="N1994" t="s">
        <v>10713</v>
      </c>
      <c r="O1994" t="s">
        <v>10714</v>
      </c>
      <c r="P1994" t="s">
        <v>10715</v>
      </c>
      <c r="Q1994" t="s">
        <v>10716</v>
      </c>
      <c r="T1994">
        <v>41.373691696000002</v>
      </c>
      <c r="U1994">
        <v>-79.956535950000003</v>
      </c>
      <c r="V1994">
        <f>SUM(W1994:X1994)+(Y1994*0.8)+(Z1994*0.4)</f>
        <v>0</v>
      </c>
      <c r="W1994">
        <v>0</v>
      </c>
      <c r="X1994">
        <v>0</v>
      </c>
      <c r="Y1994">
        <v>0</v>
      </c>
      <c r="Z1994">
        <v>0</v>
      </c>
      <c r="AA1994">
        <v>12.723000000000001</v>
      </c>
      <c r="AB1994">
        <v>0</v>
      </c>
      <c r="AD1994" t="s">
        <v>10717</v>
      </c>
      <c r="AE1994" t="s">
        <v>10718</v>
      </c>
    </row>
    <row r="1995" spans="1:31" x14ac:dyDescent="0.25">
      <c r="A1995" t="s">
        <v>31</v>
      </c>
      <c r="C1995" t="s">
        <v>6953</v>
      </c>
      <c r="D1995" t="s">
        <v>10719</v>
      </c>
      <c r="E1995" t="s">
        <v>362</v>
      </c>
      <c r="F1995" t="s">
        <v>43</v>
      </c>
      <c r="H1995" t="s">
        <v>36</v>
      </c>
      <c r="I1995" t="s">
        <v>10720</v>
      </c>
      <c r="J1995" t="s">
        <v>31</v>
      </c>
      <c r="K1995" t="s">
        <v>38</v>
      </c>
      <c r="L1995" t="s">
        <v>1900</v>
      </c>
      <c r="M1995" t="s">
        <v>1901</v>
      </c>
      <c r="N1995" t="s">
        <v>5058</v>
      </c>
      <c r="O1995" t="s">
        <v>5056</v>
      </c>
      <c r="Q1995" t="s">
        <v>5060</v>
      </c>
      <c r="T1995">
        <v>39.309443373999997</v>
      </c>
      <c r="U1995">
        <v>-94.611857092999998</v>
      </c>
      <c r="V1995">
        <f>SUM(W1995:X1995)+(Y1995*0.8)+(Z1995*0.4)</f>
        <v>0</v>
      </c>
      <c r="W1995">
        <v>0</v>
      </c>
      <c r="X1995">
        <v>0</v>
      </c>
      <c r="Y1995">
        <v>0</v>
      </c>
      <c r="Z1995">
        <v>0</v>
      </c>
      <c r="AA1995">
        <v>12.2</v>
      </c>
      <c r="AB1995">
        <v>0</v>
      </c>
      <c r="AD1995" t="s">
        <v>10721</v>
      </c>
      <c r="AE1995" t="s">
        <v>10722</v>
      </c>
    </row>
    <row r="1996" spans="1:31" x14ac:dyDescent="0.25">
      <c r="A1996" t="s">
        <v>31</v>
      </c>
      <c r="C1996" t="s">
        <v>6953</v>
      </c>
      <c r="D1996" t="s">
        <v>8487</v>
      </c>
      <c r="E1996" t="s">
        <v>362</v>
      </c>
      <c r="F1996" t="s">
        <v>43</v>
      </c>
      <c r="H1996" t="s">
        <v>36</v>
      </c>
      <c r="J1996" t="s">
        <v>31</v>
      </c>
      <c r="K1996" t="s">
        <v>38</v>
      </c>
      <c r="L1996" t="s">
        <v>1918</v>
      </c>
      <c r="M1996" t="s">
        <v>1919</v>
      </c>
      <c r="N1996" t="s">
        <v>1327</v>
      </c>
      <c r="P1996" t="s">
        <v>10723</v>
      </c>
      <c r="T1996">
        <v>38.695593133000003</v>
      </c>
      <c r="U1996">
        <v>-83.871949064999995</v>
      </c>
      <c r="V1996">
        <f>SUM(W1996:X1996)+(Y1996*0.8)+(Z1996*0.4)</f>
        <v>0</v>
      </c>
      <c r="W1996">
        <v>0</v>
      </c>
      <c r="X1996">
        <v>0</v>
      </c>
      <c r="Y1996">
        <v>0</v>
      </c>
      <c r="Z1996">
        <v>0</v>
      </c>
      <c r="AA1996">
        <v>2023.4280000000001</v>
      </c>
      <c r="AB1996">
        <v>0</v>
      </c>
      <c r="AD1996" t="s">
        <v>10724</v>
      </c>
      <c r="AE1996" t="s">
        <v>10725</v>
      </c>
    </row>
    <row r="1997" spans="1:31" x14ac:dyDescent="0.25">
      <c r="A1997" t="s">
        <v>31</v>
      </c>
      <c r="C1997" t="s">
        <v>6953</v>
      </c>
      <c r="D1997" t="s">
        <v>10726</v>
      </c>
      <c r="E1997" t="s">
        <v>34</v>
      </c>
      <c r="F1997" t="s">
        <v>66</v>
      </c>
      <c r="H1997" t="s">
        <v>411</v>
      </c>
      <c r="I1997" t="s">
        <v>325</v>
      </c>
      <c r="J1997" t="s">
        <v>31</v>
      </c>
      <c r="K1997" t="s">
        <v>38</v>
      </c>
      <c r="L1997" t="s">
        <v>317</v>
      </c>
      <c r="M1997" t="s">
        <v>318</v>
      </c>
      <c r="N1997" t="s">
        <v>10727</v>
      </c>
      <c r="O1997" t="s">
        <v>10726</v>
      </c>
      <c r="P1997" t="s">
        <v>10728</v>
      </c>
      <c r="T1997">
        <v>40.878157662</v>
      </c>
      <c r="U1997">
        <v>-84.566943545000001</v>
      </c>
      <c r="V1997">
        <f>SUM(W1997:X1997)+(Y1997*0.8)+(Z1997*0.4)</f>
        <v>0</v>
      </c>
      <c r="W1997">
        <v>0</v>
      </c>
      <c r="X1997">
        <v>0</v>
      </c>
      <c r="Y1997">
        <v>0</v>
      </c>
      <c r="Z1997">
        <v>0</v>
      </c>
      <c r="AA1997" t="s">
        <v>43</v>
      </c>
      <c r="AB1997">
        <v>0</v>
      </c>
      <c r="AD1997" t="s">
        <v>10729</v>
      </c>
      <c r="AE1997" t="s">
        <v>10730</v>
      </c>
    </row>
    <row r="1998" spans="1:31" x14ac:dyDescent="0.25">
      <c r="A1998" t="s">
        <v>31</v>
      </c>
      <c r="C1998" t="s">
        <v>10607</v>
      </c>
      <c r="D1998" t="s">
        <v>10616</v>
      </c>
      <c r="E1998" t="s">
        <v>34</v>
      </c>
      <c r="F1998" t="s">
        <v>66</v>
      </c>
      <c r="H1998" t="s">
        <v>36</v>
      </c>
      <c r="I1998" t="s">
        <v>10617</v>
      </c>
      <c r="J1998" t="s">
        <v>31</v>
      </c>
      <c r="K1998" t="s">
        <v>38</v>
      </c>
      <c r="L1998" t="s">
        <v>242</v>
      </c>
      <c r="M1998" t="s">
        <v>243</v>
      </c>
      <c r="N1998" t="s">
        <v>8889</v>
      </c>
      <c r="T1998">
        <v>37.697901956000003</v>
      </c>
      <c r="U1998">
        <v>-77.539503006000004</v>
      </c>
      <c r="V1998">
        <f>SUM(W1998:X1998)+(Y1998*0.8)+(Z1998*0.4)</f>
        <v>0</v>
      </c>
      <c r="W1998">
        <v>0</v>
      </c>
      <c r="X1998">
        <v>0</v>
      </c>
      <c r="Y1998">
        <v>0</v>
      </c>
      <c r="Z1998">
        <v>0</v>
      </c>
      <c r="AA1998">
        <v>174.01499999999999</v>
      </c>
      <c r="AB1998">
        <v>0</v>
      </c>
      <c r="AD1998" t="s">
        <v>10618</v>
      </c>
      <c r="AE1998" t="s">
        <v>10619</v>
      </c>
    </row>
    <row r="1999" spans="1:31" x14ac:dyDescent="0.25">
      <c r="A1999" t="s">
        <v>31</v>
      </c>
      <c r="C1999" t="s">
        <v>10607</v>
      </c>
      <c r="D1999" t="s">
        <v>10628</v>
      </c>
      <c r="E1999" t="s">
        <v>34</v>
      </c>
      <c r="F1999" t="s">
        <v>76</v>
      </c>
      <c r="H1999" t="s">
        <v>36</v>
      </c>
      <c r="J1999" t="s">
        <v>31</v>
      </c>
      <c r="K1999" t="s">
        <v>38</v>
      </c>
      <c r="L1999" t="s">
        <v>620</v>
      </c>
      <c r="M1999" t="s">
        <v>621</v>
      </c>
      <c r="N1999" t="s">
        <v>5917</v>
      </c>
      <c r="O1999" t="s">
        <v>6154</v>
      </c>
      <c r="P1999" t="s">
        <v>6155</v>
      </c>
      <c r="T1999">
        <v>40.300663999999998</v>
      </c>
      <c r="U1999">
        <v>-112.054103</v>
      </c>
      <c r="V1999">
        <f>SUM(W1999:X1999)+(Y1999*0.8)+(Z1999*0.4)</f>
        <v>0</v>
      </c>
      <c r="W1999">
        <v>0</v>
      </c>
      <c r="X1999">
        <v>0</v>
      </c>
      <c r="Y1999">
        <v>0</v>
      </c>
      <c r="Z1999">
        <v>0</v>
      </c>
      <c r="AA1999">
        <v>271.13900000000001</v>
      </c>
      <c r="AB1999">
        <v>0</v>
      </c>
      <c r="AD1999" t="s">
        <v>10629</v>
      </c>
      <c r="AE1999" t="s">
        <v>10630</v>
      </c>
    </row>
    <row r="2000" spans="1:31" x14ac:dyDescent="0.25">
      <c r="A2000" t="s">
        <v>31</v>
      </c>
      <c r="C2000" t="s">
        <v>10607</v>
      </c>
      <c r="D2000" t="s">
        <v>10631</v>
      </c>
      <c r="E2000" t="s">
        <v>34</v>
      </c>
      <c r="F2000" t="s">
        <v>66</v>
      </c>
      <c r="H2000" t="s">
        <v>36</v>
      </c>
      <c r="J2000" t="s">
        <v>31</v>
      </c>
      <c r="K2000" t="s">
        <v>38</v>
      </c>
      <c r="L2000" t="s">
        <v>1457</v>
      </c>
      <c r="M2000" t="s">
        <v>1458</v>
      </c>
      <c r="N2000" t="s">
        <v>10625</v>
      </c>
      <c r="T2000">
        <v>39.547715068999999</v>
      </c>
      <c r="U2000">
        <v>-119.504048686</v>
      </c>
      <c r="V2000">
        <f>SUM(W2000:X2000)+(Y2000*0.8)+(Z2000*0.4)</f>
        <v>0</v>
      </c>
      <c r="W2000">
        <v>0</v>
      </c>
      <c r="X2000">
        <v>0</v>
      </c>
      <c r="Y2000">
        <v>0</v>
      </c>
      <c r="Z2000">
        <v>0</v>
      </c>
      <c r="AA2000">
        <v>620.78800000000001</v>
      </c>
      <c r="AB2000">
        <v>0</v>
      </c>
      <c r="AD2000" t="s">
        <v>10632</v>
      </c>
      <c r="AE2000" t="s">
        <v>10633</v>
      </c>
    </row>
    <row r="2001" spans="1:31" x14ac:dyDescent="0.25">
      <c r="A2001" t="s">
        <v>31</v>
      </c>
      <c r="C2001" t="s">
        <v>10607</v>
      </c>
      <c r="D2001" t="s">
        <v>10649</v>
      </c>
      <c r="E2001" t="s">
        <v>34</v>
      </c>
      <c r="F2001" t="s">
        <v>66</v>
      </c>
      <c r="H2001" t="s">
        <v>36</v>
      </c>
      <c r="J2001" t="s">
        <v>31</v>
      </c>
      <c r="K2001" t="s">
        <v>38</v>
      </c>
      <c r="L2001" t="s">
        <v>1457</v>
      </c>
      <c r="M2001" t="s">
        <v>1458</v>
      </c>
      <c r="N2001" t="s">
        <v>10625</v>
      </c>
      <c r="T2001">
        <v>39.437159811000001</v>
      </c>
      <c r="U2001">
        <v>-119.531124901</v>
      </c>
      <c r="V2001">
        <f>SUM(W2001:X2001)+(Y2001*0.8)+(Z2001*0.4)</f>
        <v>0</v>
      </c>
      <c r="W2001">
        <v>0</v>
      </c>
      <c r="X2001">
        <v>0</v>
      </c>
      <c r="Y2001">
        <v>0</v>
      </c>
      <c r="Z2001">
        <v>0</v>
      </c>
      <c r="AA2001">
        <v>3476.25</v>
      </c>
      <c r="AB2001">
        <v>0</v>
      </c>
      <c r="AD2001" t="s">
        <v>10650</v>
      </c>
      <c r="AE2001" t="s">
        <v>10651</v>
      </c>
    </row>
    <row r="2002" spans="1:31" x14ac:dyDescent="0.25">
      <c r="A2002" t="s">
        <v>31</v>
      </c>
      <c r="C2002" t="s">
        <v>10344</v>
      </c>
      <c r="D2002" t="s">
        <v>10345</v>
      </c>
      <c r="E2002" t="s">
        <v>34</v>
      </c>
      <c r="F2002" t="s">
        <v>66</v>
      </c>
      <c r="H2002" t="s">
        <v>36</v>
      </c>
      <c r="I2002" t="s">
        <v>10346</v>
      </c>
      <c r="J2002" t="s">
        <v>31</v>
      </c>
      <c r="K2002" t="s">
        <v>38</v>
      </c>
      <c r="L2002" t="s">
        <v>2437</v>
      </c>
      <c r="M2002" t="s">
        <v>2438</v>
      </c>
      <c r="N2002" t="s">
        <v>10347</v>
      </c>
      <c r="O2002" t="s">
        <v>10345</v>
      </c>
      <c r="P2002" t="s">
        <v>10348</v>
      </c>
      <c r="T2002">
        <v>34.297839392</v>
      </c>
      <c r="U2002">
        <v>-80.533087867000006</v>
      </c>
      <c r="V2002">
        <f>SUM(W2002:X2002)+(Y2002*0.8)+(Z2002*0.4)</f>
        <v>0</v>
      </c>
      <c r="W2002">
        <v>0</v>
      </c>
      <c r="X2002">
        <v>0</v>
      </c>
      <c r="Y2002">
        <v>0</v>
      </c>
      <c r="Z2002">
        <v>0</v>
      </c>
      <c r="AA2002">
        <v>65.501999999999995</v>
      </c>
      <c r="AB2002">
        <v>0</v>
      </c>
      <c r="AD2002" t="s">
        <v>10349</v>
      </c>
      <c r="AE2002" t="s">
        <v>10350</v>
      </c>
    </row>
    <row r="2003" spans="1:31" x14ac:dyDescent="0.25">
      <c r="A2003" t="s">
        <v>31</v>
      </c>
      <c r="C2003" t="s">
        <v>10319</v>
      </c>
      <c r="D2003" t="s">
        <v>10328</v>
      </c>
      <c r="E2003" t="s">
        <v>34</v>
      </c>
      <c r="F2003" t="s">
        <v>66</v>
      </c>
      <c r="H2003" t="s">
        <v>36</v>
      </c>
      <c r="I2003" t="s">
        <v>10329</v>
      </c>
      <c r="J2003" t="s">
        <v>31</v>
      </c>
      <c r="K2003" t="s">
        <v>38</v>
      </c>
      <c r="L2003" t="s">
        <v>1918</v>
      </c>
      <c r="M2003" t="s">
        <v>1919</v>
      </c>
      <c r="N2003" t="s">
        <v>8269</v>
      </c>
      <c r="O2003" t="s">
        <v>10330</v>
      </c>
      <c r="P2003" t="s">
        <v>10331</v>
      </c>
      <c r="T2003">
        <v>37.9</v>
      </c>
      <c r="U2003">
        <v>-86.76</v>
      </c>
      <c r="V2003">
        <f>SUM(W2003:X2003)+(Y2003*0.8)+(Z2003*0.4)</f>
        <v>0</v>
      </c>
      <c r="W2003">
        <v>0</v>
      </c>
      <c r="X2003">
        <v>0</v>
      </c>
      <c r="Y2003">
        <v>0</v>
      </c>
      <c r="Z2003">
        <v>0</v>
      </c>
      <c r="AA2003">
        <v>303.51400000000001</v>
      </c>
      <c r="AB2003">
        <v>0</v>
      </c>
      <c r="AD2003" t="s">
        <v>10332</v>
      </c>
      <c r="AE2003" t="s">
        <v>10333</v>
      </c>
    </row>
    <row r="2004" spans="1:31" x14ac:dyDescent="0.25">
      <c r="A2004" t="s">
        <v>31</v>
      </c>
      <c r="C2004" t="s">
        <v>10102</v>
      </c>
      <c r="D2004" t="s">
        <v>10103</v>
      </c>
      <c r="E2004" t="s">
        <v>34</v>
      </c>
      <c r="F2004" t="s">
        <v>66</v>
      </c>
      <c r="H2004" t="s">
        <v>36</v>
      </c>
      <c r="I2004" t="s">
        <v>10104</v>
      </c>
      <c r="J2004" t="s">
        <v>31</v>
      </c>
      <c r="K2004" t="s">
        <v>38</v>
      </c>
      <c r="L2004" t="s">
        <v>68</v>
      </c>
      <c r="M2004" t="s">
        <v>69</v>
      </c>
      <c r="N2004" t="s">
        <v>956</v>
      </c>
      <c r="O2004" t="s">
        <v>957</v>
      </c>
      <c r="P2004" t="s">
        <v>9573</v>
      </c>
      <c r="T2004">
        <v>30.48689156</v>
      </c>
      <c r="U2004">
        <v>-97.656706654999994</v>
      </c>
      <c r="V2004">
        <f>SUM(W2004:X2004)+(Y2004*0.8)+(Z2004*0.4)</f>
        <v>0</v>
      </c>
      <c r="W2004">
        <v>0</v>
      </c>
      <c r="X2004">
        <v>0</v>
      </c>
      <c r="Y2004">
        <v>0</v>
      </c>
      <c r="Z2004">
        <v>0</v>
      </c>
      <c r="AA2004">
        <v>32.479999999999997</v>
      </c>
      <c r="AB2004">
        <v>0</v>
      </c>
      <c r="AD2004" t="s">
        <v>10105</v>
      </c>
      <c r="AE2004" t="s">
        <v>10106</v>
      </c>
    </row>
    <row r="2005" spans="1:31" x14ac:dyDescent="0.25">
      <c r="A2005" t="s">
        <v>31</v>
      </c>
      <c r="C2005" t="s">
        <v>10102</v>
      </c>
      <c r="D2005" t="s">
        <v>10137</v>
      </c>
      <c r="E2005" t="s">
        <v>34</v>
      </c>
      <c r="F2005" t="s">
        <v>66</v>
      </c>
      <c r="H2005" t="s">
        <v>36</v>
      </c>
      <c r="I2005" t="s">
        <v>10130</v>
      </c>
      <c r="J2005" t="s">
        <v>31</v>
      </c>
      <c r="K2005" t="s">
        <v>38</v>
      </c>
      <c r="L2005" t="s">
        <v>1457</v>
      </c>
      <c r="M2005" t="s">
        <v>1458</v>
      </c>
      <c r="N2005" t="s">
        <v>319</v>
      </c>
      <c r="O2005" t="s">
        <v>10113</v>
      </c>
      <c r="P2005" t="s">
        <v>10114</v>
      </c>
      <c r="S2005" t="s">
        <v>10131</v>
      </c>
      <c r="T2005">
        <v>36.065830489</v>
      </c>
      <c r="U2005">
        <v>-115.218516491</v>
      </c>
      <c r="V2005">
        <f>SUM(W2005:X2005)+(Y2005*0.8)+(Z2005*0.4)</f>
        <v>0</v>
      </c>
      <c r="W2005">
        <v>0</v>
      </c>
      <c r="X2005">
        <v>0</v>
      </c>
      <c r="Y2005">
        <v>0</v>
      </c>
      <c r="Z2005">
        <v>0</v>
      </c>
      <c r="AA2005">
        <v>5</v>
      </c>
      <c r="AB2005">
        <v>0</v>
      </c>
      <c r="AD2005" t="s">
        <v>10138</v>
      </c>
      <c r="AE2005" t="s">
        <v>10139</v>
      </c>
    </row>
    <row r="2006" spans="1:31" x14ac:dyDescent="0.25">
      <c r="A2006" t="s">
        <v>31</v>
      </c>
      <c r="C2006" t="s">
        <v>10011</v>
      </c>
      <c r="D2006" t="s">
        <v>10012</v>
      </c>
      <c r="E2006" t="s">
        <v>34</v>
      </c>
      <c r="F2006" t="s">
        <v>43</v>
      </c>
      <c r="H2006" t="s">
        <v>36</v>
      </c>
      <c r="I2006" t="s">
        <v>10013</v>
      </c>
      <c r="J2006" t="s">
        <v>31</v>
      </c>
      <c r="K2006" t="s">
        <v>38</v>
      </c>
      <c r="L2006" t="s">
        <v>242</v>
      </c>
      <c r="M2006" t="s">
        <v>243</v>
      </c>
      <c r="N2006" t="s">
        <v>244</v>
      </c>
      <c r="O2006" t="s">
        <v>719</v>
      </c>
      <c r="P2006" t="s">
        <v>720</v>
      </c>
      <c r="T2006">
        <v>38.913617686999999</v>
      </c>
      <c r="U2006">
        <v>-77.454465597999999</v>
      </c>
      <c r="V2006">
        <f>SUM(W2006:X2006)+(Y2006*0.8)+(Z2006*0.4)</f>
        <v>0</v>
      </c>
      <c r="W2006">
        <v>0</v>
      </c>
      <c r="X2006">
        <v>0</v>
      </c>
      <c r="Y2006">
        <v>0</v>
      </c>
      <c r="Z2006">
        <v>0</v>
      </c>
      <c r="AA2006">
        <v>16.875</v>
      </c>
      <c r="AB2006">
        <v>0</v>
      </c>
      <c r="AD2006" t="s">
        <v>10014</v>
      </c>
      <c r="AE2006" t="s">
        <v>10015</v>
      </c>
    </row>
    <row r="2007" spans="1:31" x14ac:dyDescent="0.25">
      <c r="A2007" t="s">
        <v>31</v>
      </c>
      <c r="C2007" t="s">
        <v>9886</v>
      </c>
      <c r="D2007" t="s">
        <v>951</v>
      </c>
      <c r="E2007" t="s">
        <v>34</v>
      </c>
      <c r="F2007" t="s">
        <v>66</v>
      </c>
      <c r="H2007" t="s">
        <v>36</v>
      </c>
      <c r="I2007" t="s">
        <v>9912</v>
      </c>
      <c r="J2007" t="s">
        <v>31</v>
      </c>
      <c r="K2007" t="s">
        <v>38</v>
      </c>
      <c r="L2007" t="s">
        <v>242</v>
      </c>
      <c r="M2007" t="s">
        <v>243</v>
      </c>
      <c r="O2007" t="s">
        <v>951</v>
      </c>
      <c r="P2007" t="s">
        <v>9913</v>
      </c>
      <c r="S2007" t="s">
        <v>9914</v>
      </c>
      <c r="T2007">
        <v>38.319050947000001</v>
      </c>
      <c r="U2007">
        <v>-77.516681805999994</v>
      </c>
      <c r="V2007">
        <f>SUM(W2007:X2007)+(Y2007*0.8)+(Z2007*0.4)</f>
        <v>0</v>
      </c>
      <c r="W2007">
        <v>0</v>
      </c>
      <c r="X2007">
        <v>0</v>
      </c>
      <c r="Y2007">
        <v>0</v>
      </c>
      <c r="Z2007">
        <v>0</v>
      </c>
      <c r="AA2007">
        <v>25.5</v>
      </c>
      <c r="AB2007">
        <v>0</v>
      </c>
      <c r="AD2007" t="s">
        <v>9915</v>
      </c>
      <c r="AE2007" t="s">
        <v>9916</v>
      </c>
    </row>
    <row r="2008" spans="1:31" x14ac:dyDescent="0.25">
      <c r="A2008" t="s">
        <v>31</v>
      </c>
      <c r="C2008" t="s">
        <v>9886</v>
      </c>
      <c r="D2008" t="s">
        <v>9975</v>
      </c>
      <c r="E2008" t="s">
        <v>362</v>
      </c>
      <c r="F2008" t="s">
        <v>43</v>
      </c>
      <c r="H2008" t="s">
        <v>411</v>
      </c>
      <c r="I2008" t="s">
        <v>9976</v>
      </c>
      <c r="J2008" t="s">
        <v>31</v>
      </c>
      <c r="K2008" t="s">
        <v>38</v>
      </c>
      <c r="L2008" t="s">
        <v>1959</v>
      </c>
      <c r="M2008" t="s">
        <v>1960</v>
      </c>
      <c r="N2008" t="s">
        <v>7436</v>
      </c>
      <c r="O2008" t="s">
        <v>9977</v>
      </c>
      <c r="P2008" t="s">
        <v>9978</v>
      </c>
      <c r="T2008">
        <v>31.819417352999999</v>
      </c>
      <c r="U2008">
        <v>-106.676170942</v>
      </c>
      <c r="V2008">
        <f>SUM(W2008:X2008)+(Y2008*0.8)+(Z2008*0.4)</f>
        <v>0</v>
      </c>
      <c r="W2008">
        <v>0</v>
      </c>
      <c r="X2008">
        <v>0</v>
      </c>
      <c r="Y2008">
        <v>0</v>
      </c>
      <c r="Z2008">
        <v>0</v>
      </c>
      <c r="AA2008" t="s">
        <v>43</v>
      </c>
      <c r="AB2008">
        <v>0</v>
      </c>
      <c r="AD2008" t="s">
        <v>9979</v>
      </c>
      <c r="AE2008" t="s">
        <v>9980</v>
      </c>
    </row>
    <row r="2009" spans="1:31" x14ac:dyDescent="0.25">
      <c r="A2009" t="s">
        <v>31</v>
      </c>
      <c r="C2009" t="s">
        <v>9649</v>
      </c>
      <c r="D2009" t="s">
        <v>9650</v>
      </c>
      <c r="E2009" t="s">
        <v>34</v>
      </c>
      <c r="F2009" t="s">
        <v>66</v>
      </c>
      <c r="H2009" t="s">
        <v>36</v>
      </c>
      <c r="I2009" t="s">
        <v>9651</v>
      </c>
      <c r="J2009" t="s">
        <v>31</v>
      </c>
      <c r="K2009" t="s">
        <v>38</v>
      </c>
      <c r="L2009" t="s">
        <v>448</v>
      </c>
      <c r="M2009" t="s">
        <v>449</v>
      </c>
      <c r="N2009" t="s">
        <v>5610</v>
      </c>
      <c r="O2009" t="s">
        <v>470</v>
      </c>
      <c r="P2009" t="s">
        <v>9652</v>
      </c>
      <c r="T2009">
        <v>39.307704184000002</v>
      </c>
      <c r="U2009">
        <v>-76.738634129000005</v>
      </c>
      <c r="V2009">
        <f>SUM(W2009:X2009)+(Y2009*0.8)+(Z2009*0.4)</f>
        <v>0</v>
      </c>
      <c r="W2009">
        <v>0</v>
      </c>
      <c r="X2009">
        <v>0</v>
      </c>
      <c r="Y2009">
        <v>0</v>
      </c>
      <c r="Z2009">
        <v>0</v>
      </c>
      <c r="AA2009" t="s">
        <v>43</v>
      </c>
      <c r="AB2009">
        <v>0</v>
      </c>
      <c r="AD2009" t="s">
        <v>9653</v>
      </c>
      <c r="AE2009" t="s">
        <v>9654</v>
      </c>
    </row>
    <row r="2010" spans="1:31" x14ac:dyDescent="0.25">
      <c r="A2010" t="s">
        <v>31</v>
      </c>
      <c r="C2010" t="s">
        <v>9453</v>
      </c>
      <c r="D2010" t="s">
        <v>9454</v>
      </c>
      <c r="E2010" t="s">
        <v>34</v>
      </c>
      <c r="F2010" t="s">
        <v>43</v>
      </c>
      <c r="H2010" t="s">
        <v>36</v>
      </c>
      <c r="I2010" t="s">
        <v>9455</v>
      </c>
      <c r="J2010" t="s">
        <v>31</v>
      </c>
      <c r="K2010" t="s">
        <v>38</v>
      </c>
      <c r="L2010" t="s">
        <v>242</v>
      </c>
      <c r="M2010" t="s">
        <v>243</v>
      </c>
      <c r="N2010" t="s">
        <v>413</v>
      </c>
      <c r="O2010" t="s">
        <v>951</v>
      </c>
      <c r="P2010" t="s">
        <v>8831</v>
      </c>
      <c r="T2010">
        <v>38.265332329000003</v>
      </c>
      <c r="U2010">
        <v>-77.393594574999995</v>
      </c>
      <c r="V2010">
        <f>SUM(W2010:X2010)+(Y2010*0.8)+(Z2010*0.4)</f>
        <v>0</v>
      </c>
      <c r="W2010">
        <v>0</v>
      </c>
      <c r="X2010">
        <v>0</v>
      </c>
      <c r="Y2010">
        <v>0</v>
      </c>
      <c r="Z2010">
        <v>0</v>
      </c>
      <c r="AA2010">
        <v>343.983</v>
      </c>
      <c r="AB2010">
        <v>0</v>
      </c>
      <c r="AD2010" t="s">
        <v>9456</v>
      </c>
      <c r="AE2010" t="s">
        <v>9457</v>
      </c>
    </row>
    <row r="2011" spans="1:31" x14ac:dyDescent="0.25">
      <c r="A2011" t="s">
        <v>31</v>
      </c>
      <c r="C2011" t="s">
        <v>9202</v>
      </c>
      <c r="D2011" t="s">
        <v>9252</v>
      </c>
      <c r="E2011" t="s">
        <v>34</v>
      </c>
      <c r="F2011" t="s">
        <v>66</v>
      </c>
      <c r="H2011" t="s">
        <v>411</v>
      </c>
      <c r="I2011" t="s">
        <v>1182</v>
      </c>
      <c r="J2011" t="s">
        <v>31</v>
      </c>
      <c r="K2011" t="s">
        <v>38</v>
      </c>
      <c r="L2011" t="s">
        <v>112</v>
      </c>
      <c r="M2011" t="s">
        <v>113</v>
      </c>
      <c r="N2011" t="s">
        <v>345</v>
      </c>
      <c r="O2011" t="s">
        <v>9253</v>
      </c>
      <c r="P2011" t="s">
        <v>9254</v>
      </c>
      <c r="T2011">
        <v>43.2485</v>
      </c>
      <c r="U2011">
        <v>-89.404200000000003</v>
      </c>
      <c r="V2011">
        <f>SUM(W2011:X2011)+(Y2011*0.8)+(Z2011*0.4)</f>
        <v>0</v>
      </c>
      <c r="W2011">
        <v>0</v>
      </c>
      <c r="X2011">
        <v>0</v>
      </c>
      <c r="Y2011">
        <v>0</v>
      </c>
      <c r="Z2011">
        <v>0</v>
      </c>
      <c r="AA2011" t="s">
        <v>43</v>
      </c>
      <c r="AB2011">
        <v>0</v>
      </c>
      <c r="AD2011" t="s">
        <v>9255</v>
      </c>
      <c r="AE2011" t="s">
        <v>9256</v>
      </c>
    </row>
    <row r="2012" spans="1:31" x14ac:dyDescent="0.25">
      <c r="A2012" t="s">
        <v>31</v>
      </c>
      <c r="C2012" t="s">
        <v>9202</v>
      </c>
      <c r="D2012" t="s">
        <v>9284</v>
      </c>
      <c r="E2012" t="s">
        <v>34</v>
      </c>
      <c r="F2012" t="s">
        <v>43</v>
      </c>
      <c r="H2012" t="s">
        <v>36</v>
      </c>
      <c r="I2012" t="s">
        <v>9285</v>
      </c>
      <c r="J2012" t="s">
        <v>31</v>
      </c>
      <c r="K2012" t="s">
        <v>38</v>
      </c>
      <c r="L2012" t="s">
        <v>640</v>
      </c>
      <c r="M2012" t="s">
        <v>641</v>
      </c>
      <c r="N2012" t="s">
        <v>4137</v>
      </c>
      <c r="O2012" t="s">
        <v>9286</v>
      </c>
      <c r="P2012" t="s">
        <v>9287</v>
      </c>
      <c r="T2012">
        <v>39.411458000000003</v>
      </c>
      <c r="U2012">
        <v>-77.899185000000003</v>
      </c>
      <c r="V2012">
        <f>SUM(W2012:X2012)+(Y2012*0.8)+(Z2012*0.4)</f>
        <v>0</v>
      </c>
      <c r="W2012">
        <v>0</v>
      </c>
      <c r="X2012">
        <v>0</v>
      </c>
      <c r="Y2012">
        <v>0</v>
      </c>
      <c r="Z2012">
        <v>0</v>
      </c>
      <c r="AA2012" t="s">
        <v>43</v>
      </c>
      <c r="AB2012">
        <v>0</v>
      </c>
      <c r="AD2012" t="s">
        <v>9288</v>
      </c>
      <c r="AE2012" t="s">
        <v>9289</v>
      </c>
    </row>
    <row r="2013" spans="1:31" x14ac:dyDescent="0.25">
      <c r="A2013" t="s">
        <v>31</v>
      </c>
      <c r="C2013" t="s">
        <v>9202</v>
      </c>
      <c r="D2013" t="s">
        <v>9375</v>
      </c>
      <c r="E2013" t="s">
        <v>34</v>
      </c>
      <c r="F2013" t="s">
        <v>66</v>
      </c>
      <c r="H2013" t="s">
        <v>36</v>
      </c>
      <c r="I2013" t="s">
        <v>9376</v>
      </c>
      <c r="J2013" t="s">
        <v>31</v>
      </c>
      <c r="K2013" t="s">
        <v>38</v>
      </c>
      <c r="L2013" t="s">
        <v>242</v>
      </c>
      <c r="M2013" t="s">
        <v>243</v>
      </c>
      <c r="N2013" t="s">
        <v>1796</v>
      </c>
      <c r="O2013" t="s">
        <v>6902</v>
      </c>
      <c r="P2013" t="s">
        <v>6903</v>
      </c>
      <c r="T2013">
        <v>37.512861440000002</v>
      </c>
      <c r="U2013">
        <v>-77.262106645000003</v>
      </c>
      <c r="V2013">
        <f>SUM(W2013:X2013)+(Y2013*0.8)+(Z2013*0.4)</f>
        <v>0</v>
      </c>
      <c r="W2013">
        <v>0</v>
      </c>
      <c r="X2013">
        <v>0</v>
      </c>
      <c r="Y2013">
        <v>0</v>
      </c>
      <c r="Z2013">
        <v>0</v>
      </c>
      <c r="AA2013">
        <v>251.714</v>
      </c>
      <c r="AB2013">
        <v>0</v>
      </c>
      <c r="AD2013" t="s">
        <v>9377</v>
      </c>
      <c r="AE2013" t="s">
        <v>9378</v>
      </c>
    </row>
    <row r="2014" spans="1:31" x14ac:dyDescent="0.25">
      <c r="A2014" t="s">
        <v>31</v>
      </c>
      <c r="C2014" t="s">
        <v>9170</v>
      </c>
      <c r="D2014" t="s">
        <v>9171</v>
      </c>
      <c r="E2014" t="s">
        <v>34</v>
      </c>
      <c r="F2014" t="s">
        <v>66</v>
      </c>
      <c r="H2014" t="s">
        <v>36</v>
      </c>
      <c r="I2014" t="s">
        <v>9172</v>
      </c>
      <c r="J2014" t="s">
        <v>31</v>
      </c>
      <c r="K2014" t="s">
        <v>38</v>
      </c>
      <c r="L2014" t="s">
        <v>77</v>
      </c>
      <c r="M2014" t="s">
        <v>78</v>
      </c>
      <c r="N2014" t="s">
        <v>7908</v>
      </c>
      <c r="O2014" t="s">
        <v>9173</v>
      </c>
      <c r="P2014" t="s">
        <v>9174</v>
      </c>
      <c r="Q2014" t="s">
        <v>9173</v>
      </c>
      <c r="S2014" t="s">
        <v>9175</v>
      </c>
      <c r="T2014">
        <v>40.227873492999997</v>
      </c>
      <c r="U2014">
        <v>-76.809214397000005</v>
      </c>
      <c r="V2014">
        <f>SUM(W2014:X2014)+(Y2014*0.8)+(Z2014*0.4)</f>
        <v>0</v>
      </c>
      <c r="W2014">
        <v>0</v>
      </c>
      <c r="X2014">
        <v>0</v>
      </c>
      <c r="Y2014">
        <v>0</v>
      </c>
      <c r="Z2014">
        <v>0</v>
      </c>
      <c r="AA2014">
        <v>101.17100000000001</v>
      </c>
      <c r="AB2014">
        <v>0</v>
      </c>
      <c r="AD2014" t="s">
        <v>9176</v>
      </c>
      <c r="AE2014" t="s">
        <v>9177</v>
      </c>
    </row>
    <row r="2015" spans="1:31" x14ac:dyDescent="0.25">
      <c r="A2015" t="s">
        <v>31</v>
      </c>
      <c r="C2015" t="s">
        <v>9099</v>
      </c>
      <c r="D2015" t="s">
        <v>9100</v>
      </c>
      <c r="E2015" t="s">
        <v>34</v>
      </c>
      <c r="F2015" t="s">
        <v>43</v>
      </c>
      <c r="H2015" t="s">
        <v>36</v>
      </c>
      <c r="I2015" t="s">
        <v>9101</v>
      </c>
      <c r="J2015" t="s">
        <v>31</v>
      </c>
      <c r="K2015" t="s">
        <v>38</v>
      </c>
      <c r="L2015" t="s">
        <v>39</v>
      </c>
      <c r="M2015" t="s">
        <v>40</v>
      </c>
      <c r="N2015" t="s">
        <v>163</v>
      </c>
      <c r="O2015" t="s">
        <v>9102</v>
      </c>
      <c r="P2015" t="s">
        <v>9103</v>
      </c>
      <c r="T2015">
        <v>40.829502912000002</v>
      </c>
      <c r="U2015">
        <v>-74.153347445999998</v>
      </c>
      <c r="V2015">
        <f>SUM(W2015:X2015)+(Y2015*0.8)+(Z2015*0.4)</f>
        <v>0</v>
      </c>
      <c r="W2015">
        <v>0</v>
      </c>
      <c r="X2015">
        <v>0</v>
      </c>
      <c r="Y2015">
        <v>0</v>
      </c>
      <c r="Z2015">
        <v>0</v>
      </c>
      <c r="AA2015">
        <v>46.944000000000003</v>
      </c>
      <c r="AB2015">
        <v>0</v>
      </c>
      <c r="AD2015" t="s">
        <v>9104</v>
      </c>
      <c r="AE2015" t="s">
        <v>9105</v>
      </c>
    </row>
    <row r="2016" spans="1:31" x14ac:dyDescent="0.25">
      <c r="A2016" t="s">
        <v>31</v>
      </c>
      <c r="C2016" t="s">
        <v>8779</v>
      </c>
      <c r="D2016" t="s">
        <v>8780</v>
      </c>
      <c r="E2016" t="s">
        <v>34</v>
      </c>
      <c r="F2016" t="s">
        <v>43</v>
      </c>
      <c r="H2016" t="s">
        <v>36</v>
      </c>
      <c r="I2016" t="s">
        <v>1182</v>
      </c>
      <c r="J2016" t="s">
        <v>31</v>
      </c>
      <c r="K2016" t="s">
        <v>38</v>
      </c>
      <c r="L2016" t="s">
        <v>49</v>
      </c>
      <c r="M2016" t="s">
        <v>50</v>
      </c>
      <c r="N2016" t="s">
        <v>8434</v>
      </c>
      <c r="O2016" t="s">
        <v>8781</v>
      </c>
      <c r="T2016">
        <v>42.228135000000002</v>
      </c>
      <c r="U2016">
        <v>-83.435840999999996</v>
      </c>
      <c r="V2016">
        <f>SUM(W2016:X2016)+(Y2016*0.8)+(Z2016*0.4)</f>
        <v>0</v>
      </c>
      <c r="W2016">
        <v>0</v>
      </c>
      <c r="X2016">
        <v>0</v>
      </c>
      <c r="Y2016">
        <v>0</v>
      </c>
      <c r="Z2016">
        <v>0</v>
      </c>
      <c r="AA2016" t="s">
        <v>43</v>
      </c>
      <c r="AB2016">
        <v>0</v>
      </c>
      <c r="AD2016" t="s">
        <v>8782</v>
      </c>
      <c r="AE2016" t="s">
        <v>8783</v>
      </c>
    </row>
    <row r="2017" spans="1:31" x14ac:dyDescent="0.25">
      <c r="A2017" t="s">
        <v>31</v>
      </c>
      <c r="C2017" t="s">
        <v>8701</v>
      </c>
      <c r="D2017" t="s">
        <v>8702</v>
      </c>
      <c r="E2017" t="s">
        <v>34</v>
      </c>
      <c r="F2017" t="s">
        <v>66</v>
      </c>
      <c r="H2017" t="s">
        <v>36</v>
      </c>
      <c r="I2017" t="s">
        <v>325</v>
      </c>
      <c r="J2017" t="s">
        <v>31</v>
      </c>
      <c r="K2017" t="s">
        <v>38</v>
      </c>
      <c r="L2017" t="s">
        <v>68</v>
      </c>
      <c r="M2017" t="s">
        <v>69</v>
      </c>
      <c r="N2017" t="s">
        <v>8703</v>
      </c>
      <c r="T2017">
        <v>30.277465442</v>
      </c>
      <c r="U2017">
        <v>-104.069521967</v>
      </c>
      <c r="V2017">
        <f>SUM(W2017:X2017)+(Y2017*0.8)+(Z2017*0.4)</f>
        <v>0</v>
      </c>
      <c r="W2017">
        <v>0</v>
      </c>
      <c r="X2017">
        <v>0</v>
      </c>
      <c r="Y2017">
        <v>0</v>
      </c>
      <c r="Z2017">
        <v>0</v>
      </c>
      <c r="AA2017">
        <v>32374.850999999999</v>
      </c>
      <c r="AB2017">
        <v>0</v>
      </c>
      <c r="AD2017" t="s">
        <v>8704</v>
      </c>
      <c r="AE2017" t="s">
        <v>8705</v>
      </c>
    </row>
    <row r="2018" spans="1:31" x14ac:dyDescent="0.25">
      <c r="A2018" t="s">
        <v>31</v>
      </c>
      <c r="C2018" t="s">
        <v>8660</v>
      </c>
      <c r="D2018" t="s">
        <v>8661</v>
      </c>
      <c r="E2018" t="s">
        <v>34</v>
      </c>
      <c r="F2018" t="s">
        <v>35</v>
      </c>
      <c r="H2018" t="s">
        <v>36</v>
      </c>
      <c r="I2018" t="s">
        <v>8662</v>
      </c>
      <c r="J2018" t="s">
        <v>31</v>
      </c>
      <c r="K2018" t="s">
        <v>38</v>
      </c>
      <c r="L2018" t="s">
        <v>49</v>
      </c>
      <c r="M2018" t="s">
        <v>50</v>
      </c>
      <c r="N2018" t="s">
        <v>51</v>
      </c>
      <c r="O2018" t="s">
        <v>8663</v>
      </c>
      <c r="P2018" t="s">
        <v>8664</v>
      </c>
      <c r="T2018">
        <v>42.668626689</v>
      </c>
      <c r="U2018">
        <v>-83.214266584000001</v>
      </c>
      <c r="V2018">
        <f>SUM(W2018:X2018)+(Y2018*0.8)+(Z2018*0.4)</f>
        <v>0</v>
      </c>
      <c r="W2018">
        <v>0</v>
      </c>
      <c r="X2018">
        <v>0</v>
      </c>
      <c r="Y2018">
        <v>0</v>
      </c>
      <c r="Z2018">
        <v>0</v>
      </c>
      <c r="AA2018" t="s">
        <v>43</v>
      </c>
      <c r="AB2018">
        <v>0</v>
      </c>
      <c r="AD2018" t="s">
        <v>8665</v>
      </c>
      <c r="AE2018" t="s">
        <v>8666</v>
      </c>
    </row>
    <row r="2019" spans="1:31" x14ac:dyDescent="0.25">
      <c r="A2019" t="s">
        <v>31</v>
      </c>
      <c r="C2019" t="s">
        <v>8540</v>
      </c>
      <c r="D2019" t="s">
        <v>5843</v>
      </c>
      <c r="E2019" t="s">
        <v>34</v>
      </c>
      <c r="F2019" t="s">
        <v>66</v>
      </c>
      <c r="H2019" t="s">
        <v>36</v>
      </c>
      <c r="I2019" t="s">
        <v>8559</v>
      </c>
      <c r="J2019" t="s">
        <v>31</v>
      </c>
      <c r="K2019" t="s">
        <v>38</v>
      </c>
      <c r="L2019" t="s">
        <v>1457</v>
      </c>
      <c r="M2019" t="s">
        <v>1458</v>
      </c>
      <c r="N2019" t="s">
        <v>319</v>
      </c>
      <c r="O2019" t="s">
        <v>5843</v>
      </c>
      <c r="T2019">
        <v>36.306001893000001</v>
      </c>
      <c r="U2019">
        <v>-114.97554908799999</v>
      </c>
      <c r="V2019">
        <f>SUM(W2019:X2019)+(Y2019*0.8)+(Z2019*0.4)</f>
        <v>0</v>
      </c>
      <c r="W2019">
        <v>0</v>
      </c>
      <c r="X2019">
        <v>0</v>
      </c>
      <c r="Y2019">
        <v>0</v>
      </c>
      <c r="Z2019">
        <v>0</v>
      </c>
      <c r="AA2019">
        <v>82.960999999999999</v>
      </c>
      <c r="AB2019">
        <v>0</v>
      </c>
      <c r="AD2019" t="s">
        <v>8560</v>
      </c>
      <c r="AE2019" t="s">
        <v>8561</v>
      </c>
    </row>
    <row r="2020" spans="1:31" x14ac:dyDescent="0.25">
      <c r="A2020" t="s">
        <v>31</v>
      </c>
      <c r="C2020" t="s">
        <v>8520</v>
      </c>
      <c r="D2020" t="s">
        <v>8529</v>
      </c>
      <c r="E2020" t="s">
        <v>34</v>
      </c>
      <c r="F2020" t="s">
        <v>43</v>
      </c>
      <c r="H2020" t="s">
        <v>36</v>
      </c>
      <c r="I2020" t="s">
        <v>8530</v>
      </c>
      <c r="J2020" t="s">
        <v>31</v>
      </c>
      <c r="K2020" t="s">
        <v>38</v>
      </c>
      <c r="L2020" t="s">
        <v>77</v>
      </c>
      <c r="M2020" t="s">
        <v>78</v>
      </c>
      <c r="N2020" t="s">
        <v>817</v>
      </c>
      <c r="O2020" t="s">
        <v>8531</v>
      </c>
      <c r="P2020" t="s">
        <v>8532</v>
      </c>
      <c r="T2020">
        <v>40.968539692</v>
      </c>
      <c r="U2020">
        <v>-76.054564278000001</v>
      </c>
      <c r="V2020">
        <f>SUM(W2020:X2020)+(Y2020*0.8)+(Z2020*0.4)</f>
        <v>0</v>
      </c>
      <c r="W2020">
        <v>0</v>
      </c>
      <c r="X2020">
        <v>0</v>
      </c>
      <c r="Y2020">
        <v>0</v>
      </c>
      <c r="Z2020">
        <v>0</v>
      </c>
      <c r="AA2020">
        <v>519.21199999999999</v>
      </c>
      <c r="AB2020">
        <v>0</v>
      </c>
      <c r="AD2020" t="s">
        <v>8533</v>
      </c>
      <c r="AE2020" t="s">
        <v>8534</v>
      </c>
    </row>
    <row r="2021" spans="1:31" x14ac:dyDescent="0.25">
      <c r="A2021" t="s">
        <v>31</v>
      </c>
      <c r="C2021" t="s">
        <v>8323</v>
      </c>
      <c r="D2021" t="s">
        <v>8328</v>
      </c>
      <c r="E2021" t="s">
        <v>34</v>
      </c>
      <c r="F2021" t="s">
        <v>66</v>
      </c>
      <c r="H2021" t="s">
        <v>36</v>
      </c>
      <c r="I2021" t="s">
        <v>8329</v>
      </c>
      <c r="J2021" t="s">
        <v>31</v>
      </c>
      <c r="K2021" t="s">
        <v>38</v>
      </c>
      <c r="L2021" t="s">
        <v>1380</v>
      </c>
      <c r="M2021" t="s">
        <v>1381</v>
      </c>
      <c r="N2021" t="s">
        <v>8330</v>
      </c>
      <c r="O2021" t="s">
        <v>8331</v>
      </c>
      <c r="P2021" t="s">
        <v>8332</v>
      </c>
      <c r="Q2021" t="s">
        <v>8331</v>
      </c>
      <c r="T2021">
        <v>41.876409834</v>
      </c>
      <c r="U2021">
        <v>-71.898717457999993</v>
      </c>
      <c r="V2021">
        <f>SUM(W2021:X2021)+(Y2021*0.8)+(Z2021*0.4)</f>
        <v>0</v>
      </c>
      <c r="W2021">
        <v>0</v>
      </c>
      <c r="X2021">
        <v>0</v>
      </c>
      <c r="Y2021">
        <v>0</v>
      </c>
      <c r="Z2021">
        <v>0</v>
      </c>
      <c r="AA2021">
        <v>15.7</v>
      </c>
      <c r="AB2021">
        <v>0</v>
      </c>
      <c r="AD2021" t="s">
        <v>8333</v>
      </c>
      <c r="AE2021" t="s">
        <v>8334</v>
      </c>
    </row>
    <row r="2022" spans="1:31" x14ac:dyDescent="0.25">
      <c r="A2022" t="s">
        <v>31</v>
      </c>
      <c r="B2022" t="s">
        <v>11350</v>
      </c>
      <c r="C2022" t="s">
        <v>7857</v>
      </c>
      <c r="D2022" t="s">
        <v>7906</v>
      </c>
      <c r="E2022" t="s">
        <v>362</v>
      </c>
      <c r="F2022" t="s">
        <v>649</v>
      </c>
      <c r="H2022" t="s">
        <v>36</v>
      </c>
      <c r="I2022" t="s">
        <v>7907</v>
      </c>
      <c r="J2022" t="s">
        <v>31</v>
      </c>
      <c r="K2022" t="s">
        <v>38</v>
      </c>
      <c r="L2022" t="s">
        <v>77</v>
      </c>
      <c r="M2022" t="s">
        <v>78</v>
      </c>
      <c r="N2022" t="s">
        <v>7908</v>
      </c>
      <c r="O2022" t="s">
        <v>7909</v>
      </c>
      <c r="S2022" t="s">
        <v>7910</v>
      </c>
      <c r="T2022">
        <v>40.152651196000001</v>
      </c>
      <c r="U2022">
        <v>-76.725891336999993</v>
      </c>
      <c r="V2022">
        <f>SUM(W2022:X2022)+(Y2022*0.8)+(Z2022*0.4)</f>
        <v>0</v>
      </c>
      <c r="W2022">
        <v>0</v>
      </c>
      <c r="X2022">
        <v>0</v>
      </c>
      <c r="Y2022">
        <v>0</v>
      </c>
      <c r="Z2022">
        <v>0</v>
      </c>
      <c r="AA2022">
        <v>75</v>
      </c>
      <c r="AB2022">
        <v>0</v>
      </c>
      <c r="AD2022" t="s">
        <v>7911</v>
      </c>
      <c r="AE2022" t="s">
        <v>7912</v>
      </c>
    </row>
    <row r="2023" spans="1:31" x14ac:dyDescent="0.25">
      <c r="A2023" t="s">
        <v>31</v>
      </c>
      <c r="B2023" t="s">
        <v>11350</v>
      </c>
      <c r="C2023" t="s">
        <v>7857</v>
      </c>
      <c r="D2023" t="s">
        <v>7978</v>
      </c>
      <c r="E2023" t="s">
        <v>362</v>
      </c>
      <c r="F2023" t="s">
        <v>43</v>
      </c>
      <c r="H2023" t="s">
        <v>36</v>
      </c>
      <c r="I2023" t="s">
        <v>7979</v>
      </c>
      <c r="J2023" t="s">
        <v>31</v>
      </c>
      <c r="K2023" t="s">
        <v>38</v>
      </c>
      <c r="L2023" t="s">
        <v>112</v>
      </c>
      <c r="M2023" t="s">
        <v>113</v>
      </c>
      <c r="N2023" t="s">
        <v>7980</v>
      </c>
      <c r="O2023" t="s">
        <v>7981</v>
      </c>
      <c r="P2023" t="s">
        <v>7982</v>
      </c>
      <c r="Q2023" t="s">
        <v>7983</v>
      </c>
      <c r="T2023">
        <v>42.622380999999997</v>
      </c>
      <c r="U2023">
        <v>-87.965948999999995</v>
      </c>
      <c r="V2023">
        <f>SUM(W2023:X2023)+(Y2023*0.8)+(Z2023*0.4)</f>
        <v>0</v>
      </c>
      <c r="W2023">
        <v>0</v>
      </c>
      <c r="X2023">
        <v>0</v>
      </c>
      <c r="Y2023">
        <v>0</v>
      </c>
      <c r="Z2023">
        <v>0</v>
      </c>
      <c r="AA2023" t="s">
        <v>43</v>
      </c>
      <c r="AB2023">
        <v>0</v>
      </c>
      <c r="AD2023" t="s">
        <v>7984</v>
      </c>
      <c r="AE2023" t="s">
        <v>7985</v>
      </c>
    </row>
    <row r="2024" spans="1:31" x14ac:dyDescent="0.25">
      <c r="A2024" t="s">
        <v>31</v>
      </c>
      <c r="B2024" t="s">
        <v>11350</v>
      </c>
      <c r="C2024" t="s">
        <v>7857</v>
      </c>
      <c r="D2024" t="s">
        <v>8012</v>
      </c>
      <c r="E2024" t="s">
        <v>362</v>
      </c>
      <c r="F2024" t="s">
        <v>649</v>
      </c>
      <c r="H2024" t="s">
        <v>36</v>
      </c>
      <c r="I2024" t="s">
        <v>8013</v>
      </c>
      <c r="J2024" t="s">
        <v>31</v>
      </c>
      <c r="K2024" t="s">
        <v>38</v>
      </c>
      <c r="L2024" t="s">
        <v>49</v>
      </c>
      <c r="M2024" t="s">
        <v>50</v>
      </c>
      <c r="N2024" t="s">
        <v>59</v>
      </c>
      <c r="O2024" t="s">
        <v>8014</v>
      </c>
      <c r="P2024" t="s">
        <v>8015</v>
      </c>
      <c r="S2024" t="s">
        <v>8016</v>
      </c>
      <c r="T2024">
        <v>42.826355970999998</v>
      </c>
      <c r="U2024">
        <v>-85.545594249000004</v>
      </c>
      <c r="V2024">
        <f>SUM(W2024:X2024)+(Y2024*0.8)+(Z2024*0.4)</f>
        <v>0</v>
      </c>
      <c r="W2024">
        <v>0</v>
      </c>
      <c r="X2024">
        <v>0</v>
      </c>
      <c r="Y2024">
        <v>0</v>
      </c>
      <c r="Z2024">
        <v>0</v>
      </c>
      <c r="AA2024">
        <v>127.881</v>
      </c>
      <c r="AB2024">
        <v>0</v>
      </c>
      <c r="AD2024" t="s">
        <v>8017</v>
      </c>
      <c r="AE2024" t="s">
        <v>8018</v>
      </c>
    </row>
    <row r="2025" spans="1:31" x14ac:dyDescent="0.25">
      <c r="A2025" t="s">
        <v>31</v>
      </c>
      <c r="B2025" t="s">
        <v>11350</v>
      </c>
      <c r="C2025" t="s">
        <v>7857</v>
      </c>
      <c r="D2025" t="s">
        <v>8037</v>
      </c>
      <c r="E2025" t="s">
        <v>362</v>
      </c>
      <c r="F2025" t="s">
        <v>1611</v>
      </c>
      <c r="H2025" t="s">
        <v>36</v>
      </c>
      <c r="I2025" t="s">
        <v>8038</v>
      </c>
      <c r="J2025" t="s">
        <v>31</v>
      </c>
      <c r="K2025" t="s">
        <v>38</v>
      </c>
      <c r="L2025" t="s">
        <v>242</v>
      </c>
      <c r="M2025" t="s">
        <v>243</v>
      </c>
      <c r="N2025" t="s">
        <v>2270</v>
      </c>
      <c r="O2025" t="s">
        <v>1353</v>
      </c>
      <c r="P2025" t="s">
        <v>8039</v>
      </c>
      <c r="T2025">
        <v>36.631662548999998</v>
      </c>
      <c r="U2025">
        <v>-78.516599712000001</v>
      </c>
      <c r="V2025">
        <f>SUM(W2025:X2025)+(Y2025*0.8)+(Z2025*0.4)</f>
        <v>0</v>
      </c>
      <c r="W2025">
        <v>0</v>
      </c>
      <c r="X2025">
        <v>0</v>
      </c>
      <c r="Y2025">
        <v>0</v>
      </c>
      <c r="Z2025">
        <v>0</v>
      </c>
      <c r="AA2025">
        <v>34</v>
      </c>
      <c r="AB2025">
        <v>0</v>
      </c>
      <c r="AD2025" t="s">
        <v>8040</v>
      </c>
      <c r="AE2025" t="s">
        <v>8041</v>
      </c>
    </row>
    <row r="2026" spans="1:31" x14ac:dyDescent="0.25">
      <c r="A2026" t="s">
        <v>31</v>
      </c>
      <c r="B2026" t="s">
        <v>11350</v>
      </c>
      <c r="C2026" t="s">
        <v>7857</v>
      </c>
      <c r="D2026" t="s">
        <v>8042</v>
      </c>
      <c r="E2026" t="s">
        <v>362</v>
      </c>
      <c r="F2026" t="s">
        <v>43</v>
      </c>
      <c r="H2026" t="s">
        <v>36</v>
      </c>
      <c r="I2026" t="s">
        <v>8043</v>
      </c>
      <c r="J2026" t="s">
        <v>31</v>
      </c>
      <c r="K2026" t="s">
        <v>38</v>
      </c>
      <c r="L2026" t="s">
        <v>317</v>
      </c>
      <c r="M2026" t="s">
        <v>318</v>
      </c>
      <c r="N2026" t="s">
        <v>584</v>
      </c>
      <c r="O2026" t="s">
        <v>582</v>
      </c>
      <c r="P2026" t="s">
        <v>585</v>
      </c>
      <c r="Q2026" t="s">
        <v>582</v>
      </c>
      <c r="T2026">
        <v>39.977712193999999</v>
      </c>
      <c r="U2026">
        <v>-82.718865508999997</v>
      </c>
      <c r="V2026">
        <f>SUM(W2026:X2026)+(Y2026*0.8)+(Z2026*0.4)</f>
        <v>0</v>
      </c>
      <c r="W2026">
        <v>0</v>
      </c>
      <c r="X2026">
        <v>0</v>
      </c>
      <c r="Y2026">
        <v>0</v>
      </c>
      <c r="Z2026">
        <v>0</v>
      </c>
      <c r="AA2026">
        <v>116.9</v>
      </c>
      <c r="AB2026">
        <v>0</v>
      </c>
      <c r="AD2026" t="s">
        <v>8044</v>
      </c>
      <c r="AE2026" t="s">
        <v>8045</v>
      </c>
    </row>
    <row r="2027" spans="1:31" x14ac:dyDescent="0.25">
      <c r="A2027" t="s">
        <v>31</v>
      </c>
      <c r="B2027" t="s">
        <v>11350</v>
      </c>
      <c r="C2027" t="s">
        <v>7857</v>
      </c>
      <c r="D2027" t="s">
        <v>8046</v>
      </c>
      <c r="E2027" t="s">
        <v>362</v>
      </c>
      <c r="F2027" t="s">
        <v>649</v>
      </c>
      <c r="H2027" t="s">
        <v>36</v>
      </c>
      <c r="I2027" t="s">
        <v>8047</v>
      </c>
      <c r="J2027" t="s">
        <v>31</v>
      </c>
      <c r="K2027" t="s">
        <v>38</v>
      </c>
      <c r="L2027" t="s">
        <v>242</v>
      </c>
      <c r="M2027" t="s">
        <v>243</v>
      </c>
      <c r="N2027" t="s">
        <v>405</v>
      </c>
      <c r="O2027" t="s">
        <v>526</v>
      </c>
      <c r="P2027" t="s">
        <v>527</v>
      </c>
      <c r="T2027">
        <v>38.967799712999998</v>
      </c>
      <c r="U2027">
        <v>-77.501920102</v>
      </c>
      <c r="V2027">
        <f>SUM(W2027:X2027)+(Y2027*0.8)+(Z2027*0.4)</f>
        <v>0</v>
      </c>
      <c r="W2027">
        <v>0</v>
      </c>
      <c r="X2027">
        <v>0</v>
      </c>
      <c r="Y2027">
        <v>0</v>
      </c>
      <c r="Z2027">
        <v>0</v>
      </c>
      <c r="AA2027">
        <v>5.8</v>
      </c>
      <c r="AB2027">
        <v>0</v>
      </c>
      <c r="AD2027" t="s">
        <v>8048</v>
      </c>
      <c r="AE2027" t="s">
        <v>8049</v>
      </c>
    </row>
    <row r="2028" spans="1:31" x14ac:dyDescent="0.25">
      <c r="A2028" t="s">
        <v>31</v>
      </c>
      <c r="B2028" t="s">
        <v>11350</v>
      </c>
      <c r="C2028" t="s">
        <v>7857</v>
      </c>
      <c r="D2028" t="s">
        <v>8050</v>
      </c>
      <c r="E2028" t="s">
        <v>362</v>
      </c>
      <c r="F2028" t="s">
        <v>649</v>
      </c>
      <c r="H2028" t="s">
        <v>36</v>
      </c>
      <c r="J2028" t="s">
        <v>31</v>
      </c>
      <c r="K2028" t="s">
        <v>38</v>
      </c>
      <c r="L2028" t="s">
        <v>86</v>
      </c>
      <c r="M2028" t="s">
        <v>87</v>
      </c>
      <c r="N2028" t="s">
        <v>3402</v>
      </c>
      <c r="O2028" t="s">
        <v>548</v>
      </c>
      <c r="P2028" t="s">
        <v>8051</v>
      </c>
      <c r="Q2028" t="s">
        <v>8052</v>
      </c>
      <c r="T2028">
        <v>41.687856189000001</v>
      </c>
      <c r="U2028">
        <v>-88.484704089000005</v>
      </c>
      <c r="V2028">
        <f>SUM(W2028:X2028)+(Y2028*0.8)+(Z2028*0.4)</f>
        <v>0</v>
      </c>
      <c r="W2028">
        <v>0</v>
      </c>
      <c r="X2028">
        <v>0</v>
      </c>
      <c r="Y2028">
        <v>0</v>
      </c>
      <c r="Z2028">
        <v>0</v>
      </c>
      <c r="AA2028">
        <v>202</v>
      </c>
      <c r="AB2028">
        <v>0</v>
      </c>
      <c r="AD2028" t="s">
        <v>8053</v>
      </c>
      <c r="AE2028" t="s">
        <v>8054</v>
      </c>
    </row>
    <row r="2029" spans="1:31" x14ac:dyDescent="0.25">
      <c r="A2029" t="s">
        <v>31</v>
      </c>
      <c r="B2029" t="s">
        <v>11350</v>
      </c>
      <c r="C2029" t="s">
        <v>7857</v>
      </c>
      <c r="D2029" t="s">
        <v>8055</v>
      </c>
      <c r="E2029" t="s">
        <v>362</v>
      </c>
      <c r="F2029" t="s">
        <v>649</v>
      </c>
      <c r="H2029" t="s">
        <v>36</v>
      </c>
      <c r="I2029" t="s">
        <v>8056</v>
      </c>
      <c r="J2029" t="s">
        <v>31</v>
      </c>
      <c r="K2029" t="s">
        <v>38</v>
      </c>
      <c r="L2029" t="s">
        <v>143</v>
      </c>
      <c r="M2029" t="s">
        <v>144</v>
      </c>
      <c r="N2029" t="s">
        <v>145</v>
      </c>
      <c r="O2029" t="s">
        <v>8057</v>
      </c>
      <c r="P2029" t="s">
        <v>8058</v>
      </c>
      <c r="T2029">
        <v>41.729613974999999</v>
      </c>
      <c r="U2029">
        <v>-86.129551691000003</v>
      </c>
      <c r="V2029">
        <f>SUM(W2029:X2029)+(Y2029*0.8)+(Z2029*0.4)</f>
        <v>0</v>
      </c>
      <c r="W2029">
        <v>0</v>
      </c>
      <c r="X2029">
        <v>0</v>
      </c>
      <c r="Y2029">
        <v>0</v>
      </c>
      <c r="Z2029">
        <v>0</v>
      </c>
      <c r="AA2029">
        <v>400</v>
      </c>
      <c r="AB2029">
        <v>0</v>
      </c>
      <c r="AD2029" t="s">
        <v>8059</v>
      </c>
      <c r="AE2029" t="s">
        <v>8060</v>
      </c>
    </row>
    <row r="2030" spans="1:31" x14ac:dyDescent="0.25">
      <c r="A2030" t="s">
        <v>31</v>
      </c>
      <c r="B2030" t="s">
        <v>11350</v>
      </c>
      <c r="C2030" t="s">
        <v>7857</v>
      </c>
      <c r="D2030" t="s">
        <v>8070</v>
      </c>
      <c r="E2030" t="s">
        <v>362</v>
      </c>
      <c r="F2030" t="s">
        <v>43</v>
      </c>
      <c r="H2030" t="s">
        <v>36</v>
      </c>
      <c r="I2030" t="s">
        <v>1182</v>
      </c>
      <c r="J2030" t="s">
        <v>31</v>
      </c>
      <c r="K2030" t="s">
        <v>38</v>
      </c>
      <c r="L2030" t="s">
        <v>112</v>
      </c>
      <c r="M2030" t="s">
        <v>113</v>
      </c>
      <c r="N2030" t="s">
        <v>114</v>
      </c>
      <c r="O2030" t="s">
        <v>8071</v>
      </c>
      <c r="P2030" t="s">
        <v>8072</v>
      </c>
      <c r="Q2030" t="s">
        <v>8071</v>
      </c>
      <c r="S2030" t="s">
        <v>8073</v>
      </c>
      <c r="T2030">
        <v>42.951439999999998</v>
      </c>
      <c r="U2030">
        <v>-87.876900000000006</v>
      </c>
      <c r="V2030">
        <f>SUM(W2030:X2030)+(Y2030*0.8)+(Z2030*0.4)</f>
        <v>0</v>
      </c>
      <c r="W2030">
        <v>0</v>
      </c>
      <c r="X2030">
        <v>0</v>
      </c>
      <c r="Y2030">
        <v>0</v>
      </c>
      <c r="Z2030">
        <v>0</v>
      </c>
      <c r="AA2030" t="s">
        <v>43</v>
      </c>
      <c r="AB2030">
        <v>0</v>
      </c>
      <c r="AD2030" t="s">
        <v>8074</v>
      </c>
      <c r="AE2030" t="s">
        <v>8075</v>
      </c>
    </row>
    <row r="2031" spans="1:31" x14ac:dyDescent="0.25">
      <c r="A2031" t="s">
        <v>31</v>
      </c>
      <c r="B2031" t="s">
        <v>11350</v>
      </c>
      <c r="C2031" t="s">
        <v>7857</v>
      </c>
      <c r="D2031" t="s">
        <v>1457</v>
      </c>
      <c r="E2031" t="s">
        <v>362</v>
      </c>
      <c r="F2031" t="s">
        <v>649</v>
      </c>
      <c r="H2031" t="s">
        <v>36</v>
      </c>
      <c r="I2031" t="s">
        <v>8076</v>
      </c>
      <c r="J2031" t="s">
        <v>31</v>
      </c>
      <c r="K2031" t="s">
        <v>38</v>
      </c>
      <c r="L2031" t="s">
        <v>1457</v>
      </c>
      <c r="M2031" t="s">
        <v>1458</v>
      </c>
      <c r="N2031" t="s">
        <v>8077</v>
      </c>
      <c r="O2031" t="s">
        <v>8078</v>
      </c>
      <c r="T2031">
        <v>39.415112182000001</v>
      </c>
      <c r="U2031">
        <v>-119.23587801399999</v>
      </c>
      <c r="V2031">
        <f>SUM(W2031:X2031)+(Y2031*0.8)+(Z2031*0.4)</f>
        <v>0</v>
      </c>
      <c r="W2031">
        <v>0</v>
      </c>
      <c r="X2031">
        <v>0</v>
      </c>
      <c r="Y2031">
        <v>0</v>
      </c>
      <c r="Z2031">
        <v>0</v>
      </c>
      <c r="AA2031">
        <v>111</v>
      </c>
      <c r="AB2031">
        <v>0</v>
      </c>
      <c r="AD2031" t="s">
        <v>8079</v>
      </c>
      <c r="AE2031" t="s">
        <v>8080</v>
      </c>
    </row>
    <row r="2032" spans="1:31" x14ac:dyDescent="0.25">
      <c r="A2032" t="s">
        <v>31</v>
      </c>
      <c r="B2032" t="s">
        <v>11350</v>
      </c>
      <c r="C2032" t="s">
        <v>7857</v>
      </c>
      <c r="D2032" t="s">
        <v>1308</v>
      </c>
      <c r="E2032" t="s">
        <v>362</v>
      </c>
      <c r="F2032" t="s">
        <v>43</v>
      </c>
      <c r="H2032" t="s">
        <v>36</v>
      </c>
      <c r="I2032" t="s">
        <v>8084</v>
      </c>
      <c r="J2032" t="s">
        <v>31</v>
      </c>
      <c r="K2032" t="s">
        <v>38</v>
      </c>
      <c r="L2032" t="s">
        <v>317</v>
      </c>
      <c r="M2032" t="s">
        <v>318</v>
      </c>
      <c r="N2032" t="s">
        <v>665</v>
      </c>
      <c r="O2032" t="s">
        <v>1304</v>
      </c>
      <c r="P2032" t="s">
        <v>1305</v>
      </c>
      <c r="Q2032" t="s">
        <v>1178</v>
      </c>
      <c r="T2032">
        <v>40.071770336999997</v>
      </c>
      <c r="U2032">
        <v>-82.749325756999994</v>
      </c>
      <c r="V2032">
        <f>SUM(W2032:X2032)+(Y2032*0.8)+(Z2032*0.4)</f>
        <v>0</v>
      </c>
      <c r="W2032">
        <v>0</v>
      </c>
      <c r="X2032">
        <v>0</v>
      </c>
      <c r="Y2032">
        <v>0</v>
      </c>
      <c r="Z2032">
        <v>0</v>
      </c>
      <c r="AA2032">
        <v>6.47</v>
      </c>
      <c r="AB2032">
        <v>0</v>
      </c>
      <c r="AD2032" t="s">
        <v>8085</v>
      </c>
      <c r="AE2032" t="s">
        <v>8086</v>
      </c>
    </row>
    <row r="2033" spans="1:31" x14ac:dyDescent="0.25">
      <c r="A2033" t="s">
        <v>31</v>
      </c>
      <c r="B2033" t="s">
        <v>11350</v>
      </c>
      <c r="C2033" t="s">
        <v>7857</v>
      </c>
      <c r="D2033" t="s">
        <v>8109</v>
      </c>
      <c r="E2033" t="s">
        <v>362</v>
      </c>
      <c r="F2033" t="s">
        <v>43</v>
      </c>
      <c r="H2033" t="s">
        <v>36</v>
      </c>
      <c r="I2033" t="s">
        <v>8110</v>
      </c>
      <c r="J2033" t="s">
        <v>31</v>
      </c>
      <c r="K2033" t="s">
        <v>38</v>
      </c>
      <c r="L2033" t="s">
        <v>383</v>
      </c>
      <c r="M2033" t="s">
        <v>384</v>
      </c>
      <c r="N2033" t="s">
        <v>8111</v>
      </c>
      <c r="O2033" t="s">
        <v>8112</v>
      </c>
      <c r="P2033" t="s">
        <v>8113</v>
      </c>
      <c r="T2033">
        <v>36.479804326999997</v>
      </c>
      <c r="U2033">
        <v>-78.989578663000003</v>
      </c>
      <c r="V2033">
        <f>SUM(W2033:X2033)+(Y2033*0.8)+(Z2033*0.4)</f>
        <v>0</v>
      </c>
      <c r="W2033">
        <v>0</v>
      </c>
      <c r="X2033">
        <v>0</v>
      </c>
      <c r="Y2033">
        <v>0</v>
      </c>
      <c r="Z2033">
        <v>0</v>
      </c>
      <c r="AA2033">
        <v>1350</v>
      </c>
      <c r="AB2033">
        <v>0</v>
      </c>
      <c r="AD2033" t="s">
        <v>8114</v>
      </c>
      <c r="AE2033" t="s">
        <v>8115</v>
      </c>
    </row>
    <row r="2034" spans="1:31" x14ac:dyDescent="0.25">
      <c r="A2034" t="s">
        <v>31</v>
      </c>
      <c r="B2034" t="s">
        <v>11350</v>
      </c>
      <c r="C2034" t="s">
        <v>7684</v>
      </c>
      <c r="D2034" t="s">
        <v>7695</v>
      </c>
      <c r="E2034" t="s">
        <v>362</v>
      </c>
      <c r="F2034" t="s">
        <v>363</v>
      </c>
      <c r="H2034" t="s">
        <v>36</v>
      </c>
      <c r="I2034" t="s">
        <v>325</v>
      </c>
      <c r="J2034" t="s">
        <v>31</v>
      </c>
      <c r="K2034" t="s">
        <v>38</v>
      </c>
      <c r="L2034" t="s">
        <v>112</v>
      </c>
      <c r="M2034" t="s">
        <v>113</v>
      </c>
      <c r="N2034" t="s">
        <v>7696</v>
      </c>
      <c r="O2034" t="s">
        <v>7695</v>
      </c>
      <c r="P2034" t="s">
        <v>7697</v>
      </c>
      <c r="T2034">
        <v>43.451120295000003</v>
      </c>
      <c r="U2034">
        <v>-88.834657089999993</v>
      </c>
      <c r="V2034">
        <f>SUM(W2034:X2034)+(Y2034*0.8)+(Z2034*0.4)</f>
        <v>0</v>
      </c>
      <c r="W2034">
        <v>0</v>
      </c>
      <c r="X2034">
        <v>0</v>
      </c>
      <c r="Y2034">
        <v>0</v>
      </c>
      <c r="Z2034">
        <v>0</v>
      </c>
      <c r="AA2034">
        <v>210.43700000000001</v>
      </c>
      <c r="AB2034">
        <v>0</v>
      </c>
      <c r="AD2034" t="s">
        <v>7698</v>
      </c>
      <c r="AE2034" t="s">
        <v>7699</v>
      </c>
    </row>
    <row r="2035" spans="1:31" x14ac:dyDescent="0.25">
      <c r="A2035" t="s">
        <v>31</v>
      </c>
      <c r="B2035" t="s">
        <v>11350</v>
      </c>
      <c r="C2035" t="s">
        <v>7684</v>
      </c>
      <c r="D2035" t="s">
        <v>7762</v>
      </c>
      <c r="E2035" t="s">
        <v>362</v>
      </c>
      <c r="F2035" t="s">
        <v>7686</v>
      </c>
      <c r="H2035" t="s">
        <v>36</v>
      </c>
      <c r="I2035" t="s">
        <v>7763</v>
      </c>
      <c r="J2035" t="s">
        <v>31</v>
      </c>
      <c r="K2035" t="s">
        <v>38</v>
      </c>
      <c r="L2035" t="s">
        <v>317</v>
      </c>
      <c r="M2035" t="s">
        <v>318</v>
      </c>
      <c r="N2035" t="s">
        <v>584</v>
      </c>
      <c r="O2035" t="s">
        <v>1170</v>
      </c>
      <c r="P2035" t="s">
        <v>1171</v>
      </c>
      <c r="T2035">
        <v>40.117576294999999</v>
      </c>
      <c r="U2035">
        <v>-82.735006768999995</v>
      </c>
      <c r="V2035">
        <f>SUM(W2035:X2035)+(Y2035*0.8)+(Z2035*0.4)</f>
        <v>0</v>
      </c>
      <c r="W2035">
        <v>0</v>
      </c>
      <c r="X2035">
        <v>0</v>
      </c>
      <c r="Y2035">
        <v>0</v>
      </c>
      <c r="Z2035">
        <v>0</v>
      </c>
      <c r="AA2035">
        <v>80.936999999999998</v>
      </c>
      <c r="AB2035">
        <v>0</v>
      </c>
      <c r="AD2035" t="s">
        <v>7764</v>
      </c>
      <c r="AE2035" t="s">
        <v>7765</v>
      </c>
    </row>
    <row r="2036" spans="1:31" x14ac:dyDescent="0.25">
      <c r="A2036" t="s">
        <v>31</v>
      </c>
      <c r="C2036" t="s">
        <v>7037</v>
      </c>
      <c r="D2036" t="s">
        <v>7038</v>
      </c>
      <c r="E2036" t="s">
        <v>34</v>
      </c>
      <c r="F2036" t="s">
        <v>66</v>
      </c>
      <c r="H2036" t="s">
        <v>36</v>
      </c>
      <c r="I2036" t="s">
        <v>7039</v>
      </c>
      <c r="J2036" t="s">
        <v>31</v>
      </c>
      <c r="K2036" t="s">
        <v>38</v>
      </c>
      <c r="L2036" t="s">
        <v>326</v>
      </c>
      <c r="M2036" t="s">
        <v>327</v>
      </c>
      <c r="N2036" t="s">
        <v>7040</v>
      </c>
      <c r="O2036" t="s">
        <v>3369</v>
      </c>
      <c r="P2036" t="s">
        <v>7041</v>
      </c>
      <c r="T2036">
        <v>33.145155600000002</v>
      </c>
      <c r="U2036">
        <v>-111.453458</v>
      </c>
      <c r="V2036">
        <f>SUM(W2036:X2036)+(Y2036*0.8)+(Z2036*0.4)</f>
        <v>0</v>
      </c>
      <c r="W2036">
        <v>0</v>
      </c>
      <c r="X2036">
        <v>0</v>
      </c>
      <c r="Y2036">
        <v>0</v>
      </c>
      <c r="Z2036">
        <v>0</v>
      </c>
      <c r="AA2036">
        <v>38.85</v>
      </c>
      <c r="AB2036">
        <v>0</v>
      </c>
      <c r="AD2036" t="s">
        <v>7042</v>
      </c>
      <c r="AE2036" t="s">
        <v>7043</v>
      </c>
    </row>
    <row r="2037" spans="1:31" x14ac:dyDescent="0.25">
      <c r="A2037" t="s">
        <v>31</v>
      </c>
      <c r="C2037" t="s">
        <v>6970</v>
      </c>
      <c r="D2037" t="s">
        <v>6975</v>
      </c>
      <c r="E2037" t="s">
        <v>34</v>
      </c>
      <c r="F2037" t="s">
        <v>43</v>
      </c>
      <c r="H2037" t="s">
        <v>36</v>
      </c>
      <c r="I2037" t="s">
        <v>6976</v>
      </c>
      <c r="J2037" t="s">
        <v>31</v>
      </c>
      <c r="K2037" t="s">
        <v>38</v>
      </c>
      <c r="L2037" t="s">
        <v>242</v>
      </c>
      <c r="M2037" t="s">
        <v>243</v>
      </c>
      <c r="N2037" t="s">
        <v>405</v>
      </c>
      <c r="O2037" t="s">
        <v>516</v>
      </c>
      <c r="P2037" t="s">
        <v>517</v>
      </c>
      <c r="T2037">
        <v>39.076468343999998</v>
      </c>
      <c r="U2037">
        <v>-77.500649555999999</v>
      </c>
      <c r="V2037">
        <f>SUM(W2037:X2037)+(Y2037*0.8)+(Z2037*0.4)</f>
        <v>0</v>
      </c>
      <c r="W2037">
        <v>0</v>
      </c>
      <c r="X2037">
        <v>0</v>
      </c>
      <c r="Y2037">
        <v>0</v>
      </c>
      <c r="Z2037">
        <v>0</v>
      </c>
      <c r="AA2037">
        <v>43.7</v>
      </c>
      <c r="AB2037">
        <v>0</v>
      </c>
      <c r="AD2037" t="s">
        <v>6977</v>
      </c>
      <c r="AE2037" t="s">
        <v>6978</v>
      </c>
    </row>
    <row r="2038" spans="1:31" x14ac:dyDescent="0.25">
      <c r="A2038" t="s">
        <v>31</v>
      </c>
      <c r="C2038" t="s">
        <v>6970</v>
      </c>
      <c r="D2038" t="s">
        <v>7002</v>
      </c>
      <c r="E2038" t="s">
        <v>34</v>
      </c>
      <c r="F2038" t="s">
        <v>43</v>
      </c>
      <c r="H2038" t="s">
        <v>36</v>
      </c>
      <c r="I2038" t="s">
        <v>6871</v>
      </c>
      <c r="J2038" t="s">
        <v>31</v>
      </c>
      <c r="K2038" t="s">
        <v>38</v>
      </c>
      <c r="L2038" t="s">
        <v>242</v>
      </c>
      <c r="M2038" t="s">
        <v>243</v>
      </c>
      <c r="N2038" t="s">
        <v>509</v>
      </c>
      <c r="O2038" t="s">
        <v>510</v>
      </c>
      <c r="P2038" t="s">
        <v>511</v>
      </c>
      <c r="T2038">
        <v>38.754894497999999</v>
      </c>
      <c r="U2038">
        <v>-77.541192769999995</v>
      </c>
      <c r="V2038">
        <f>SUM(W2038:X2038)+(Y2038*0.8)+(Z2038*0.4)</f>
        <v>0</v>
      </c>
      <c r="W2038">
        <v>0</v>
      </c>
      <c r="X2038">
        <v>0</v>
      </c>
      <c r="Y2038">
        <v>0</v>
      </c>
      <c r="Z2038">
        <v>0</v>
      </c>
      <c r="AA2038">
        <v>23.4</v>
      </c>
      <c r="AB2038">
        <v>0</v>
      </c>
      <c r="AD2038" t="s">
        <v>7003</v>
      </c>
      <c r="AE2038" t="s">
        <v>7004</v>
      </c>
    </row>
    <row r="2039" spans="1:31" x14ac:dyDescent="0.25">
      <c r="A2039" t="s">
        <v>31</v>
      </c>
      <c r="C2039" t="s">
        <v>6705</v>
      </c>
      <c r="D2039" t="s">
        <v>6706</v>
      </c>
      <c r="E2039" t="s">
        <v>362</v>
      </c>
      <c r="F2039" t="s">
        <v>4135</v>
      </c>
      <c r="H2039" t="s">
        <v>36</v>
      </c>
      <c r="I2039" t="s">
        <v>6707</v>
      </c>
      <c r="J2039" t="s">
        <v>31</v>
      </c>
      <c r="K2039" t="s">
        <v>38</v>
      </c>
      <c r="L2039" t="s">
        <v>86</v>
      </c>
      <c r="M2039" t="s">
        <v>87</v>
      </c>
      <c r="N2039" t="s">
        <v>6708</v>
      </c>
      <c r="O2039" t="s">
        <v>320</v>
      </c>
      <c r="P2039" t="s">
        <v>6709</v>
      </c>
      <c r="Q2039" t="s">
        <v>6710</v>
      </c>
      <c r="T2039">
        <v>39.781656836000003</v>
      </c>
      <c r="U2039">
        <v>-89.609100316999999</v>
      </c>
      <c r="V2039">
        <f>SUM(W2039:X2039)+(Y2039*0.8)+(Z2039*0.4)</f>
        <v>0</v>
      </c>
      <c r="W2039">
        <v>0</v>
      </c>
      <c r="X2039">
        <v>0</v>
      </c>
      <c r="Y2039">
        <v>0</v>
      </c>
      <c r="Z2039">
        <v>0</v>
      </c>
      <c r="AA2039">
        <v>4</v>
      </c>
      <c r="AB2039">
        <v>0</v>
      </c>
      <c r="AD2039" t="s">
        <v>6711</v>
      </c>
      <c r="AE2039" t="s">
        <v>6712</v>
      </c>
    </row>
    <row r="2040" spans="1:31" x14ac:dyDescent="0.25">
      <c r="A2040" t="s">
        <v>31</v>
      </c>
      <c r="C2040" t="s">
        <v>6619</v>
      </c>
      <c r="D2040" t="s">
        <v>6620</v>
      </c>
      <c r="E2040" t="s">
        <v>34</v>
      </c>
      <c r="F2040" t="s">
        <v>66</v>
      </c>
      <c r="H2040" t="s">
        <v>411</v>
      </c>
      <c r="I2040" t="s">
        <v>6621</v>
      </c>
      <c r="J2040" t="s">
        <v>31</v>
      </c>
      <c r="K2040" t="s">
        <v>38</v>
      </c>
      <c r="L2040" t="s">
        <v>326</v>
      </c>
      <c r="M2040" t="s">
        <v>327</v>
      </c>
      <c r="N2040" t="s">
        <v>6622</v>
      </c>
      <c r="O2040" t="s">
        <v>6623</v>
      </c>
      <c r="P2040" t="s">
        <v>6624</v>
      </c>
      <c r="T2040">
        <v>36.896206976000002</v>
      </c>
      <c r="U2040">
        <v>-111.48782179200001</v>
      </c>
      <c r="V2040">
        <f>SUM(W2040:X2040)+(Y2040*0.8)+(Z2040*0.4)</f>
        <v>0</v>
      </c>
      <c r="W2040">
        <v>0</v>
      </c>
      <c r="X2040">
        <v>0</v>
      </c>
      <c r="Y2040">
        <v>0</v>
      </c>
      <c r="Z2040">
        <v>0</v>
      </c>
      <c r="AA2040">
        <v>202.34299999999999</v>
      </c>
      <c r="AB2040">
        <v>0</v>
      </c>
      <c r="AD2040" t="s">
        <v>6625</v>
      </c>
      <c r="AE2040" t="s">
        <v>6626</v>
      </c>
    </row>
    <row r="2041" spans="1:31" x14ac:dyDescent="0.25">
      <c r="A2041" t="s">
        <v>31</v>
      </c>
      <c r="C2041" t="s">
        <v>6609</v>
      </c>
      <c r="D2041" t="s">
        <v>6610</v>
      </c>
      <c r="E2041" t="s">
        <v>34</v>
      </c>
      <c r="F2041" t="s">
        <v>43</v>
      </c>
      <c r="H2041" t="s">
        <v>36</v>
      </c>
      <c r="I2041" t="s">
        <v>6611</v>
      </c>
      <c r="J2041" t="s">
        <v>31</v>
      </c>
      <c r="K2041" t="s">
        <v>38</v>
      </c>
      <c r="L2041" t="s">
        <v>242</v>
      </c>
      <c r="M2041" t="s">
        <v>243</v>
      </c>
      <c r="N2041" t="s">
        <v>6612</v>
      </c>
      <c r="T2041">
        <v>37.076137381000002</v>
      </c>
      <c r="U2041">
        <v>-77.129300775999994</v>
      </c>
      <c r="V2041">
        <f>SUM(W2041:X2041)+(Y2041*0.8)+(Z2041*0.4)</f>
        <v>0</v>
      </c>
      <c r="W2041">
        <v>0</v>
      </c>
      <c r="X2041">
        <v>0</v>
      </c>
      <c r="Y2041">
        <v>0</v>
      </c>
      <c r="Z2041">
        <v>0</v>
      </c>
      <c r="AA2041">
        <v>815.44200000000001</v>
      </c>
      <c r="AB2041">
        <v>0</v>
      </c>
      <c r="AD2041" t="s">
        <v>6613</v>
      </c>
      <c r="AE2041" t="s">
        <v>6614</v>
      </c>
    </row>
    <row r="2042" spans="1:31" x14ac:dyDescent="0.25">
      <c r="A2042" t="s">
        <v>31</v>
      </c>
      <c r="B2042" t="s">
        <v>11350</v>
      </c>
      <c r="C2042" t="s">
        <v>6116</v>
      </c>
      <c r="D2042" t="s">
        <v>6130</v>
      </c>
      <c r="E2042" t="s">
        <v>362</v>
      </c>
      <c r="F2042" t="s">
        <v>649</v>
      </c>
      <c r="H2042" t="s">
        <v>36</v>
      </c>
      <c r="I2042" t="s">
        <v>6131</v>
      </c>
      <c r="J2042" t="s">
        <v>31</v>
      </c>
      <c r="K2042" t="s">
        <v>38</v>
      </c>
      <c r="L2042" t="s">
        <v>242</v>
      </c>
      <c r="M2042" t="s">
        <v>243</v>
      </c>
      <c r="N2042" t="s">
        <v>6130</v>
      </c>
      <c r="O2042" t="s">
        <v>6132</v>
      </c>
      <c r="P2042" t="s">
        <v>6133</v>
      </c>
      <c r="S2042" t="s">
        <v>6134</v>
      </c>
      <c r="T2042">
        <v>37.443847009999999</v>
      </c>
      <c r="U2042">
        <v>-79.914437554000003</v>
      </c>
      <c r="V2042">
        <f>SUM(W2042:X2042)+(Y2042*0.8)+(Z2042*0.4)</f>
        <v>0</v>
      </c>
      <c r="W2042">
        <v>0</v>
      </c>
      <c r="X2042">
        <v>0</v>
      </c>
      <c r="Y2042">
        <v>0</v>
      </c>
      <c r="Z2042">
        <v>0</v>
      </c>
      <c r="AA2042">
        <v>126.262</v>
      </c>
      <c r="AB2042">
        <v>0</v>
      </c>
      <c r="AD2042" t="s">
        <v>6135</v>
      </c>
      <c r="AE2042" t="s">
        <v>6136</v>
      </c>
    </row>
    <row r="2043" spans="1:31" x14ac:dyDescent="0.25">
      <c r="A2043" t="s">
        <v>31</v>
      </c>
      <c r="B2043" t="s">
        <v>11350</v>
      </c>
      <c r="C2043" t="s">
        <v>6116</v>
      </c>
      <c r="D2043" t="s">
        <v>6154</v>
      </c>
      <c r="E2043" t="s">
        <v>362</v>
      </c>
      <c r="F2043" t="s">
        <v>649</v>
      </c>
      <c r="H2043" t="s">
        <v>36</v>
      </c>
      <c r="J2043" t="s">
        <v>31</v>
      </c>
      <c r="K2043" t="s">
        <v>38</v>
      </c>
      <c r="L2043" t="s">
        <v>620</v>
      </c>
      <c r="M2043" t="s">
        <v>621</v>
      </c>
      <c r="N2043" t="s">
        <v>5917</v>
      </c>
      <c r="O2043" t="s">
        <v>6154</v>
      </c>
      <c r="P2043" t="s">
        <v>6155</v>
      </c>
      <c r="T2043">
        <v>40.267997200000003</v>
      </c>
      <c r="U2043">
        <v>-112.0039639</v>
      </c>
      <c r="V2043">
        <f>SUM(W2043:X2043)+(Y2043*0.8)+(Z2043*0.4)</f>
        <v>0</v>
      </c>
      <c r="W2043">
        <v>0</v>
      </c>
      <c r="X2043">
        <v>0</v>
      </c>
      <c r="Y2043">
        <v>0</v>
      </c>
      <c r="Z2043">
        <v>0</v>
      </c>
      <c r="AA2043">
        <v>121.40600000000001</v>
      </c>
      <c r="AB2043">
        <v>0</v>
      </c>
      <c r="AD2043" t="s">
        <v>6156</v>
      </c>
      <c r="AE2043" t="s">
        <v>6157</v>
      </c>
    </row>
    <row r="2044" spans="1:31" x14ac:dyDescent="0.25">
      <c r="A2044" t="s">
        <v>31</v>
      </c>
      <c r="B2044" t="s">
        <v>11350</v>
      </c>
      <c r="C2044" t="s">
        <v>6116</v>
      </c>
      <c r="D2044" t="s">
        <v>6163</v>
      </c>
      <c r="E2044" t="s">
        <v>362</v>
      </c>
      <c r="F2044" t="s">
        <v>43</v>
      </c>
      <c r="H2044" t="s">
        <v>411</v>
      </c>
      <c r="I2044" t="s">
        <v>1182</v>
      </c>
      <c r="J2044" t="s">
        <v>31</v>
      </c>
      <c r="K2044" t="s">
        <v>38</v>
      </c>
      <c r="L2044" t="s">
        <v>317</v>
      </c>
      <c r="M2044" t="s">
        <v>318</v>
      </c>
      <c r="N2044" t="s">
        <v>6164</v>
      </c>
      <c r="O2044" t="s">
        <v>6165</v>
      </c>
      <c r="P2044" t="s">
        <v>6166</v>
      </c>
      <c r="Q2044" t="s">
        <v>6167</v>
      </c>
      <c r="T2044">
        <v>38.600007392000002</v>
      </c>
      <c r="U2044">
        <v>-82.834425390000007</v>
      </c>
      <c r="V2044">
        <f>SUM(W2044:X2044)+(Y2044*0.8)+(Z2044*0.4)</f>
        <v>0</v>
      </c>
      <c r="W2044">
        <v>0</v>
      </c>
      <c r="X2044">
        <v>0</v>
      </c>
      <c r="Y2044">
        <v>0</v>
      </c>
      <c r="Z2044">
        <v>0</v>
      </c>
      <c r="AA2044" t="s">
        <v>43</v>
      </c>
      <c r="AB2044">
        <v>0</v>
      </c>
      <c r="AD2044" t="s">
        <v>6168</v>
      </c>
      <c r="AE2044" t="s">
        <v>6169</v>
      </c>
    </row>
    <row r="2045" spans="1:31" x14ac:dyDescent="0.25">
      <c r="A2045" t="s">
        <v>31</v>
      </c>
      <c r="B2045" t="s">
        <v>11350</v>
      </c>
      <c r="C2045" t="s">
        <v>6116</v>
      </c>
      <c r="D2045" t="s">
        <v>6197</v>
      </c>
      <c r="E2045" t="s">
        <v>34</v>
      </c>
      <c r="F2045" t="s">
        <v>66</v>
      </c>
      <c r="H2045" t="s">
        <v>36</v>
      </c>
      <c r="I2045" t="s">
        <v>6198</v>
      </c>
      <c r="J2045" t="s">
        <v>31</v>
      </c>
      <c r="K2045" t="s">
        <v>38</v>
      </c>
      <c r="L2045" t="s">
        <v>317</v>
      </c>
      <c r="M2045" t="s">
        <v>318</v>
      </c>
      <c r="N2045" t="s">
        <v>584</v>
      </c>
      <c r="O2045" t="s">
        <v>6199</v>
      </c>
      <c r="Q2045" t="s">
        <v>1170</v>
      </c>
      <c r="T2045">
        <v>40.094300296</v>
      </c>
      <c r="U2045">
        <v>-82.737616457000001</v>
      </c>
      <c r="V2045">
        <f>SUM(W2045:X2045)+(Y2045*0.8)+(Z2045*0.4)</f>
        <v>0</v>
      </c>
      <c r="W2045">
        <v>0</v>
      </c>
      <c r="X2045">
        <v>0</v>
      </c>
      <c r="Y2045">
        <v>0</v>
      </c>
      <c r="Z2045">
        <v>0</v>
      </c>
      <c r="AA2045">
        <v>34</v>
      </c>
      <c r="AB2045">
        <v>0</v>
      </c>
      <c r="AD2045" t="s">
        <v>6200</v>
      </c>
      <c r="AE2045" t="s">
        <v>6201</v>
      </c>
    </row>
    <row r="2046" spans="1:31" x14ac:dyDescent="0.25">
      <c r="A2046" t="s">
        <v>31</v>
      </c>
      <c r="B2046" t="s">
        <v>11350</v>
      </c>
      <c r="C2046" t="s">
        <v>6116</v>
      </c>
      <c r="D2046" t="s">
        <v>6223</v>
      </c>
      <c r="E2046" t="s">
        <v>34</v>
      </c>
      <c r="F2046" t="s">
        <v>43</v>
      </c>
      <c r="H2046" t="s">
        <v>36</v>
      </c>
      <c r="I2046" t="s">
        <v>6224</v>
      </c>
      <c r="J2046" t="s">
        <v>31</v>
      </c>
      <c r="K2046" t="s">
        <v>38</v>
      </c>
      <c r="L2046" t="s">
        <v>242</v>
      </c>
      <c r="M2046" t="s">
        <v>243</v>
      </c>
      <c r="N2046" t="s">
        <v>2422</v>
      </c>
      <c r="O2046" t="s">
        <v>6225</v>
      </c>
      <c r="P2046" t="s">
        <v>6226</v>
      </c>
      <c r="T2046">
        <v>37.448205311999999</v>
      </c>
      <c r="U2046">
        <v>-77.781393753000003</v>
      </c>
      <c r="V2046">
        <f>SUM(W2046:X2046)+(Y2046*0.8)+(Z2046*0.4)</f>
        <v>0</v>
      </c>
      <c r="W2046">
        <v>0</v>
      </c>
      <c r="X2046">
        <v>0</v>
      </c>
      <c r="Y2046">
        <v>0</v>
      </c>
      <c r="Z2046">
        <v>0</v>
      </c>
      <c r="AA2046">
        <v>396.18700000000001</v>
      </c>
      <c r="AB2046">
        <v>0</v>
      </c>
      <c r="AD2046" t="s">
        <v>6227</v>
      </c>
      <c r="AE2046" t="s">
        <v>6228</v>
      </c>
    </row>
    <row r="2047" spans="1:31" x14ac:dyDescent="0.25">
      <c r="A2047" t="s">
        <v>31</v>
      </c>
      <c r="B2047" t="s">
        <v>11350</v>
      </c>
      <c r="C2047" t="s">
        <v>6116</v>
      </c>
      <c r="D2047" t="s">
        <v>6311</v>
      </c>
      <c r="E2047" t="s">
        <v>34</v>
      </c>
      <c r="F2047" t="s">
        <v>43</v>
      </c>
      <c r="H2047" t="s">
        <v>36</v>
      </c>
      <c r="I2047" t="s">
        <v>6312</v>
      </c>
      <c r="J2047" t="s">
        <v>31</v>
      </c>
      <c r="K2047" t="s">
        <v>38</v>
      </c>
      <c r="L2047" t="s">
        <v>242</v>
      </c>
      <c r="M2047" t="s">
        <v>243</v>
      </c>
      <c r="N2047" t="s">
        <v>2422</v>
      </c>
      <c r="O2047" t="s">
        <v>6236</v>
      </c>
      <c r="P2047" t="s">
        <v>6313</v>
      </c>
      <c r="T2047">
        <v>37.500876906000002</v>
      </c>
      <c r="U2047">
        <v>-77.689228748999994</v>
      </c>
      <c r="V2047">
        <f>SUM(W2047:X2047)+(Y2047*0.8)+(Z2047*0.4)</f>
        <v>0</v>
      </c>
      <c r="W2047">
        <v>0</v>
      </c>
      <c r="X2047">
        <v>0</v>
      </c>
      <c r="Y2047">
        <v>0</v>
      </c>
      <c r="Z2047">
        <v>0</v>
      </c>
      <c r="AA2047">
        <v>141.63999999999999</v>
      </c>
      <c r="AB2047">
        <v>0</v>
      </c>
      <c r="AD2047" t="s">
        <v>6314</v>
      </c>
      <c r="AE2047" t="s">
        <v>6315</v>
      </c>
    </row>
    <row r="2048" spans="1:31" x14ac:dyDescent="0.25">
      <c r="A2048" t="s">
        <v>31</v>
      </c>
      <c r="C2048" t="s">
        <v>5630</v>
      </c>
      <c r="D2048" t="s">
        <v>5631</v>
      </c>
      <c r="E2048" t="s">
        <v>34</v>
      </c>
      <c r="F2048" t="s">
        <v>43</v>
      </c>
      <c r="H2048" t="s">
        <v>411</v>
      </c>
      <c r="I2048" t="s">
        <v>5632</v>
      </c>
      <c r="J2048" t="s">
        <v>31</v>
      </c>
      <c r="K2048" t="s">
        <v>38</v>
      </c>
      <c r="L2048" t="s">
        <v>77</v>
      </c>
      <c r="M2048" t="s">
        <v>78</v>
      </c>
      <c r="N2048" t="s">
        <v>2001</v>
      </c>
      <c r="O2048" t="s">
        <v>5633</v>
      </c>
      <c r="P2048" t="s">
        <v>5634</v>
      </c>
      <c r="Q2048" t="s">
        <v>5635</v>
      </c>
      <c r="T2048">
        <v>40.207790936999999</v>
      </c>
      <c r="U2048">
        <v>-76.880295458000006</v>
      </c>
      <c r="V2048">
        <f>SUM(W2048:X2048)+(Y2048*0.8)+(Z2048*0.4)</f>
        <v>0</v>
      </c>
      <c r="W2048">
        <v>0</v>
      </c>
      <c r="X2048">
        <v>0</v>
      </c>
      <c r="Y2048">
        <v>0</v>
      </c>
      <c r="Z2048">
        <v>0</v>
      </c>
      <c r="AA2048" t="s">
        <v>43</v>
      </c>
      <c r="AB2048">
        <v>0</v>
      </c>
      <c r="AD2048" t="s">
        <v>5636</v>
      </c>
      <c r="AE2048" t="s">
        <v>5637</v>
      </c>
    </row>
    <row r="2049" spans="1:31" x14ac:dyDescent="0.25">
      <c r="A2049" t="s">
        <v>31</v>
      </c>
      <c r="C2049" t="s">
        <v>5146</v>
      </c>
      <c r="D2049" t="s">
        <v>5147</v>
      </c>
      <c r="E2049" t="s">
        <v>34</v>
      </c>
      <c r="F2049" t="s">
        <v>66</v>
      </c>
      <c r="H2049" t="s">
        <v>36</v>
      </c>
      <c r="I2049" t="s">
        <v>5148</v>
      </c>
      <c r="J2049" t="s">
        <v>31</v>
      </c>
      <c r="K2049" t="s">
        <v>38</v>
      </c>
      <c r="L2049" t="s">
        <v>383</v>
      </c>
      <c r="M2049" t="s">
        <v>384</v>
      </c>
      <c r="N2049" t="s">
        <v>5149</v>
      </c>
      <c r="O2049" t="s">
        <v>5150</v>
      </c>
      <c r="P2049" t="s">
        <v>5151</v>
      </c>
      <c r="T2049">
        <v>36.322975778</v>
      </c>
      <c r="U2049">
        <v>-80.102832945000003</v>
      </c>
      <c r="V2049">
        <f>SUM(W2049:X2049)+(Y2049*0.8)+(Z2049*0.4)</f>
        <v>0</v>
      </c>
      <c r="W2049">
        <v>0</v>
      </c>
      <c r="X2049">
        <v>0</v>
      </c>
      <c r="Y2049">
        <v>0</v>
      </c>
      <c r="Z2049">
        <v>0</v>
      </c>
      <c r="AA2049" t="s">
        <v>43</v>
      </c>
      <c r="AB2049">
        <v>0</v>
      </c>
      <c r="AD2049" t="s">
        <v>5152</v>
      </c>
      <c r="AE2049" t="s">
        <v>5153</v>
      </c>
    </row>
    <row r="2050" spans="1:31" x14ac:dyDescent="0.25">
      <c r="A2050" t="s">
        <v>31</v>
      </c>
      <c r="C2050" t="s">
        <v>4801</v>
      </c>
      <c r="D2050" t="s">
        <v>4847</v>
      </c>
      <c r="E2050" t="s">
        <v>34</v>
      </c>
      <c r="F2050" t="s">
        <v>43</v>
      </c>
      <c r="H2050" t="s">
        <v>36</v>
      </c>
      <c r="I2050" t="s">
        <v>4848</v>
      </c>
      <c r="J2050" t="s">
        <v>31</v>
      </c>
      <c r="K2050" t="s">
        <v>38</v>
      </c>
      <c r="L2050" t="s">
        <v>86</v>
      </c>
      <c r="M2050" t="s">
        <v>87</v>
      </c>
      <c r="N2050" t="s">
        <v>88</v>
      </c>
      <c r="O2050" t="s">
        <v>4849</v>
      </c>
      <c r="P2050" t="s">
        <v>4850</v>
      </c>
      <c r="T2050">
        <v>42.012721999999997</v>
      </c>
      <c r="U2050">
        <v>-87.900323</v>
      </c>
      <c r="V2050">
        <f>SUM(W2050:X2050)+(Y2050*0.8)+(Z2050*0.4)</f>
        <v>0</v>
      </c>
      <c r="W2050">
        <v>0</v>
      </c>
      <c r="X2050">
        <v>0</v>
      </c>
      <c r="Y2050">
        <v>0</v>
      </c>
      <c r="Z2050">
        <v>0</v>
      </c>
      <c r="AA2050" t="s">
        <v>43</v>
      </c>
      <c r="AB2050">
        <v>0</v>
      </c>
      <c r="AD2050" t="s">
        <v>4851</v>
      </c>
      <c r="AE2050" t="s">
        <v>4852</v>
      </c>
    </row>
    <row r="2051" spans="1:31" x14ac:dyDescent="0.25">
      <c r="A2051" t="s">
        <v>31</v>
      </c>
      <c r="C2051" t="s">
        <v>4801</v>
      </c>
      <c r="D2051" t="s">
        <v>4966</v>
      </c>
      <c r="E2051" t="s">
        <v>34</v>
      </c>
      <c r="F2051" t="s">
        <v>66</v>
      </c>
      <c r="H2051" t="s">
        <v>36</v>
      </c>
      <c r="I2051" t="s">
        <v>4967</v>
      </c>
      <c r="J2051" t="s">
        <v>31</v>
      </c>
      <c r="K2051" t="s">
        <v>38</v>
      </c>
      <c r="L2051" t="s">
        <v>317</v>
      </c>
      <c r="M2051" t="s">
        <v>318</v>
      </c>
      <c r="N2051" t="s">
        <v>584</v>
      </c>
      <c r="O2051" t="s">
        <v>1170</v>
      </c>
      <c r="P2051" t="s">
        <v>1171</v>
      </c>
      <c r="T2051">
        <v>40.104177536999998</v>
      </c>
      <c r="U2051">
        <v>-82.718589644000005</v>
      </c>
      <c r="V2051">
        <f>SUM(W2051:X2051)+(Y2051*0.8)+(Z2051*0.4)</f>
        <v>0</v>
      </c>
      <c r="W2051">
        <v>0</v>
      </c>
      <c r="X2051">
        <v>0</v>
      </c>
      <c r="Y2051">
        <v>0</v>
      </c>
      <c r="Z2051">
        <v>0</v>
      </c>
      <c r="AA2051">
        <v>68.796999999999997</v>
      </c>
      <c r="AB2051">
        <v>0</v>
      </c>
      <c r="AD2051" t="s">
        <v>4968</v>
      </c>
      <c r="AE2051" t="s">
        <v>4969</v>
      </c>
    </row>
    <row r="2052" spans="1:31" x14ac:dyDescent="0.25">
      <c r="A2052" t="s">
        <v>31</v>
      </c>
      <c r="C2052" t="s">
        <v>3849</v>
      </c>
      <c r="D2052" t="s">
        <v>4635</v>
      </c>
      <c r="E2052" t="s">
        <v>362</v>
      </c>
      <c r="F2052" t="s">
        <v>43</v>
      </c>
      <c r="H2052" t="s">
        <v>36</v>
      </c>
      <c r="I2052" t="s">
        <v>4636</v>
      </c>
      <c r="J2052" t="s">
        <v>31</v>
      </c>
      <c r="K2052" t="s">
        <v>38</v>
      </c>
      <c r="L2052" t="s">
        <v>448</v>
      </c>
      <c r="M2052" t="s">
        <v>449</v>
      </c>
      <c r="N2052" t="s">
        <v>457</v>
      </c>
      <c r="O2052" t="s">
        <v>4637</v>
      </c>
      <c r="P2052" t="s">
        <v>4638</v>
      </c>
      <c r="T2052">
        <v>39.137500000000003</v>
      </c>
      <c r="U2052">
        <v>-76.701999999999998</v>
      </c>
      <c r="V2052">
        <f>SUM(W2052:X2052)+(Y2052*0.8)+(Z2052*0.4)</f>
        <v>0</v>
      </c>
      <c r="W2052">
        <v>0</v>
      </c>
      <c r="X2052">
        <v>0</v>
      </c>
      <c r="Y2052">
        <v>0</v>
      </c>
      <c r="Z2052">
        <v>0</v>
      </c>
      <c r="AA2052">
        <v>20.076000000000001</v>
      </c>
      <c r="AB2052">
        <v>0</v>
      </c>
      <c r="AD2052" t="s">
        <v>4639</v>
      </c>
      <c r="AE2052" t="s">
        <v>4640</v>
      </c>
    </row>
    <row r="2053" spans="1:31" x14ac:dyDescent="0.25">
      <c r="A2053" t="s">
        <v>31</v>
      </c>
      <c r="C2053" t="s">
        <v>4019</v>
      </c>
      <c r="D2053" t="s">
        <v>4020</v>
      </c>
      <c r="E2053" t="s">
        <v>362</v>
      </c>
      <c r="F2053" t="s">
        <v>372</v>
      </c>
      <c r="H2053" t="s">
        <v>36</v>
      </c>
      <c r="I2053" t="s">
        <v>4021</v>
      </c>
      <c r="J2053" t="s">
        <v>31</v>
      </c>
      <c r="K2053" t="s">
        <v>38</v>
      </c>
      <c r="L2053" t="s">
        <v>68</v>
      </c>
      <c r="M2053" t="s">
        <v>69</v>
      </c>
      <c r="N2053" t="s">
        <v>4022</v>
      </c>
      <c r="O2053" t="s">
        <v>4023</v>
      </c>
      <c r="P2053" t="s">
        <v>4024</v>
      </c>
      <c r="T2053">
        <v>29.394519549000002</v>
      </c>
      <c r="U2053">
        <v>-94.974688403000002</v>
      </c>
      <c r="V2053">
        <f>SUM(W2053:X2053)+(Y2053*0.8)+(Z2053*0.4)</f>
        <v>0</v>
      </c>
      <c r="W2053">
        <v>0</v>
      </c>
      <c r="X2053">
        <v>0</v>
      </c>
      <c r="Y2053">
        <v>0</v>
      </c>
      <c r="Z2053">
        <v>0</v>
      </c>
      <c r="AA2053" t="s">
        <v>43</v>
      </c>
      <c r="AB2053">
        <v>0</v>
      </c>
      <c r="AD2053" t="s">
        <v>4025</v>
      </c>
      <c r="AE2053" t="s">
        <v>4026</v>
      </c>
    </row>
    <row r="2054" spans="1:31" x14ac:dyDescent="0.25">
      <c r="A2054" t="s">
        <v>31</v>
      </c>
      <c r="C2054" t="s">
        <v>3052</v>
      </c>
      <c r="D2054" t="s">
        <v>3053</v>
      </c>
      <c r="E2054" t="s">
        <v>34</v>
      </c>
      <c r="F2054" t="s">
        <v>43</v>
      </c>
      <c r="H2054" t="s">
        <v>36</v>
      </c>
      <c r="I2054" t="s">
        <v>3054</v>
      </c>
      <c r="J2054" t="s">
        <v>31</v>
      </c>
      <c r="K2054" t="s">
        <v>38</v>
      </c>
      <c r="L2054" t="s">
        <v>39</v>
      </c>
      <c r="M2054" t="s">
        <v>40</v>
      </c>
      <c r="N2054" t="s">
        <v>2140</v>
      </c>
      <c r="O2054" t="s">
        <v>2161</v>
      </c>
      <c r="P2054" t="s">
        <v>2162</v>
      </c>
      <c r="Q2054" t="s">
        <v>2161</v>
      </c>
      <c r="T2054">
        <v>40.772521691999998</v>
      </c>
      <c r="U2054">
        <v>-74.066240004999997</v>
      </c>
      <c r="V2054">
        <f>SUM(W2054:X2054)+(Y2054*0.8)+(Z2054*0.4)</f>
        <v>0</v>
      </c>
      <c r="W2054">
        <v>0</v>
      </c>
      <c r="X2054">
        <v>0</v>
      </c>
      <c r="Y2054">
        <v>0</v>
      </c>
      <c r="Z2054">
        <v>0</v>
      </c>
      <c r="AA2054" t="s">
        <v>43</v>
      </c>
      <c r="AB2054">
        <v>0</v>
      </c>
      <c r="AD2054" t="s">
        <v>3055</v>
      </c>
      <c r="AE2054" t="s">
        <v>3056</v>
      </c>
    </row>
    <row r="2055" spans="1:31" x14ac:dyDescent="0.25">
      <c r="A2055" t="s">
        <v>31</v>
      </c>
      <c r="C2055" t="s">
        <v>2452</v>
      </c>
      <c r="D2055" t="s">
        <v>2453</v>
      </c>
      <c r="E2055" t="s">
        <v>34</v>
      </c>
      <c r="F2055" t="s">
        <v>76</v>
      </c>
      <c r="H2055" t="s">
        <v>36</v>
      </c>
      <c r="I2055" t="s">
        <v>2454</v>
      </c>
      <c r="J2055" t="s">
        <v>31</v>
      </c>
      <c r="K2055" t="s">
        <v>38</v>
      </c>
      <c r="L2055" t="s">
        <v>68</v>
      </c>
      <c r="M2055" t="s">
        <v>69</v>
      </c>
      <c r="N2055" t="s">
        <v>2455</v>
      </c>
      <c r="O2055" t="s">
        <v>2456</v>
      </c>
      <c r="P2055" t="s">
        <v>2457</v>
      </c>
      <c r="T2055">
        <v>32.397083318</v>
      </c>
      <c r="U2055">
        <v>-100.91190367900001</v>
      </c>
      <c r="V2055">
        <f>SUM(W2055:X2055)+(Y2055*0.8)+(Z2055*0.4)</f>
        <v>0</v>
      </c>
      <c r="W2055">
        <v>0</v>
      </c>
      <c r="X2055">
        <v>0</v>
      </c>
      <c r="Y2055">
        <v>0</v>
      </c>
      <c r="Z2055">
        <v>0</v>
      </c>
      <c r="AA2055">
        <v>237.55</v>
      </c>
      <c r="AB2055">
        <v>0</v>
      </c>
      <c r="AD2055" t="s">
        <v>2458</v>
      </c>
      <c r="AE2055" t="s">
        <v>2459</v>
      </c>
    </row>
    <row r="2056" spans="1:31" x14ac:dyDescent="0.25">
      <c r="A2056" t="s">
        <v>31</v>
      </c>
      <c r="C2056" t="s">
        <v>2366</v>
      </c>
      <c r="D2056" t="s">
        <v>2367</v>
      </c>
      <c r="E2056" t="s">
        <v>34</v>
      </c>
      <c r="F2056" t="s">
        <v>43</v>
      </c>
      <c r="H2056" t="s">
        <v>36</v>
      </c>
      <c r="I2056" t="s">
        <v>2368</v>
      </c>
      <c r="J2056" t="s">
        <v>31</v>
      </c>
      <c r="K2056" t="s">
        <v>38</v>
      </c>
      <c r="L2056" t="s">
        <v>77</v>
      </c>
      <c r="M2056" t="s">
        <v>78</v>
      </c>
      <c r="N2056" t="s">
        <v>1358</v>
      </c>
      <c r="O2056" t="s">
        <v>2369</v>
      </c>
      <c r="P2056" t="s">
        <v>2370</v>
      </c>
      <c r="S2056" t="s">
        <v>2371</v>
      </c>
      <c r="T2056">
        <v>40.545280564999999</v>
      </c>
      <c r="U2056">
        <v>-79.768019519000006</v>
      </c>
      <c r="V2056">
        <f>SUM(W2056:X2056)+(Y2056*0.8)+(Z2056*0.4)</f>
        <v>0</v>
      </c>
      <c r="W2056">
        <v>0</v>
      </c>
      <c r="X2056">
        <v>0</v>
      </c>
      <c r="Y2056">
        <v>0</v>
      </c>
      <c r="Z2056">
        <v>0</v>
      </c>
      <c r="AA2056">
        <v>22.661999999999999</v>
      </c>
      <c r="AB2056">
        <v>0</v>
      </c>
      <c r="AD2056" t="s">
        <v>2372</v>
      </c>
      <c r="AE2056" t="s">
        <v>2373</v>
      </c>
    </row>
    <row r="2057" spans="1:31" x14ac:dyDescent="0.25">
      <c r="A2057" t="s">
        <v>31</v>
      </c>
      <c r="C2057" t="s">
        <v>2028</v>
      </c>
      <c r="D2057" t="s">
        <v>2029</v>
      </c>
      <c r="E2057" t="s">
        <v>34</v>
      </c>
      <c r="F2057" t="s">
        <v>43</v>
      </c>
      <c r="H2057" t="s">
        <v>36</v>
      </c>
      <c r="J2057" t="s">
        <v>31</v>
      </c>
      <c r="K2057" t="s">
        <v>38</v>
      </c>
      <c r="L2057" t="s">
        <v>68</v>
      </c>
      <c r="M2057" t="s">
        <v>69</v>
      </c>
      <c r="N2057" t="s">
        <v>297</v>
      </c>
      <c r="P2057" t="s">
        <v>2030</v>
      </c>
      <c r="T2057">
        <v>32.554005162999999</v>
      </c>
      <c r="U2057">
        <v>-96.652579039000003</v>
      </c>
      <c r="V2057">
        <f>SUM(W2057:X2057)+(Y2057*0.8)+(Z2057*0.4)</f>
        <v>0</v>
      </c>
      <c r="W2057">
        <v>0</v>
      </c>
      <c r="X2057">
        <v>0</v>
      </c>
      <c r="Y2057">
        <v>0</v>
      </c>
      <c r="Z2057">
        <v>0</v>
      </c>
      <c r="AA2057">
        <v>2104.3649999999998</v>
      </c>
      <c r="AB2057">
        <v>0</v>
      </c>
      <c r="AD2057" t="s">
        <v>2031</v>
      </c>
      <c r="AE2057" t="s">
        <v>2032</v>
      </c>
    </row>
    <row r="2058" spans="1:31" x14ac:dyDescent="0.25">
      <c r="A2058" t="s">
        <v>31</v>
      </c>
      <c r="C2058" t="s">
        <v>2006</v>
      </c>
      <c r="D2058" t="s">
        <v>2007</v>
      </c>
      <c r="E2058" t="s">
        <v>34</v>
      </c>
      <c r="F2058" t="s">
        <v>66</v>
      </c>
      <c r="H2058" t="s">
        <v>36</v>
      </c>
      <c r="I2058" t="s">
        <v>2008</v>
      </c>
      <c r="J2058" t="s">
        <v>31</v>
      </c>
      <c r="K2058" t="s">
        <v>38</v>
      </c>
      <c r="L2058" t="s">
        <v>68</v>
      </c>
      <c r="M2058" t="s">
        <v>69</v>
      </c>
      <c r="N2058" t="s">
        <v>2009</v>
      </c>
      <c r="O2058" t="s">
        <v>2007</v>
      </c>
      <c r="P2058" t="s">
        <v>2010</v>
      </c>
      <c r="T2058">
        <v>33.958707527999998</v>
      </c>
      <c r="U2058">
        <v>-98.560373365999993</v>
      </c>
      <c r="V2058">
        <f>SUM(W2058:X2058)+(Y2058*0.8)+(Z2058*0.4)</f>
        <v>0</v>
      </c>
      <c r="W2058">
        <v>0</v>
      </c>
      <c r="X2058">
        <v>0</v>
      </c>
      <c r="Y2058">
        <v>0</v>
      </c>
      <c r="Z2058">
        <v>0</v>
      </c>
      <c r="AA2058">
        <v>91.864000000000004</v>
      </c>
      <c r="AB2058">
        <v>0</v>
      </c>
      <c r="AD2058" t="s">
        <v>2011</v>
      </c>
      <c r="AE2058" t="s">
        <v>2012</v>
      </c>
    </row>
    <row r="2059" spans="1:31" x14ac:dyDescent="0.25">
      <c r="A2059" t="s">
        <v>31</v>
      </c>
      <c r="C2059" t="s">
        <v>1998</v>
      </c>
      <c r="D2059" t="s">
        <v>1999</v>
      </c>
      <c r="E2059" t="s">
        <v>34</v>
      </c>
      <c r="F2059" t="s">
        <v>43</v>
      </c>
      <c r="H2059" t="s">
        <v>36</v>
      </c>
      <c r="I2059" t="s">
        <v>2000</v>
      </c>
      <c r="J2059" t="s">
        <v>31</v>
      </c>
      <c r="K2059" t="s">
        <v>38</v>
      </c>
      <c r="L2059" t="s">
        <v>77</v>
      </c>
      <c r="M2059" t="s">
        <v>78</v>
      </c>
      <c r="N2059" t="s">
        <v>2001</v>
      </c>
      <c r="O2059" t="s">
        <v>2002</v>
      </c>
      <c r="P2059" t="s">
        <v>2003</v>
      </c>
      <c r="T2059">
        <v>39.759889270999999</v>
      </c>
      <c r="U2059">
        <v>-76.268737314000006</v>
      </c>
      <c r="V2059">
        <f>SUM(W2059:X2059)+(Y2059*0.8)+(Z2059*0.4)</f>
        <v>0</v>
      </c>
      <c r="W2059">
        <v>0</v>
      </c>
      <c r="X2059">
        <v>0</v>
      </c>
      <c r="Y2059">
        <v>0</v>
      </c>
      <c r="Z2059">
        <v>0</v>
      </c>
      <c r="AA2059">
        <v>20.234000000000002</v>
      </c>
      <c r="AB2059">
        <v>0</v>
      </c>
      <c r="AD2059" t="s">
        <v>2004</v>
      </c>
      <c r="AE2059" t="s">
        <v>2005</v>
      </c>
    </row>
    <row r="2060" spans="1:31" x14ac:dyDescent="0.25">
      <c r="A2060" t="s">
        <v>31</v>
      </c>
      <c r="C2060" t="s">
        <v>1859</v>
      </c>
      <c r="D2060" t="s">
        <v>1860</v>
      </c>
      <c r="E2060" t="s">
        <v>34</v>
      </c>
      <c r="F2060" t="s">
        <v>43</v>
      </c>
      <c r="H2060" t="s">
        <v>36</v>
      </c>
      <c r="I2060" t="s">
        <v>1861</v>
      </c>
      <c r="J2060" t="s">
        <v>31</v>
      </c>
      <c r="K2060" t="s">
        <v>38</v>
      </c>
      <c r="L2060" t="s">
        <v>242</v>
      </c>
      <c r="M2060" t="s">
        <v>243</v>
      </c>
      <c r="N2060" t="s">
        <v>509</v>
      </c>
      <c r="O2060" t="s">
        <v>1290</v>
      </c>
      <c r="P2060" t="s">
        <v>725</v>
      </c>
      <c r="T2060">
        <v>38.783086226999998</v>
      </c>
      <c r="U2060">
        <v>-77.560287661999993</v>
      </c>
      <c r="V2060">
        <f>SUM(W2060:X2060)+(Y2060*0.8)+(Z2060*0.4)</f>
        <v>0</v>
      </c>
      <c r="W2060">
        <v>0</v>
      </c>
      <c r="X2060">
        <v>0</v>
      </c>
      <c r="Y2060">
        <v>0</v>
      </c>
      <c r="Z2060">
        <v>0</v>
      </c>
      <c r="AA2060">
        <v>15.378</v>
      </c>
      <c r="AB2060">
        <v>0</v>
      </c>
      <c r="AD2060" t="s">
        <v>1862</v>
      </c>
      <c r="AE2060" t="s">
        <v>1863</v>
      </c>
    </row>
    <row r="2061" spans="1:31" x14ac:dyDescent="0.25">
      <c r="A2061" t="s">
        <v>31</v>
      </c>
      <c r="C2061" t="s">
        <v>1724</v>
      </c>
      <c r="D2061" t="s">
        <v>1725</v>
      </c>
      <c r="E2061" t="s">
        <v>34</v>
      </c>
      <c r="F2061" t="s">
        <v>66</v>
      </c>
      <c r="H2061" t="s">
        <v>36</v>
      </c>
      <c r="I2061" t="s">
        <v>1726</v>
      </c>
      <c r="J2061" t="s">
        <v>31</v>
      </c>
      <c r="K2061" t="s">
        <v>38</v>
      </c>
      <c r="L2061" t="s">
        <v>242</v>
      </c>
      <c r="M2061" t="s">
        <v>243</v>
      </c>
      <c r="N2061" t="s">
        <v>1725</v>
      </c>
      <c r="O2061" t="s">
        <v>1727</v>
      </c>
      <c r="P2061" t="s">
        <v>1728</v>
      </c>
      <c r="T2061">
        <v>37.370722452000003</v>
      </c>
      <c r="U2061">
        <v>-78.845068510000004</v>
      </c>
      <c r="V2061">
        <f>SUM(W2061:X2061)+(Y2061*0.8)+(Z2061*0.4)</f>
        <v>0</v>
      </c>
      <c r="W2061">
        <v>0</v>
      </c>
      <c r="X2061">
        <v>0</v>
      </c>
      <c r="Y2061">
        <v>0</v>
      </c>
      <c r="Z2061">
        <v>0</v>
      </c>
      <c r="AA2061">
        <v>182.91800000000001</v>
      </c>
      <c r="AB2061">
        <v>0</v>
      </c>
      <c r="AD2061" t="s">
        <v>1729</v>
      </c>
      <c r="AE2061" t="s">
        <v>1730</v>
      </c>
    </row>
    <row r="2062" spans="1:31" x14ac:dyDescent="0.25">
      <c r="A2062" t="s">
        <v>31</v>
      </c>
      <c r="C2062" t="s">
        <v>1717</v>
      </c>
      <c r="D2062" t="s">
        <v>1718</v>
      </c>
      <c r="E2062" t="s">
        <v>34</v>
      </c>
      <c r="F2062" t="s">
        <v>66</v>
      </c>
      <c r="H2062" t="s">
        <v>411</v>
      </c>
      <c r="I2062" t="s">
        <v>1719</v>
      </c>
      <c r="J2062" t="s">
        <v>31</v>
      </c>
      <c r="K2062" t="s">
        <v>38</v>
      </c>
      <c r="L2062" t="s">
        <v>353</v>
      </c>
      <c r="M2062" t="s">
        <v>354</v>
      </c>
      <c r="N2062" t="s">
        <v>1720</v>
      </c>
      <c r="O2062" t="s">
        <v>1718</v>
      </c>
      <c r="P2062" t="s">
        <v>1721</v>
      </c>
      <c r="T2062">
        <v>46.804230742999998</v>
      </c>
      <c r="U2062">
        <v>-100.72514237</v>
      </c>
      <c r="V2062">
        <f>SUM(W2062:X2062)+(Y2062*0.8)+(Z2062*0.4)</f>
        <v>0</v>
      </c>
      <c r="W2062">
        <v>0</v>
      </c>
      <c r="X2062">
        <v>0</v>
      </c>
      <c r="Y2062">
        <v>0</v>
      </c>
      <c r="Z2062">
        <v>0</v>
      </c>
      <c r="AA2062">
        <v>121.40600000000001</v>
      </c>
      <c r="AB2062">
        <v>0</v>
      </c>
      <c r="AD2062" t="s">
        <v>1722</v>
      </c>
      <c r="AE2062" t="s">
        <v>1723</v>
      </c>
    </row>
    <row r="2063" spans="1:31" x14ac:dyDescent="0.25">
      <c r="A2063" t="s">
        <v>31</v>
      </c>
      <c r="B2063" t="s">
        <v>11350</v>
      </c>
      <c r="C2063" t="s">
        <v>647</v>
      </c>
      <c r="D2063" t="s">
        <v>648</v>
      </c>
      <c r="E2063" t="s">
        <v>362</v>
      </c>
      <c r="F2063" t="s">
        <v>649</v>
      </c>
      <c r="H2063" t="s">
        <v>36</v>
      </c>
      <c r="I2063" t="s">
        <v>650</v>
      </c>
      <c r="J2063" t="s">
        <v>31</v>
      </c>
      <c r="K2063" t="s">
        <v>38</v>
      </c>
      <c r="L2063" t="s">
        <v>242</v>
      </c>
      <c r="M2063" t="s">
        <v>243</v>
      </c>
      <c r="N2063" t="s">
        <v>509</v>
      </c>
      <c r="O2063" t="s">
        <v>510</v>
      </c>
      <c r="P2063" t="s">
        <v>651</v>
      </c>
      <c r="Q2063" t="s">
        <v>652</v>
      </c>
      <c r="T2063">
        <v>38.646470444999999</v>
      </c>
      <c r="U2063">
        <v>-77.443625800000007</v>
      </c>
      <c r="V2063">
        <f>SUM(W2063:X2063)+(Y2063*0.8)+(Z2063*0.4)</f>
        <v>0</v>
      </c>
      <c r="W2063">
        <v>0</v>
      </c>
      <c r="X2063">
        <v>0</v>
      </c>
      <c r="Y2063">
        <v>0</v>
      </c>
      <c r="Z2063">
        <v>0</v>
      </c>
      <c r="AA2063">
        <v>37</v>
      </c>
      <c r="AB2063">
        <v>0</v>
      </c>
      <c r="AD2063" t="s">
        <v>653</v>
      </c>
      <c r="AE2063" t="s">
        <v>654</v>
      </c>
    </row>
    <row r="2064" spans="1:31" x14ac:dyDescent="0.25">
      <c r="A2064" t="s">
        <v>31</v>
      </c>
      <c r="B2064" t="s">
        <v>11350</v>
      </c>
      <c r="C2064" t="s">
        <v>647</v>
      </c>
      <c r="D2064" t="s">
        <v>696</v>
      </c>
      <c r="E2064" t="s">
        <v>362</v>
      </c>
      <c r="F2064" t="s">
        <v>649</v>
      </c>
      <c r="H2064" t="s">
        <v>36</v>
      </c>
      <c r="I2064" t="s">
        <v>697</v>
      </c>
      <c r="J2064" t="s">
        <v>31</v>
      </c>
      <c r="K2064" t="s">
        <v>38</v>
      </c>
      <c r="L2064" t="s">
        <v>242</v>
      </c>
      <c r="M2064" t="s">
        <v>243</v>
      </c>
      <c r="N2064" t="s">
        <v>509</v>
      </c>
      <c r="O2064" t="s">
        <v>510</v>
      </c>
      <c r="P2064" t="s">
        <v>511</v>
      </c>
      <c r="T2064">
        <v>38.797419830000003</v>
      </c>
      <c r="U2064">
        <v>-77.544701623999998</v>
      </c>
      <c r="V2064">
        <f>SUM(W2064:X2064)+(Y2064*0.8)+(Z2064*0.4)</f>
        <v>0</v>
      </c>
      <c r="W2064">
        <v>0</v>
      </c>
      <c r="X2064">
        <v>0</v>
      </c>
      <c r="Y2064">
        <v>0</v>
      </c>
      <c r="Z2064">
        <v>0</v>
      </c>
      <c r="AA2064">
        <v>11</v>
      </c>
      <c r="AB2064">
        <v>0</v>
      </c>
      <c r="AD2064" t="s">
        <v>698</v>
      </c>
      <c r="AE2064" t="s">
        <v>699</v>
      </c>
    </row>
    <row r="2065" spans="1:31" x14ac:dyDescent="0.25">
      <c r="A2065" t="s">
        <v>31</v>
      </c>
      <c r="B2065" t="s">
        <v>11350</v>
      </c>
      <c r="C2065" t="s">
        <v>647</v>
      </c>
      <c r="D2065" t="s">
        <v>706</v>
      </c>
      <c r="E2065" t="s">
        <v>362</v>
      </c>
      <c r="F2065" t="s">
        <v>649</v>
      </c>
      <c r="H2065" t="s">
        <v>36</v>
      </c>
      <c r="I2065" t="s">
        <v>707</v>
      </c>
      <c r="J2065" t="s">
        <v>31</v>
      </c>
      <c r="K2065" t="s">
        <v>38</v>
      </c>
      <c r="L2065" t="s">
        <v>242</v>
      </c>
      <c r="M2065" t="s">
        <v>243</v>
      </c>
      <c r="N2065" t="s">
        <v>509</v>
      </c>
      <c r="O2065" t="s">
        <v>510</v>
      </c>
      <c r="P2065" t="s">
        <v>511</v>
      </c>
      <c r="T2065">
        <v>38.774777473</v>
      </c>
      <c r="U2065">
        <v>-77.511755840999996</v>
      </c>
      <c r="V2065">
        <f>SUM(W2065:X2065)+(Y2065*0.8)+(Z2065*0.4)</f>
        <v>0</v>
      </c>
      <c r="W2065">
        <v>0</v>
      </c>
      <c r="X2065">
        <v>0</v>
      </c>
      <c r="Y2065">
        <v>0</v>
      </c>
      <c r="Z2065">
        <v>0</v>
      </c>
      <c r="AA2065">
        <v>113</v>
      </c>
      <c r="AB2065">
        <v>0</v>
      </c>
      <c r="AD2065" t="s">
        <v>708</v>
      </c>
      <c r="AE2065" t="s">
        <v>709</v>
      </c>
    </row>
    <row r="2066" spans="1:31" x14ac:dyDescent="0.25">
      <c r="A2066" t="s">
        <v>31</v>
      </c>
      <c r="B2066" t="s">
        <v>11350</v>
      </c>
      <c r="C2066" t="s">
        <v>647</v>
      </c>
      <c r="D2066" t="s">
        <v>822</v>
      </c>
      <c r="E2066" t="s">
        <v>362</v>
      </c>
      <c r="F2066" t="s">
        <v>649</v>
      </c>
      <c r="H2066" t="s">
        <v>36</v>
      </c>
      <c r="I2066" t="s">
        <v>823</v>
      </c>
      <c r="J2066" t="s">
        <v>31</v>
      </c>
      <c r="K2066" t="s">
        <v>38</v>
      </c>
      <c r="L2066" t="s">
        <v>242</v>
      </c>
      <c r="M2066" t="s">
        <v>243</v>
      </c>
      <c r="N2066" t="s">
        <v>509</v>
      </c>
      <c r="O2066" t="s">
        <v>510</v>
      </c>
      <c r="P2066" t="s">
        <v>651</v>
      </c>
      <c r="T2066">
        <v>38.629216409999998</v>
      </c>
      <c r="U2066">
        <v>-77.411650120000004</v>
      </c>
      <c r="V2066">
        <f>SUM(W2066:X2066)+(Y2066*0.8)+(Z2066*0.4)</f>
        <v>0</v>
      </c>
      <c r="W2066">
        <v>0</v>
      </c>
      <c r="X2066">
        <v>0</v>
      </c>
      <c r="Y2066">
        <v>0</v>
      </c>
      <c r="Z2066">
        <v>0</v>
      </c>
      <c r="AA2066">
        <v>15.7</v>
      </c>
      <c r="AB2066">
        <v>0</v>
      </c>
      <c r="AD2066" t="s">
        <v>824</v>
      </c>
      <c r="AE2066" t="s">
        <v>825</v>
      </c>
    </row>
    <row r="2067" spans="1:31" x14ac:dyDescent="0.25">
      <c r="A2067" t="s">
        <v>31</v>
      </c>
      <c r="B2067" t="s">
        <v>11350</v>
      </c>
      <c r="C2067" t="s">
        <v>647</v>
      </c>
      <c r="D2067" t="s">
        <v>880</v>
      </c>
      <c r="E2067" t="s">
        <v>362</v>
      </c>
      <c r="F2067" t="s">
        <v>649</v>
      </c>
      <c r="H2067" t="s">
        <v>36</v>
      </c>
      <c r="I2067" t="s">
        <v>881</v>
      </c>
      <c r="J2067" t="s">
        <v>31</v>
      </c>
      <c r="K2067" t="s">
        <v>38</v>
      </c>
      <c r="L2067" t="s">
        <v>317</v>
      </c>
      <c r="M2067" t="s">
        <v>318</v>
      </c>
      <c r="N2067" t="s">
        <v>882</v>
      </c>
      <c r="O2067" t="s">
        <v>883</v>
      </c>
      <c r="P2067" t="s">
        <v>884</v>
      </c>
      <c r="Q2067" t="s">
        <v>885</v>
      </c>
      <c r="T2067">
        <v>39.787873322000003</v>
      </c>
      <c r="U2067">
        <v>-83.037635546999994</v>
      </c>
      <c r="V2067">
        <f>SUM(W2067:X2067)+(Y2067*0.8)+(Z2067*0.4)</f>
        <v>0</v>
      </c>
      <c r="W2067">
        <v>0</v>
      </c>
      <c r="X2067">
        <v>0</v>
      </c>
      <c r="Y2067">
        <v>0</v>
      </c>
      <c r="Z2067">
        <v>0</v>
      </c>
      <c r="AA2067">
        <v>91.8</v>
      </c>
      <c r="AB2067">
        <v>0</v>
      </c>
      <c r="AD2067" t="s">
        <v>886</v>
      </c>
      <c r="AE2067" t="s">
        <v>887</v>
      </c>
    </row>
    <row r="2068" spans="1:31" x14ac:dyDescent="0.25">
      <c r="A2068" t="s">
        <v>31</v>
      </c>
      <c r="B2068" t="s">
        <v>11350</v>
      </c>
      <c r="C2068" t="s">
        <v>647</v>
      </c>
      <c r="D2068" t="s">
        <v>954</v>
      </c>
      <c r="E2068" t="s">
        <v>362</v>
      </c>
      <c r="F2068" t="s">
        <v>649</v>
      </c>
      <c r="H2068" t="s">
        <v>36</v>
      </c>
      <c r="I2068" t="s">
        <v>955</v>
      </c>
      <c r="J2068" t="s">
        <v>31</v>
      </c>
      <c r="K2068" t="s">
        <v>38</v>
      </c>
      <c r="L2068" t="s">
        <v>68</v>
      </c>
      <c r="M2068" t="s">
        <v>69</v>
      </c>
      <c r="N2068" t="s">
        <v>956</v>
      </c>
      <c r="O2068" t="s">
        <v>957</v>
      </c>
      <c r="P2068" t="s">
        <v>958</v>
      </c>
      <c r="T2068">
        <v>30.482117692999999</v>
      </c>
      <c r="U2068">
        <v>-97.698311841999995</v>
      </c>
      <c r="V2068">
        <f>SUM(W2068:X2068)+(Y2068*0.8)+(Z2068*0.4)</f>
        <v>0</v>
      </c>
      <c r="W2068">
        <v>0</v>
      </c>
      <c r="X2068">
        <v>0</v>
      </c>
      <c r="Y2068">
        <v>0</v>
      </c>
      <c r="Z2068">
        <v>0</v>
      </c>
      <c r="AA2068">
        <v>60.2</v>
      </c>
      <c r="AB2068">
        <v>0</v>
      </c>
      <c r="AD2068" t="s">
        <v>959</v>
      </c>
      <c r="AE2068" t="s">
        <v>960</v>
      </c>
    </row>
    <row r="2069" spans="1:31" x14ac:dyDescent="0.25">
      <c r="A2069" t="s">
        <v>31</v>
      </c>
      <c r="B2069" t="s">
        <v>11350</v>
      </c>
      <c r="C2069" t="s">
        <v>647</v>
      </c>
      <c r="D2069" t="s">
        <v>961</v>
      </c>
      <c r="E2069" t="s">
        <v>362</v>
      </c>
      <c r="F2069" t="s">
        <v>43</v>
      </c>
      <c r="H2069" t="s">
        <v>36</v>
      </c>
      <c r="I2069" t="s">
        <v>962</v>
      </c>
      <c r="J2069" t="s">
        <v>31</v>
      </c>
      <c r="K2069" t="s">
        <v>38</v>
      </c>
      <c r="L2069" t="s">
        <v>185</v>
      </c>
      <c r="M2069" t="s">
        <v>186</v>
      </c>
      <c r="N2069" t="s">
        <v>963</v>
      </c>
      <c r="O2069" t="s">
        <v>961</v>
      </c>
      <c r="P2069" t="s">
        <v>964</v>
      </c>
      <c r="T2069">
        <v>33.637594157000002</v>
      </c>
      <c r="U2069">
        <v>-83.820753322000002</v>
      </c>
      <c r="V2069">
        <f>SUM(W2069:X2069)+(Y2069*0.8)+(Z2069*0.4)</f>
        <v>0</v>
      </c>
      <c r="W2069">
        <v>0</v>
      </c>
      <c r="X2069">
        <v>0</v>
      </c>
      <c r="Y2069">
        <v>0</v>
      </c>
      <c r="Z2069">
        <v>0</v>
      </c>
      <c r="AA2069" t="s">
        <v>43</v>
      </c>
      <c r="AB2069">
        <v>0</v>
      </c>
      <c r="AD2069" t="s">
        <v>965</v>
      </c>
      <c r="AE2069" t="s">
        <v>966</v>
      </c>
    </row>
    <row r="2070" spans="1:31" x14ac:dyDescent="0.25">
      <c r="A2070" t="s">
        <v>31</v>
      </c>
      <c r="B2070" t="s">
        <v>11350</v>
      </c>
      <c r="C2070" t="s">
        <v>647</v>
      </c>
      <c r="D2070" t="s">
        <v>967</v>
      </c>
      <c r="E2070" t="s">
        <v>362</v>
      </c>
      <c r="F2070" t="s">
        <v>649</v>
      </c>
      <c r="H2070" t="s">
        <v>36</v>
      </c>
      <c r="I2070" t="s">
        <v>968</v>
      </c>
      <c r="J2070" t="s">
        <v>31</v>
      </c>
      <c r="K2070" t="s">
        <v>38</v>
      </c>
      <c r="L2070" t="s">
        <v>242</v>
      </c>
      <c r="M2070" t="s">
        <v>243</v>
      </c>
      <c r="N2070" t="s">
        <v>969</v>
      </c>
      <c r="T2070">
        <v>37.971879000000001</v>
      </c>
      <c r="U2070">
        <v>-77.955353000000002</v>
      </c>
      <c r="V2070">
        <f>SUM(W2070:X2070)+(Y2070*0.8)+(Z2070*0.4)</f>
        <v>0</v>
      </c>
      <c r="W2070">
        <v>0</v>
      </c>
      <c r="X2070">
        <v>0</v>
      </c>
      <c r="Y2070">
        <v>0</v>
      </c>
      <c r="Z2070">
        <v>0</v>
      </c>
      <c r="AA2070">
        <v>56.655999999999999</v>
      </c>
      <c r="AB2070">
        <v>0</v>
      </c>
      <c r="AD2070" t="s">
        <v>970</v>
      </c>
      <c r="AE2070" t="s">
        <v>971</v>
      </c>
    </row>
    <row r="2071" spans="1:31" x14ac:dyDescent="0.25">
      <c r="A2071" t="s">
        <v>31</v>
      </c>
      <c r="B2071" t="s">
        <v>11350</v>
      </c>
      <c r="C2071" t="s">
        <v>647</v>
      </c>
      <c r="D2071" t="s">
        <v>155</v>
      </c>
      <c r="E2071" t="s">
        <v>362</v>
      </c>
      <c r="F2071" t="s">
        <v>43</v>
      </c>
      <c r="H2071" t="s">
        <v>36</v>
      </c>
      <c r="I2071" t="s">
        <v>976</v>
      </c>
      <c r="J2071" t="s">
        <v>31</v>
      </c>
      <c r="K2071" t="s">
        <v>38</v>
      </c>
      <c r="L2071" t="s">
        <v>185</v>
      </c>
      <c r="M2071" t="s">
        <v>186</v>
      </c>
      <c r="N2071" t="s">
        <v>155</v>
      </c>
      <c r="O2071" t="s">
        <v>977</v>
      </c>
      <c r="P2071" t="s">
        <v>978</v>
      </c>
      <c r="T2071">
        <v>33.743821470999997</v>
      </c>
      <c r="U2071">
        <v>-84.784710707000002</v>
      </c>
      <c r="V2071">
        <f>SUM(W2071:X2071)+(Y2071*0.8)+(Z2071*0.4)</f>
        <v>0</v>
      </c>
      <c r="W2071">
        <v>0</v>
      </c>
      <c r="X2071">
        <v>0</v>
      </c>
      <c r="Y2071">
        <v>0</v>
      </c>
      <c r="Z2071">
        <v>0</v>
      </c>
      <c r="AA2071">
        <v>51.881</v>
      </c>
      <c r="AB2071">
        <v>0</v>
      </c>
      <c r="AD2071" t="s">
        <v>979</v>
      </c>
      <c r="AE2071" t="s">
        <v>980</v>
      </c>
    </row>
    <row r="2072" spans="1:31" x14ac:dyDescent="0.25">
      <c r="A2072" t="s">
        <v>31</v>
      </c>
      <c r="B2072" t="s">
        <v>11350</v>
      </c>
      <c r="C2072" t="s">
        <v>647</v>
      </c>
      <c r="D2072" t="s">
        <v>1114</v>
      </c>
      <c r="E2072" t="s">
        <v>362</v>
      </c>
      <c r="F2072" t="s">
        <v>649</v>
      </c>
      <c r="H2072" t="s">
        <v>411</v>
      </c>
      <c r="I2072" t="s">
        <v>1115</v>
      </c>
      <c r="J2072" t="s">
        <v>31</v>
      </c>
      <c r="K2072" t="s">
        <v>38</v>
      </c>
      <c r="L2072" t="s">
        <v>317</v>
      </c>
      <c r="M2072" t="s">
        <v>318</v>
      </c>
      <c r="N2072" t="s">
        <v>1116</v>
      </c>
      <c r="O2072" t="s">
        <v>1117</v>
      </c>
      <c r="P2072" t="s">
        <v>1118</v>
      </c>
      <c r="T2072">
        <v>39.632952244999998</v>
      </c>
      <c r="U2072">
        <v>-83.568805755</v>
      </c>
      <c r="V2072">
        <f>SUM(W2072:X2072)+(Y2072*0.8)+(Z2072*0.4)</f>
        <v>0</v>
      </c>
      <c r="W2072">
        <v>0</v>
      </c>
      <c r="X2072">
        <v>0</v>
      </c>
      <c r="Y2072">
        <v>0</v>
      </c>
      <c r="Z2072">
        <v>0</v>
      </c>
      <c r="AA2072">
        <v>238.76499999999999</v>
      </c>
      <c r="AB2072">
        <v>0</v>
      </c>
      <c r="AD2072" t="s">
        <v>1119</v>
      </c>
      <c r="AE2072" t="s">
        <v>1120</v>
      </c>
    </row>
    <row r="2073" spans="1:31" x14ac:dyDescent="0.25">
      <c r="A2073" t="s">
        <v>31</v>
      </c>
      <c r="B2073" t="s">
        <v>11350</v>
      </c>
      <c r="C2073" t="s">
        <v>647</v>
      </c>
      <c r="D2073" t="s">
        <v>1189</v>
      </c>
      <c r="E2073" t="s">
        <v>362</v>
      </c>
      <c r="F2073" t="s">
        <v>649</v>
      </c>
      <c r="H2073" t="s">
        <v>36</v>
      </c>
      <c r="I2073" t="s">
        <v>1190</v>
      </c>
      <c r="J2073" t="s">
        <v>31</v>
      </c>
      <c r="K2073" t="s">
        <v>38</v>
      </c>
      <c r="L2073" t="s">
        <v>68</v>
      </c>
      <c r="M2073" t="s">
        <v>69</v>
      </c>
      <c r="N2073" t="s">
        <v>712</v>
      </c>
      <c r="O2073" t="s">
        <v>713</v>
      </c>
      <c r="P2073" t="s">
        <v>1191</v>
      </c>
      <c r="T2073">
        <v>29.301677818999998</v>
      </c>
      <c r="U2073">
        <v>-98.388982575</v>
      </c>
      <c r="V2073">
        <f>SUM(W2073:X2073)+(Y2073*0.8)+(Z2073*0.4)</f>
        <v>0</v>
      </c>
      <c r="W2073">
        <v>0</v>
      </c>
      <c r="X2073">
        <v>0</v>
      </c>
      <c r="Y2073">
        <v>0</v>
      </c>
      <c r="Z2073">
        <v>0</v>
      </c>
      <c r="AA2073" t="s">
        <v>43</v>
      </c>
      <c r="AB2073">
        <v>0</v>
      </c>
      <c r="AD2073" t="s">
        <v>1192</v>
      </c>
      <c r="AE2073" t="s">
        <v>1193</v>
      </c>
    </row>
    <row r="2074" spans="1:31" x14ac:dyDescent="0.25">
      <c r="A2074" t="s">
        <v>31</v>
      </c>
      <c r="B2074" t="s">
        <v>11350</v>
      </c>
      <c r="C2074" t="s">
        <v>647</v>
      </c>
      <c r="D2074" t="s">
        <v>1223</v>
      </c>
      <c r="E2074" t="s">
        <v>362</v>
      </c>
      <c r="F2074" t="s">
        <v>649</v>
      </c>
      <c r="H2074" t="s">
        <v>36</v>
      </c>
      <c r="I2074" t="s">
        <v>1224</v>
      </c>
      <c r="J2074" t="s">
        <v>31</v>
      </c>
      <c r="K2074" t="s">
        <v>38</v>
      </c>
      <c r="L2074" t="s">
        <v>133</v>
      </c>
      <c r="M2074" t="s">
        <v>134</v>
      </c>
      <c r="N2074" t="s">
        <v>1213</v>
      </c>
      <c r="O2074" t="s">
        <v>1219</v>
      </c>
      <c r="P2074" t="s">
        <v>1225</v>
      </c>
      <c r="T2074">
        <v>45.803071471999999</v>
      </c>
      <c r="U2074">
        <v>-119.29533917800001</v>
      </c>
      <c r="V2074">
        <f>SUM(W2074:X2074)+(Y2074*0.8)+(Z2074*0.4)</f>
        <v>0</v>
      </c>
      <c r="W2074">
        <v>0</v>
      </c>
      <c r="X2074">
        <v>0</v>
      </c>
      <c r="Y2074">
        <v>0</v>
      </c>
      <c r="Z2074">
        <v>0</v>
      </c>
      <c r="AA2074">
        <v>48</v>
      </c>
      <c r="AB2074">
        <v>0</v>
      </c>
      <c r="AD2074" t="s">
        <v>1226</v>
      </c>
      <c r="AE2074" t="s">
        <v>1227</v>
      </c>
    </row>
    <row r="2075" spans="1:31" x14ac:dyDescent="0.25">
      <c r="A2075" t="s">
        <v>31</v>
      </c>
      <c r="B2075" t="s">
        <v>11350</v>
      </c>
      <c r="C2075" t="s">
        <v>647</v>
      </c>
      <c r="D2075" t="s">
        <v>1245</v>
      </c>
      <c r="E2075" t="s">
        <v>362</v>
      </c>
      <c r="F2075" t="s">
        <v>649</v>
      </c>
      <c r="H2075" t="s">
        <v>36</v>
      </c>
      <c r="I2075" t="s">
        <v>1246</v>
      </c>
      <c r="J2075" t="s">
        <v>31</v>
      </c>
      <c r="K2075" t="s">
        <v>38</v>
      </c>
      <c r="L2075" t="s">
        <v>133</v>
      </c>
      <c r="M2075" t="s">
        <v>134</v>
      </c>
      <c r="N2075" t="s">
        <v>1213</v>
      </c>
      <c r="O2075" t="s">
        <v>1234</v>
      </c>
      <c r="P2075" t="s">
        <v>1214</v>
      </c>
      <c r="T2075">
        <v>45.889805000000003</v>
      </c>
      <c r="U2075">
        <v>-119.339947</v>
      </c>
      <c r="V2075">
        <f>SUM(W2075:X2075)+(Y2075*0.8)+(Z2075*0.4)</f>
        <v>0</v>
      </c>
      <c r="W2075">
        <v>0</v>
      </c>
      <c r="X2075">
        <v>0</v>
      </c>
      <c r="Y2075">
        <v>0</v>
      </c>
      <c r="Z2075">
        <v>0</v>
      </c>
      <c r="AA2075">
        <v>77</v>
      </c>
      <c r="AB2075">
        <v>0</v>
      </c>
      <c r="AD2075" t="s">
        <v>1247</v>
      </c>
      <c r="AE2075" t="s">
        <v>1248</v>
      </c>
    </row>
    <row r="2076" spans="1:31" x14ac:dyDescent="0.25">
      <c r="A2076" t="s">
        <v>31</v>
      </c>
      <c r="B2076" t="s">
        <v>11350</v>
      </c>
      <c r="C2076" t="s">
        <v>647</v>
      </c>
      <c r="D2076" t="s">
        <v>1294</v>
      </c>
      <c r="E2076" t="s">
        <v>362</v>
      </c>
      <c r="F2076" t="s">
        <v>649</v>
      </c>
      <c r="H2076" t="s">
        <v>36</v>
      </c>
      <c r="I2076" t="s">
        <v>1295</v>
      </c>
      <c r="J2076" t="s">
        <v>31</v>
      </c>
      <c r="K2076" t="s">
        <v>38</v>
      </c>
      <c r="L2076" t="s">
        <v>242</v>
      </c>
      <c r="M2076" t="s">
        <v>243</v>
      </c>
      <c r="N2076" t="s">
        <v>405</v>
      </c>
      <c r="O2076" t="s">
        <v>1296</v>
      </c>
      <c r="P2076" t="s">
        <v>1297</v>
      </c>
      <c r="T2076">
        <v>39.058052685</v>
      </c>
      <c r="U2076">
        <v>-77.443598351000006</v>
      </c>
      <c r="V2076">
        <f>SUM(W2076:X2076)+(Y2076*0.8)+(Z2076*0.4)</f>
        <v>0</v>
      </c>
      <c r="W2076">
        <v>0</v>
      </c>
      <c r="X2076">
        <v>0</v>
      </c>
      <c r="Y2076">
        <v>0</v>
      </c>
      <c r="Z2076">
        <v>0</v>
      </c>
      <c r="AA2076">
        <v>49.372</v>
      </c>
      <c r="AB2076">
        <v>0</v>
      </c>
      <c r="AD2076" t="s">
        <v>1298</v>
      </c>
      <c r="AE2076" t="s">
        <v>1299</v>
      </c>
    </row>
    <row r="2077" spans="1:31" x14ac:dyDescent="0.25">
      <c r="A2077" t="s">
        <v>31</v>
      </c>
      <c r="C2077" t="s">
        <v>506</v>
      </c>
      <c r="D2077" t="s">
        <v>552</v>
      </c>
      <c r="E2077" t="s">
        <v>34</v>
      </c>
      <c r="F2077" t="s">
        <v>43</v>
      </c>
      <c r="H2077" t="s">
        <v>36</v>
      </c>
      <c r="I2077" t="s">
        <v>553</v>
      </c>
      <c r="J2077" t="s">
        <v>31</v>
      </c>
      <c r="K2077" t="s">
        <v>38</v>
      </c>
      <c r="L2077" t="s">
        <v>86</v>
      </c>
      <c r="M2077" t="s">
        <v>87</v>
      </c>
      <c r="N2077" t="s">
        <v>88</v>
      </c>
      <c r="O2077" t="s">
        <v>554</v>
      </c>
      <c r="Q2077" t="s">
        <v>555</v>
      </c>
      <c r="T2077">
        <v>42.033612284</v>
      </c>
      <c r="U2077">
        <v>-87.982299467999994</v>
      </c>
      <c r="V2077">
        <f>SUM(W2077:X2077)+(Y2077*0.8)+(Z2077*0.4)</f>
        <v>0</v>
      </c>
      <c r="W2077">
        <v>0</v>
      </c>
      <c r="X2077">
        <v>0</v>
      </c>
      <c r="Y2077">
        <v>0</v>
      </c>
      <c r="Z2077">
        <v>0</v>
      </c>
      <c r="AA2077" t="s">
        <v>43</v>
      </c>
      <c r="AB2077">
        <v>0</v>
      </c>
      <c r="AD2077" t="s">
        <v>556</v>
      </c>
      <c r="AE2077" t="s">
        <v>557</v>
      </c>
    </row>
    <row r="2078" spans="1:31" x14ac:dyDescent="0.25">
      <c r="A2078" t="s">
        <v>31</v>
      </c>
      <c r="C2078" t="s">
        <v>506</v>
      </c>
      <c r="D2078" t="s">
        <v>582</v>
      </c>
      <c r="E2078" t="s">
        <v>34</v>
      </c>
      <c r="F2078" t="s">
        <v>66</v>
      </c>
      <c r="H2078" t="s">
        <v>36</v>
      </c>
      <c r="I2078" t="s">
        <v>583</v>
      </c>
      <c r="J2078" t="s">
        <v>31</v>
      </c>
      <c r="K2078" t="s">
        <v>38</v>
      </c>
      <c r="L2078" t="s">
        <v>317</v>
      </c>
      <c r="M2078" t="s">
        <v>318</v>
      </c>
      <c r="N2078" t="s">
        <v>584</v>
      </c>
      <c r="O2078" t="s">
        <v>582</v>
      </c>
      <c r="P2078" t="s">
        <v>585</v>
      </c>
      <c r="Q2078" t="s">
        <v>582</v>
      </c>
      <c r="T2078">
        <v>39.993571660000001</v>
      </c>
      <c r="U2078">
        <v>-82.730099404000001</v>
      </c>
      <c r="V2078">
        <f>SUM(W2078:X2078)+(Y2078*0.8)+(Z2078*0.4)</f>
        <v>0</v>
      </c>
      <c r="W2078">
        <v>0</v>
      </c>
      <c r="X2078">
        <v>0</v>
      </c>
      <c r="Y2078">
        <v>0</v>
      </c>
      <c r="Z2078">
        <v>0</v>
      </c>
      <c r="AA2078">
        <v>36.17</v>
      </c>
      <c r="AB2078">
        <v>0</v>
      </c>
      <c r="AD2078" t="s">
        <v>586</v>
      </c>
      <c r="AE2078" t="s">
        <v>587</v>
      </c>
    </row>
    <row r="2079" spans="1:31" x14ac:dyDescent="0.25">
      <c r="A2079" t="s">
        <v>31</v>
      </c>
      <c r="C2079" t="s">
        <v>475</v>
      </c>
      <c r="D2079" t="s">
        <v>476</v>
      </c>
      <c r="E2079" t="s">
        <v>34</v>
      </c>
      <c r="F2079" t="s">
        <v>43</v>
      </c>
      <c r="H2079" t="s">
        <v>36</v>
      </c>
      <c r="I2079" t="s">
        <v>477</v>
      </c>
      <c r="J2079" t="s">
        <v>31</v>
      </c>
      <c r="K2079" t="s">
        <v>38</v>
      </c>
      <c r="L2079" t="s">
        <v>77</v>
      </c>
      <c r="M2079" t="s">
        <v>78</v>
      </c>
      <c r="N2079" t="s">
        <v>478</v>
      </c>
      <c r="O2079" t="s">
        <v>479</v>
      </c>
      <c r="P2079" t="s">
        <v>480</v>
      </c>
      <c r="S2079" t="s">
        <v>481</v>
      </c>
      <c r="T2079">
        <v>40.551749469999997</v>
      </c>
      <c r="U2079">
        <v>-75.598659108000007</v>
      </c>
      <c r="V2079">
        <f>SUM(W2079:X2079)+(Y2079*0.8)+(Z2079*0.4)</f>
        <v>0</v>
      </c>
      <c r="W2079">
        <v>0</v>
      </c>
      <c r="X2079">
        <v>0</v>
      </c>
      <c r="Y2079">
        <v>0</v>
      </c>
      <c r="Z2079">
        <v>0</v>
      </c>
      <c r="AA2079" t="s">
        <v>43</v>
      </c>
      <c r="AB2079">
        <v>0</v>
      </c>
      <c r="AD2079" t="s">
        <v>482</v>
      </c>
      <c r="AE2079" t="s">
        <v>483</v>
      </c>
    </row>
  </sheetData>
  <pageMargins left="0.7" right="0.7" top="0.75" bottom="0.75" header="0.3" footer="0.3"/>
  <ignoredErrors>
    <ignoredError sqref="W3:AE3 W1:X1 AA2 AC2:AE2 AA1:AE1 A2:A3 C1:U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7bf0ba-b00a-4c37-84f6-f2f2cccdcce3" xsi:nil="true"/>
    <lcf76f155ced4ddcb4097134ff3c332f xmlns="1a34b564-0b9b-4b31-b51d-849dce1d6f8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B2D182BDA6D44681C0D14A10B82324" ma:contentTypeVersion="13" ma:contentTypeDescription="Create a new document." ma:contentTypeScope="" ma:versionID="fcefbfa113415e7c84243506edc7589a">
  <xsd:schema xmlns:xsd="http://www.w3.org/2001/XMLSchema" xmlns:xs="http://www.w3.org/2001/XMLSchema" xmlns:p="http://schemas.microsoft.com/office/2006/metadata/properties" xmlns:ns2="1a34b564-0b9b-4b31-b51d-849dce1d6f86" xmlns:ns3="967bf0ba-b00a-4c37-84f6-f2f2cccdcce3" targetNamespace="http://schemas.microsoft.com/office/2006/metadata/properties" ma:root="true" ma:fieldsID="e723ad68f9e422eb340e51390c06e8ed" ns2:_="" ns3:_="">
    <xsd:import namespace="1a34b564-0b9b-4b31-b51d-849dce1d6f86"/>
    <xsd:import namespace="967bf0ba-b00a-4c37-84f6-f2f2cccdcc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34b564-0b9b-4b31-b51d-849dce1d6f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eb83c72-e211-4478-8c32-084be5ef3e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bf0ba-b00a-4c37-84f6-f2f2cccdcc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8705321-a81a-4eef-871c-7c5072ae6cd3}" ma:internalName="TaxCatchAll" ma:showField="CatchAllData" ma:web="967bf0ba-b00a-4c37-84f6-f2f2cccdcc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06C74D-9310-45CF-B610-C2F179BD1C5A}">
  <ds:schemaRefs>
    <ds:schemaRef ds:uri="http://schemas.microsoft.com/office/2006/metadata/properties"/>
    <ds:schemaRef ds:uri="http://schemas.microsoft.com/office/infopath/2007/PartnerControls"/>
    <ds:schemaRef ds:uri="967bf0ba-b00a-4c37-84f6-f2f2cccdcce3"/>
    <ds:schemaRef ds:uri="1a34b564-0b9b-4b31-b51d-849dce1d6f86"/>
  </ds:schemaRefs>
</ds:datastoreItem>
</file>

<file path=customXml/itemProps2.xml><?xml version="1.0" encoding="utf-8"?>
<ds:datastoreItem xmlns:ds="http://schemas.openxmlformats.org/officeDocument/2006/customXml" ds:itemID="{70C3015C-A322-4E6C-83B9-4AEC81AA15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013A92-4DE9-4C78-AA36-5ADFA7B8A4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34b564-0b9b-4b31-b51d-849dce1d6f86"/>
    <ds:schemaRef ds:uri="967bf0ba-b00a-4c37-84f6-f2f2cccdcc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ef2ba4b-c84d-4be2-b185-2adc4e2ebd11}" enabled="1" method="Privileged" siteId="{d8fb9c07-c19e-4e8c-a1cb-717cd3cf8f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States_SitesData_2026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Jessica: (Constellation)</dc:creator>
  <cp:lastModifiedBy>Cohen, Jessica: (Constellation)</cp:lastModifiedBy>
  <dcterms:created xsi:type="dcterms:W3CDTF">2026-03-10T20:41:00Z</dcterms:created>
  <dcterms:modified xsi:type="dcterms:W3CDTF">2026-03-12T19:41:50Z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0x01010068B2D182BDA6D44681C0D14A10B82324</vt:lpwstr>
  </property>
</Properties>
</file>